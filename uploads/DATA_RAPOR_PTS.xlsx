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60" windowWidth="14910" windowHeight="7095"/>
  </bookViews>
  <sheets>
    <sheet name="ENTRY DATA" sheetId="1" r:id="rId1"/>
    <sheet name="NILAI" sheetId="2" r:id="rId2"/>
    <sheet name="TABEL KONVERSI" sheetId="3" r:id="rId3"/>
    <sheet name="RANKING" sheetId="5" r:id="rId4"/>
  </sheets>
  <definedNames>
    <definedName name="DAFTAR_KELAS">'TABEL KONVERSI'!$B$26:$B$61</definedName>
    <definedName name="GURU_1">'ENTRY DATA'!$G$10</definedName>
    <definedName name="GURU_10">'ENTRY DATA'!$DK$10</definedName>
    <definedName name="GURU_11">'ENTRY DATA'!$DW$10</definedName>
    <definedName name="GURU_12">'ENTRY DATA'!$EI$10</definedName>
    <definedName name="GURU_13">'ENTRY DATA'!$EU$10</definedName>
    <definedName name="GURU_14">'ENTRY DATA'!$FG$10</definedName>
    <definedName name="GURU_15">'ENTRY DATA'!$FS$10</definedName>
    <definedName name="GURU_16">'ENTRY DATA'!$GE$10</definedName>
    <definedName name="GURU_2">'ENTRY DATA'!$S$10</definedName>
    <definedName name="GURU_3">'ENTRY DATA'!$AE$10</definedName>
    <definedName name="GURU_4">'ENTRY DATA'!$AQ$10</definedName>
    <definedName name="GURU_5">'ENTRY DATA'!$BC$10</definedName>
    <definedName name="GURU_6">'ENTRY DATA'!$BO$10</definedName>
    <definedName name="GURU_7">'ENTRY DATA'!$CA$10</definedName>
    <definedName name="GURU_8">'ENTRY DATA'!$CM$10</definedName>
    <definedName name="GURU_9">'ENTRY DATA'!$CY$10</definedName>
    <definedName name="JURUSAN">'ENTRY DATA'!$C$1</definedName>
    <definedName name="KELAS">'ENTRY DATA'!$C$2</definedName>
    <definedName name="KKM_1">'ENTRY DATA'!$G$9</definedName>
    <definedName name="KKM_10">'ENTRY DATA'!$DK$9</definedName>
    <definedName name="KKM_11">'ENTRY DATA'!$DW$9</definedName>
    <definedName name="KKM_12">'ENTRY DATA'!$EI$9</definedName>
    <definedName name="KKM_13">'ENTRY DATA'!$EU$9</definedName>
    <definedName name="KKM_14">'ENTRY DATA'!$FG$9</definedName>
    <definedName name="KKM_15">'ENTRY DATA'!$FS$9</definedName>
    <definedName name="KKM_16">'ENTRY DATA'!$GE$9</definedName>
    <definedName name="KKM_2">'ENTRY DATA'!$S$9</definedName>
    <definedName name="KKM_3">'ENTRY DATA'!$AE$9</definedName>
    <definedName name="KKM_4">'ENTRY DATA'!$AQ$9</definedName>
    <definedName name="KKM_5">'ENTRY DATA'!$BC$9</definedName>
    <definedName name="KKM_6">'ENTRY DATA'!$BO$9</definedName>
    <definedName name="KKM_7">'ENTRY DATA'!$CA$9</definedName>
    <definedName name="KKM_8">'ENTRY DATA'!$CM$9</definedName>
    <definedName name="KKM_9">'ENTRY DATA'!$CY$9</definedName>
    <definedName name="NIP_KEPSEK">'ENTRY DATA'!$G$4</definedName>
    <definedName name="NIP_WALIKELAS">'ENTRY DATA'!$G$2</definedName>
    <definedName name="NM_KEPSEK">'ENTRY DATA'!$G$3</definedName>
    <definedName name="NM_WALIKELAS">'ENTRY DATA'!$G$1</definedName>
    <definedName name="SEMESTER">'ENTRY DATA'!$C$3</definedName>
    <definedName name="TH_PELAJARAN">'ENTRY DATA'!$C$4</definedName>
    <definedName name="TITIMANGSA">'ENTRY DATA'!$C$5</definedName>
  </definedNames>
  <calcPr calcId="144525"/>
</workbook>
</file>

<file path=xl/calcChain.xml><?xml version="1.0" encoding="utf-8"?>
<calcChain xmlns="http://schemas.openxmlformats.org/spreadsheetml/2006/main">
  <c r="A2" i="5" l="1"/>
  <c r="A3" i="2" l="1"/>
  <c r="B3" i="2"/>
  <c r="C3" i="2"/>
  <c r="D3" i="2"/>
  <c r="E3" i="2"/>
  <c r="F3" i="2"/>
  <c r="G3" i="2"/>
  <c r="H3" i="2"/>
  <c r="I3" i="2"/>
  <c r="J3" i="2"/>
  <c r="K3" i="2"/>
  <c r="L3" i="2"/>
  <c r="M3" i="2" s="1"/>
  <c r="N3" i="2"/>
  <c r="O3" i="2"/>
  <c r="P3" i="2"/>
  <c r="U3" i="2"/>
  <c r="V3" i="2"/>
  <c r="AA3" i="2"/>
  <c r="AB3" i="2"/>
  <c r="AG3" i="2"/>
  <c r="AH3" i="2"/>
  <c r="AM3" i="2"/>
  <c r="AN3" i="2"/>
  <c r="AS3" i="2"/>
  <c r="AT3" i="2"/>
  <c r="AY3" i="2"/>
  <c r="AZ3" i="2"/>
  <c r="BE3" i="2"/>
  <c r="BF3" i="2"/>
  <c r="BK3" i="2"/>
  <c r="BL3" i="2"/>
  <c r="BQ3" i="2"/>
  <c r="BR3" i="2"/>
  <c r="BX3" i="2"/>
  <c r="BY3" i="2"/>
  <c r="CE3" i="2"/>
  <c r="CF3" i="2"/>
  <c r="CL3" i="2"/>
  <c r="CM3" i="2"/>
  <c r="CS3" i="2"/>
  <c r="CT3" i="2"/>
  <c r="CY3" i="2"/>
  <c r="CZ3" i="2"/>
  <c r="DA3" i="2"/>
  <c r="DF3" i="2"/>
  <c r="DG3" i="2"/>
  <c r="DH3" i="2"/>
  <c r="A4" i="2"/>
  <c r="B4" i="2"/>
  <c r="C4" i="2"/>
  <c r="D4" i="2"/>
  <c r="E4" i="2"/>
  <c r="F4" i="2"/>
  <c r="G4" i="2"/>
  <c r="H4" i="2"/>
  <c r="I4" i="2"/>
  <c r="J4" i="2"/>
  <c r="K4" i="2"/>
  <c r="L4" i="2"/>
  <c r="M4" i="2" s="1"/>
  <c r="N4" i="2"/>
  <c r="O4" i="2"/>
  <c r="P4" i="2"/>
  <c r="U4" i="2"/>
  <c r="V4" i="2"/>
  <c r="AA4" i="2"/>
  <c r="AB4" i="2"/>
  <c r="AG4" i="2"/>
  <c r="AH4" i="2"/>
  <c r="AM4" i="2"/>
  <c r="AN4" i="2"/>
  <c r="AS4" i="2"/>
  <c r="AT4" i="2"/>
  <c r="AY4" i="2"/>
  <c r="AZ4" i="2"/>
  <c r="BE4" i="2"/>
  <c r="BF4" i="2"/>
  <c r="BK4" i="2"/>
  <c r="BL4" i="2"/>
  <c r="BQ4" i="2"/>
  <c r="BR4" i="2"/>
  <c r="BX4" i="2"/>
  <c r="BY4" i="2"/>
  <c r="CE4" i="2"/>
  <c r="CF4" i="2"/>
  <c r="CL4" i="2"/>
  <c r="CM4" i="2"/>
  <c r="CS4" i="2"/>
  <c r="CT4" i="2"/>
  <c r="CY4" i="2"/>
  <c r="CZ4" i="2"/>
  <c r="DA4" i="2"/>
  <c r="DF4" i="2"/>
  <c r="DG4" i="2"/>
  <c r="DH4" i="2"/>
  <c r="A5" i="2"/>
  <c r="B5" i="2"/>
  <c r="C5" i="2"/>
  <c r="D5" i="2"/>
  <c r="E5" i="2"/>
  <c r="F5" i="2"/>
  <c r="G5" i="2"/>
  <c r="H5" i="2"/>
  <c r="I5" i="2"/>
  <c r="J5" i="2"/>
  <c r="K5" i="2"/>
  <c r="L5" i="2"/>
  <c r="M5" i="2" s="1"/>
  <c r="N5" i="2"/>
  <c r="O5" i="2"/>
  <c r="P5" i="2"/>
  <c r="U5" i="2"/>
  <c r="V5" i="2"/>
  <c r="AA5" i="2"/>
  <c r="AB5" i="2"/>
  <c r="AG5" i="2"/>
  <c r="AH5" i="2"/>
  <c r="AM5" i="2"/>
  <c r="AN5" i="2"/>
  <c r="AS5" i="2"/>
  <c r="AT5" i="2"/>
  <c r="AY5" i="2"/>
  <c r="AZ5" i="2"/>
  <c r="BE5" i="2"/>
  <c r="BF5" i="2"/>
  <c r="BK5" i="2"/>
  <c r="BL5" i="2"/>
  <c r="BQ5" i="2"/>
  <c r="BR5" i="2"/>
  <c r="BX5" i="2"/>
  <c r="BY5" i="2"/>
  <c r="CE5" i="2"/>
  <c r="CF5" i="2"/>
  <c r="CL5" i="2"/>
  <c r="CM5" i="2"/>
  <c r="CS5" i="2"/>
  <c r="CT5" i="2"/>
  <c r="CY5" i="2"/>
  <c r="CZ5" i="2"/>
  <c r="DA5" i="2"/>
  <c r="DF5" i="2"/>
  <c r="DG5" i="2"/>
  <c r="DH5" i="2"/>
  <c r="A6" i="2"/>
  <c r="B6" i="2"/>
  <c r="C6" i="2"/>
  <c r="D6" i="2"/>
  <c r="E6" i="2"/>
  <c r="F6" i="2"/>
  <c r="G6" i="2"/>
  <c r="H6" i="2"/>
  <c r="I6" i="2"/>
  <c r="J6" i="2"/>
  <c r="K6" i="2"/>
  <c r="L6" i="2"/>
  <c r="M6" i="2" s="1"/>
  <c r="N6" i="2"/>
  <c r="O6" i="2"/>
  <c r="P6" i="2"/>
  <c r="U6" i="2"/>
  <c r="V6" i="2"/>
  <c r="AA6" i="2"/>
  <c r="AB6" i="2"/>
  <c r="AG6" i="2"/>
  <c r="AH6" i="2"/>
  <c r="AM6" i="2"/>
  <c r="AN6" i="2"/>
  <c r="AS6" i="2"/>
  <c r="AT6" i="2"/>
  <c r="AY6" i="2"/>
  <c r="AZ6" i="2"/>
  <c r="BE6" i="2"/>
  <c r="BF6" i="2"/>
  <c r="BK6" i="2"/>
  <c r="BL6" i="2"/>
  <c r="BQ6" i="2"/>
  <c r="BR6" i="2"/>
  <c r="BX6" i="2"/>
  <c r="BY6" i="2"/>
  <c r="CE6" i="2"/>
  <c r="CF6" i="2"/>
  <c r="CL6" i="2"/>
  <c r="CM6" i="2"/>
  <c r="CS6" i="2"/>
  <c r="CT6" i="2"/>
  <c r="CY6" i="2"/>
  <c r="CZ6" i="2"/>
  <c r="DA6" i="2"/>
  <c r="DF6" i="2"/>
  <c r="DG6" i="2"/>
  <c r="DH6" i="2"/>
  <c r="A7" i="2"/>
  <c r="B7" i="2"/>
  <c r="C7" i="2"/>
  <c r="D7" i="2"/>
  <c r="E7" i="2"/>
  <c r="F7" i="2"/>
  <c r="G7" i="2"/>
  <c r="H7" i="2"/>
  <c r="I7" i="2"/>
  <c r="J7" i="2"/>
  <c r="K7" i="2"/>
  <c r="L7" i="2"/>
  <c r="M7" i="2" s="1"/>
  <c r="N7" i="2"/>
  <c r="O7" i="2"/>
  <c r="P7" i="2"/>
  <c r="U7" i="2"/>
  <c r="V7" i="2"/>
  <c r="AA7" i="2"/>
  <c r="AB7" i="2"/>
  <c r="AG7" i="2"/>
  <c r="AH7" i="2"/>
  <c r="AM7" i="2"/>
  <c r="AN7" i="2"/>
  <c r="AS7" i="2"/>
  <c r="AT7" i="2"/>
  <c r="AY7" i="2"/>
  <c r="AZ7" i="2"/>
  <c r="BE7" i="2"/>
  <c r="BF7" i="2"/>
  <c r="BK7" i="2"/>
  <c r="BL7" i="2"/>
  <c r="BQ7" i="2"/>
  <c r="BR7" i="2"/>
  <c r="BX7" i="2"/>
  <c r="BY7" i="2"/>
  <c r="CE7" i="2"/>
  <c r="CF7" i="2"/>
  <c r="CL7" i="2"/>
  <c r="CM7" i="2"/>
  <c r="CS7" i="2"/>
  <c r="CT7" i="2"/>
  <c r="CY7" i="2"/>
  <c r="CZ7" i="2"/>
  <c r="DA7" i="2"/>
  <c r="DF7" i="2"/>
  <c r="DG7" i="2"/>
  <c r="DH7" i="2"/>
  <c r="A8" i="2"/>
  <c r="B8" i="2"/>
  <c r="C8" i="2"/>
  <c r="D8" i="2"/>
  <c r="E8" i="2"/>
  <c r="F8" i="2"/>
  <c r="G8" i="2"/>
  <c r="H8" i="2"/>
  <c r="I8" i="2"/>
  <c r="J8" i="2"/>
  <c r="K8" i="2"/>
  <c r="L8" i="2"/>
  <c r="M8" i="2" s="1"/>
  <c r="N8" i="2"/>
  <c r="O8" i="2"/>
  <c r="P8" i="2"/>
  <c r="U8" i="2"/>
  <c r="V8" i="2"/>
  <c r="AA8" i="2"/>
  <c r="AB8" i="2"/>
  <c r="AG8" i="2"/>
  <c r="AH8" i="2"/>
  <c r="AM8" i="2"/>
  <c r="AN8" i="2"/>
  <c r="AS8" i="2"/>
  <c r="AT8" i="2"/>
  <c r="AY8" i="2"/>
  <c r="AZ8" i="2"/>
  <c r="BE8" i="2"/>
  <c r="BF8" i="2"/>
  <c r="BK8" i="2"/>
  <c r="BL8" i="2"/>
  <c r="BQ8" i="2"/>
  <c r="BR8" i="2"/>
  <c r="BX8" i="2"/>
  <c r="BY8" i="2"/>
  <c r="CE8" i="2"/>
  <c r="CF8" i="2"/>
  <c r="CL8" i="2"/>
  <c r="CM8" i="2"/>
  <c r="CS8" i="2"/>
  <c r="CT8" i="2"/>
  <c r="CY8" i="2"/>
  <c r="CZ8" i="2"/>
  <c r="DA8" i="2"/>
  <c r="DF8" i="2"/>
  <c r="DG8" i="2"/>
  <c r="DH8" i="2"/>
  <c r="A9" i="2"/>
  <c r="B9" i="2"/>
  <c r="C9" i="2"/>
  <c r="D9" i="2"/>
  <c r="E9" i="2"/>
  <c r="F9" i="2"/>
  <c r="G9" i="2"/>
  <c r="H9" i="2"/>
  <c r="I9" i="2"/>
  <c r="J9" i="2"/>
  <c r="K9" i="2"/>
  <c r="L9" i="2"/>
  <c r="M9" i="2" s="1"/>
  <c r="N9" i="2"/>
  <c r="O9" i="2"/>
  <c r="P9" i="2"/>
  <c r="U9" i="2"/>
  <c r="V9" i="2"/>
  <c r="AA9" i="2"/>
  <c r="AB9" i="2"/>
  <c r="AG9" i="2"/>
  <c r="AH9" i="2"/>
  <c r="AM9" i="2"/>
  <c r="AN9" i="2"/>
  <c r="AS9" i="2"/>
  <c r="AT9" i="2"/>
  <c r="AY9" i="2"/>
  <c r="AZ9" i="2"/>
  <c r="BE9" i="2"/>
  <c r="BF9" i="2"/>
  <c r="BK9" i="2"/>
  <c r="BL9" i="2"/>
  <c r="BQ9" i="2"/>
  <c r="BR9" i="2"/>
  <c r="BX9" i="2"/>
  <c r="BY9" i="2"/>
  <c r="CE9" i="2"/>
  <c r="CF9" i="2"/>
  <c r="CL9" i="2"/>
  <c r="CM9" i="2"/>
  <c r="CS9" i="2"/>
  <c r="CT9" i="2"/>
  <c r="CY9" i="2"/>
  <c r="CZ9" i="2"/>
  <c r="DA9" i="2"/>
  <c r="DF9" i="2"/>
  <c r="DG9" i="2"/>
  <c r="DH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 s="1"/>
  <c r="N10" i="2"/>
  <c r="O10" i="2"/>
  <c r="P10" i="2"/>
  <c r="U10" i="2"/>
  <c r="V10" i="2"/>
  <c r="AA10" i="2"/>
  <c r="AB10" i="2"/>
  <c r="AG10" i="2"/>
  <c r="AH10" i="2"/>
  <c r="AM10" i="2"/>
  <c r="AN10" i="2"/>
  <c r="AS10" i="2"/>
  <c r="AT10" i="2"/>
  <c r="AY10" i="2"/>
  <c r="AZ10" i="2"/>
  <c r="BE10" i="2"/>
  <c r="BF10" i="2"/>
  <c r="BK10" i="2"/>
  <c r="BL10" i="2"/>
  <c r="BQ10" i="2"/>
  <c r="BR10" i="2"/>
  <c r="BX10" i="2"/>
  <c r="BY10" i="2"/>
  <c r="CE10" i="2"/>
  <c r="CF10" i="2"/>
  <c r="CL10" i="2"/>
  <c r="CM10" i="2"/>
  <c r="CS10" i="2"/>
  <c r="CT10" i="2"/>
  <c r="CY10" i="2"/>
  <c r="CZ10" i="2"/>
  <c r="DA10" i="2"/>
  <c r="DF10" i="2"/>
  <c r="DG10" i="2"/>
  <c r="DH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 s="1"/>
  <c r="N11" i="2"/>
  <c r="O11" i="2"/>
  <c r="P11" i="2"/>
  <c r="U11" i="2"/>
  <c r="V11" i="2"/>
  <c r="AA11" i="2"/>
  <c r="AB11" i="2"/>
  <c r="AG11" i="2"/>
  <c r="AH11" i="2"/>
  <c r="AM11" i="2"/>
  <c r="AN11" i="2"/>
  <c r="AS11" i="2"/>
  <c r="AT11" i="2"/>
  <c r="AY11" i="2"/>
  <c r="AZ11" i="2"/>
  <c r="BE11" i="2"/>
  <c r="BF11" i="2"/>
  <c r="BK11" i="2"/>
  <c r="BL11" i="2"/>
  <c r="BQ11" i="2"/>
  <c r="BR11" i="2"/>
  <c r="BX11" i="2"/>
  <c r="BY11" i="2"/>
  <c r="CE11" i="2"/>
  <c r="CF11" i="2"/>
  <c r="CL11" i="2"/>
  <c r="CM11" i="2"/>
  <c r="CS11" i="2"/>
  <c r="CT11" i="2"/>
  <c r="CY11" i="2"/>
  <c r="CZ11" i="2"/>
  <c r="DA11" i="2"/>
  <c r="DF11" i="2"/>
  <c r="DG11" i="2"/>
  <c r="DH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 s="1"/>
  <c r="N12" i="2"/>
  <c r="O12" i="2"/>
  <c r="P12" i="2"/>
  <c r="U12" i="2"/>
  <c r="V12" i="2"/>
  <c r="AA12" i="2"/>
  <c r="AB12" i="2"/>
  <c r="AG12" i="2"/>
  <c r="AH12" i="2"/>
  <c r="AM12" i="2"/>
  <c r="AN12" i="2"/>
  <c r="AS12" i="2"/>
  <c r="AT12" i="2"/>
  <c r="AY12" i="2"/>
  <c r="AZ12" i="2"/>
  <c r="BE12" i="2"/>
  <c r="BF12" i="2"/>
  <c r="BK12" i="2"/>
  <c r="BL12" i="2"/>
  <c r="BQ12" i="2"/>
  <c r="BR12" i="2"/>
  <c r="BX12" i="2"/>
  <c r="BY12" i="2"/>
  <c r="CE12" i="2"/>
  <c r="CF12" i="2"/>
  <c r="CL12" i="2"/>
  <c r="CM12" i="2"/>
  <c r="CS12" i="2"/>
  <c r="CT12" i="2"/>
  <c r="CY12" i="2"/>
  <c r="CZ12" i="2"/>
  <c r="DA12" i="2"/>
  <c r="DF12" i="2"/>
  <c r="DG12" i="2"/>
  <c r="DH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 s="1"/>
  <c r="N13" i="2"/>
  <c r="O13" i="2"/>
  <c r="P13" i="2"/>
  <c r="U13" i="2"/>
  <c r="V13" i="2"/>
  <c r="AA13" i="2"/>
  <c r="AB13" i="2"/>
  <c r="AG13" i="2"/>
  <c r="AH13" i="2"/>
  <c r="AM13" i="2"/>
  <c r="AN13" i="2"/>
  <c r="AS13" i="2"/>
  <c r="AT13" i="2"/>
  <c r="AY13" i="2"/>
  <c r="AZ13" i="2"/>
  <c r="BE13" i="2"/>
  <c r="BF13" i="2"/>
  <c r="BK13" i="2"/>
  <c r="BL13" i="2"/>
  <c r="BQ13" i="2"/>
  <c r="BR13" i="2"/>
  <c r="BX13" i="2"/>
  <c r="BY13" i="2"/>
  <c r="CE13" i="2"/>
  <c r="CF13" i="2"/>
  <c r="CL13" i="2"/>
  <c r="CM13" i="2"/>
  <c r="CS13" i="2"/>
  <c r="CT13" i="2"/>
  <c r="CY13" i="2"/>
  <c r="CZ13" i="2"/>
  <c r="DA13" i="2"/>
  <c r="DF13" i="2"/>
  <c r="DG13" i="2"/>
  <c r="DH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 s="1"/>
  <c r="N14" i="2"/>
  <c r="O14" i="2"/>
  <c r="P14" i="2"/>
  <c r="U14" i="2"/>
  <c r="V14" i="2"/>
  <c r="AA14" i="2"/>
  <c r="AB14" i="2"/>
  <c r="AG14" i="2"/>
  <c r="AH14" i="2"/>
  <c r="AM14" i="2"/>
  <c r="AN14" i="2"/>
  <c r="AS14" i="2"/>
  <c r="AT14" i="2"/>
  <c r="AY14" i="2"/>
  <c r="AZ14" i="2"/>
  <c r="BE14" i="2"/>
  <c r="BF14" i="2"/>
  <c r="BK14" i="2"/>
  <c r="BL14" i="2"/>
  <c r="BQ14" i="2"/>
  <c r="BR14" i="2"/>
  <c r="BX14" i="2"/>
  <c r="BY14" i="2"/>
  <c r="CE14" i="2"/>
  <c r="CF14" i="2"/>
  <c r="CL14" i="2"/>
  <c r="CM14" i="2"/>
  <c r="CS14" i="2"/>
  <c r="CT14" i="2"/>
  <c r="CY14" i="2"/>
  <c r="CZ14" i="2"/>
  <c r="DA14" i="2"/>
  <c r="DF14" i="2"/>
  <c r="DG14" i="2"/>
  <c r="DH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 s="1"/>
  <c r="N15" i="2"/>
  <c r="O15" i="2"/>
  <c r="P15" i="2"/>
  <c r="U15" i="2"/>
  <c r="V15" i="2"/>
  <c r="AA15" i="2"/>
  <c r="AB15" i="2"/>
  <c r="AG15" i="2"/>
  <c r="AH15" i="2"/>
  <c r="AM15" i="2"/>
  <c r="AN15" i="2"/>
  <c r="AS15" i="2"/>
  <c r="AT15" i="2"/>
  <c r="AY15" i="2"/>
  <c r="AZ15" i="2"/>
  <c r="BE15" i="2"/>
  <c r="BF15" i="2"/>
  <c r="BK15" i="2"/>
  <c r="BL15" i="2"/>
  <c r="BQ15" i="2"/>
  <c r="BR15" i="2"/>
  <c r="BX15" i="2"/>
  <c r="BY15" i="2"/>
  <c r="CE15" i="2"/>
  <c r="CF15" i="2"/>
  <c r="CL15" i="2"/>
  <c r="CM15" i="2"/>
  <c r="CS15" i="2"/>
  <c r="CT15" i="2"/>
  <c r="CY15" i="2"/>
  <c r="CZ15" i="2"/>
  <c r="DA15" i="2"/>
  <c r="DF15" i="2"/>
  <c r="DG15" i="2"/>
  <c r="DH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 s="1"/>
  <c r="N16" i="2"/>
  <c r="O16" i="2"/>
  <c r="P16" i="2"/>
  <c r="U16" i="2"/>
  <c r="V16" i="2"/>
  <c r="AA16" i="2"/>
  <c r="AB16" i="2"/>
  <c r="AG16" i="2"/>
  <c r="AH16" i="2"/>
  <c r="AM16" i="2"/>
  <c r="AN16" i="2"/>
  <c r="AS16" i="2"/>
  <c r="AT16" i="2"/>
  <c r="AY16" i="2"/>
  <c r="AZ16" i="2"/>
  <c r="BE16" i="2"/>
  <c r="BF16" i="2"/>
  <c r="BK16" i="2"/>
  <c r="BL16" i="2"/>
  <c r="BQ16" i="2"/>
  <c r="BR16" i="2"/>
  <c r="BX16" i="2"/>
  <c r="BY16" i="2"/>
  <c r="CE16" i="2"/>
  <c r="CF16" i="2"/>
  <c r="CL16" i="2"/>
  <c r="CM16" i="2"/>
  <c r="CS16" i="2"/>
  <c r="CT16" i="2"/>
  <c r="CY16" i="2"/>
  <c r="CZ16" i="2"/>
  <c r="DA16" i="2"/>
  <c r="DF16" i="2"/>
  <c r="DG16" i="2"/>
  <c r="DH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 s="1"/>
  <c r="N17" i="2"/>
  <c r="O17" i="2"/>
  <c r="P17" i="2"/>
  <c r="U17" i="2"/>
  <c r="V17" i="2"/>
  <c r="AA17" i="2"/>
  <c r="AB17" i="2"/>
  <c r="AG17" i="2"/>
  <c r="AH17" i="2"/>
  <c r="AM17" i="2"/>
  <c r="AN17" i="2"/>
  <c r="AS17" i="2"/>
  <c r="AT17" i="2"/>
  <c r="AY17" i="2"/>
  <c r="AZ17" i="2"/>
  <c r="BE17" i="2"/>
  <c r="BF17" i="2"/>
  <c r="BK17" i="2"/>
  <c r="BL17" i="2"/>
  <c r="BQ17" i="2"/>
  <c r="BR17" i="2"/>
  <c r="BX17" i="2"/>
  <c r="BY17" i="2"/>
  <c r="CE17" i="2"/>
  <c r="CF17" i="2"/>
  <c r="CL17" i="2"/>
  <c r="CM17" i="2"/>
  <c r="CS17" i="2"/>
  <c r="CT17" i="2"/>
  <c r="CY17" i="2"/>
  <c r="CZ17" i="2"/>
  <c r="DA17" i="2"/>
  <c r="DF17" i="2"/>
  <c r="DG17" i="2"/>
  <c r="DH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 s="1"/>
  <c r="N18" i="2"/>
  <c r="O18" i="2"/>
  <c r="P18" i="2"/>
  <c r="U18" i="2"/>
  <c r="V18" i="2"/>
  <c r="AA18" i="2"/>
  <c r="AB18" i="2"/>
  <c r="AG18" i="2"/>
  <c r="AH18" i="2"/>
  <c r="AM18" i="2"/>
  <c r="AN18" i="2"/>
  <c r="AS18" i="2"/>
  <c r="AT18" i="2"/>
  <c r="AY18" i="2"/>
  <c r="AZ18" i="2"/>
  <c r="BE18" i="2"/>
  <c r="BF18" i="2"/>
  <c r="BK18" i="2"/>
  <c r="BL18" i="2"/>
  <c r="BQ18" i="2"/>
  <c r="BR18" i="2"/>
  <c r="BX18" i="2"/>
  <c r="BY18" i="2"/>
  <c r="CE18" i="2"/>
  <c r="CF18" i="2"/>
  <c r="CL18" i="2"/>
  <c r="CM18" i="2"/>
  <c r="CS18" i="2"/>
  <c r="CT18" i="2"/>
  <c r="CY18" i="2"/>
  <c r="CZ18" i="2"/>
  <c r="DA18" i="2"/>
  <c r="DF18" i="2"/>
  <c r="DG18" i="2"/>
  <c r="DH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 s="1"/>
  <c r="N19" i="2"/>
  <c r="O19" i="2"/>
  <c r="P19" i="2"/>
  <c r="U19" i="2"/>
  <c r="V19" i="2"/>
  <c r="AA19" i="2"/>
  <c r="AB19" i="2"/>
  <c r="AG19" i="2"/>
  <c r="AH19" i="2"/>
  <c r="AM19" i="2"/>
  <c r="AN19" i="2"/>
  <c r="AS19" i="2"/>
  <c r="AT19" i="2"/>
  <c r="AY19" i="2"/>
  <c r="AZ19" i="2"/>
  <c r="BE19" i="2"/>
  <c r="BF19" i="2"/>
  <c r="BK19" i="2"/>
  <c r="BL19" i="2"/>
  <c r="BQ19" i="2"/>
  <c r="BR19" i="2"/>
  <c r="BX19" i="2"/>
  <c r="BY19" i="2"/>
  <c r="CE19" i="2"/>
  <c r="CF19" i="2"/>
  <c r="CL19" i="2"/>
  <c r="CM19" i="2"/>
  <c r="CS19" i="2"/>
  <c r="CT19" i="2"/>
  <c r="CY19" i="2"/>
  <c r="CZ19" i="2"/>
  <c r="DA19" i="2"/>
  <c r="DF19" i="2"/>
  <c r="DG19" i="2"/>
  <c r="DH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 s="1"/>
  <c r="N20" i="2"/>
  <c r="O20" i="2"/>
  <c r="P20" i="2"/>
  <c r="U20" i="2"/>
  <c r="V20" i="2"/>
  <c r="AA20" i="2"/>
  <c r="AB20" i="2"/>
  <c r="AG20" i="2"/>
  <c r="AH20" i="2"/>
  <c r="AM20" i="2"/>
  <c r="AN20" i="2"/>
  <c r="AS20" i="2"/>
  <c r="AT20" i="2"/>
  <c r="AY20" i="2"/>
  <c r="AZ20" i="2"/>
  <c r="BE20" i="2"/>
  <c r="BF20" i="2"/>
  <c r="BK20" i="2"/>
  <c r="BL20" i="2"/>
  <c r="BQ20" i="2"/>
  <c r="BR20" i="2"/>
  <c r="BX20" i="2"/>
  <c r="BY20" i="2"/>
  <c r="CE20" i="2"/>
  <c r="CF20" i="2"/>
  <c r="CL20" i="2"/>
  <c r="CM20" i="2"/>
  <c r="CS20" i="2"/>
  <c r="CT20" i="2"/>
  <c r="CY20" i="2"/>
  <c r="CZ20" i="2"/>
  <c r="DA20" i="2"/>
  <c r="DF20" i="2"/>
  <c r="DG20" i="2"/>
  <c r="DH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 s="1"/>
  <c r="N21" i="2"/>
  <c r="O21" i="2"/>
  <c r="P21" i="2"/>
  <c r="U21" i="2"/>
  <c r="V21" i="2"/>
  <c r="AA21" i="2"/>
  <c r="AB21" i="2"/>
  <c r="AG21" i="2"/>
  <c r="AH21" i="2"/>
  <c r="AM21" i="2"/>
  <c r="AN21" i="2"/>
  <c r="AS21" i="2"/>
  <c r="AT21" i="2"/>
  <c r="AY21" i="2"/>
  <c r="AZ21" i="2"/>
  <c r="BE21" i="2"/>
  <c r="BF21" i="2"/>
  <c r="BK21" i="2"/>
  <c r="BL21" i="2"/>
  <c r="BQ21" i="2"/>
  <c r="BR21" i="2"/>
  <c r="BX21" i="2"/>
  <c r="BY21" i="2"/>
  <c r="CE21" i="2"/>
  <c r="CF21" i="2"/>
  <c r="CL21" i="2"/>
  <c r="CM21" i="2"/>
  <c r="CS21" i="2"/>
  <c r="CT21" i="2"/>
  <c r="CY21" i="2"/>
  <c r="CZ21" i="2"/>
  <c r="DA21" i="2"/>
  <c r="DF21" i="2"/>
  <c r="DG21" i="2"/>
  <c r="DH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 s="1"/>
  <c r="N22" i="2"/>
  <c r="O22" i="2"/>
  <c r="P22" i="2"/>
  <c r="U22" i="2"/>
  <c r="V22" i="2"/>
  <c r="AA22" i="2"/>
  <c r="AB22" i="2"/>
  <c r="AG22" i="2"/>
  <c r="AH22" i="2"/>
  <c r="AM22" i="2"/>
  <c r="AN22" i="2"/>
  <c r="AS22" i="2"/>
  <c r="AT22" i="2"/>
  <c r="AY22" i="2"/>
  <c r="AZ22" i="2"/>
  <c r="BE22" i="2"/>
  <c r="BF22" i="2"/>
  <c r="BK22" i="2"/>
  <c r="BL22" i="2"/>
  <c r="BQ22" i="2"/>
  <c r="BR22" i="2"/>
  <c r="BX22" i="2"/>
  <c r="BY22" i="2"/>
  <c r="CE22" i="2"/>
  <c r="CF22" i="2"/>
  <c r="CL22" i="2"/>
  <c r="CM22" i="2"/>
  <c r="CS22" i="2"/>
  <c r="CT22" i="2"/>
  <c r="CY22" i="2"/>
  <c r="CZ22" i="2"/>
  <c r="DA22" i="2"/>
  <c r="DF22" i="2"/>
  <c r="DG22" i="2"/>
  <c r="DH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 s="1"/>
  <c r="N23" i="2"/>
  <c r="O23" i="2"/>
  <c r="P23" i="2"/>
  <c r="U23" i="2"/>
  <c r="V23" i="2"/>
  <c r="AA23" i="2"/>
  <c r="AB23" i="2"/>
  <c r="AG23" i="2"/>
  <c r="AH23" i="2"/>
  <c r="AM23" i="2"/>
  <c r="AN23" i="2"/>
  <c r="AS23" i="2"/>
  <c r="AT23" i="2"/>
  <c r="AY23" i="2"/>
  <c r="AZ23" i="2"/>
  <c r="BE23" i="2"/>
  <c r="BF23" i="2"/>
  <c r="BK23" i="2"/>
  <c r="BL23" i="2"/>
  <c r="BQ23" i="2"/>
  <c r="BR23" i="2"/>
  <c r="BX23" i="2"/>
  <c r="BY23" i="2"/>
  <c r="CE23" i="2"/>
  <c r="CF23" i="2"/>
  <c r="CL23" i="2"/>
  <c r="CM23" i="2"/>
  <c r="CS23" i="2"/>
  <c r="CT23" i="2"/>
  <c r="CY23" i="2"/>
  <c r="CZ23" i="2"/>
  <c r="DA23" i="2"/>
  <c r="DF23" i="2"/>
  <c r="DG23" i="2"/>
  <c r="DH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 s="1"/>
  <c r="N24" i="2"/>
  <c r="O24" i="2"/>
  <c r="P24" i="2"/>
  <c r="U24" i="2"/>
  <c r="V24" i="2"/>
  <c r="AA24" i="2"/>
  <c r="AB24" i="2"/>
  <c r="AG24" i="2"/>
  <c r="AH24" i="2"/>
  <c r="AM24" i="2"/>
  <c r="AN24" i="2"/>
  <c r="AS24" i="2"/>
  <c r="AT24" i="2"/>
  <c r="AY24" i="2"/>
  <c r="AZ24" i="2"/>
  <c r="BE24" i="2"/>
  <c r="BF24" i="2"/>
  <c r="BK24" i="2"/>
  <c r="BL24" i="2"/>
  <c r="BQ24" i="2"/>
  <c r="BR24" i="2"/>
  <c r="BX24" i="2"/>
  <c r="BY24" i="2"/>
  <c r="CE24" i="2"/>
  <c r="CF24" i="2"/>
  <c r="CL24" i="2"/>
  <c r="CM24" i="2"/>
  <c r="CS24" i="2"/>
  <c r="CT24" i="2"/>
  <c r="CY24" i="2"/>
  <c r="CZ24" i="2"/>
  <c r="DA24" i="2"/>
  <c r="DF24" i="2"/>
  <c r="DG24" i="2"/>
  <c r="DH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 s="1"/>
  <c r="N25" i="2"/>
  <c r="O25" i="2"/>
  <c r="P25" i="2"/>
  <c r="U25" i="2"/>
  <c r="V25" i="2"/>
  <c r="AA25" i="2"/>
  <c r="AB25" i="2"/>
  <c r="AG25" i="2"/>
  <c r="AH25" i="2"/>
  <c r="AM25" i="2"/>
  <c r="AN25" i="2"/>
  <c r="AS25" i="2"/>
  <c r="AT25" i="2"/>
  <c r="AY25" i="2"/>
  <c r="AZ25" i="2"/>
  <c r="BE25" i="2"/>
  <c r="BF25" i="2"/>
  <c r="BK25" i="2"/>
  <c r="BL25" i="2"/>
  <c r="BQ25" i="2"/>
  <c r="BR25" i="2"/>
  <c r="BX25" i="2"/>
  <c r="BY25" i="2"/>
  <c r="CE25" i="2"/>
  <c r="CF25" i="2"/>
  <c r="CL25" i="2"/>
  <c r="CM25" i="2"/>
  <c r="CS25" i="2"/>
  <c r="CT25" i="2"/>
  <c r="CY25" i="2"/>
  <c r="CZ25" i="2"/>
  <c r="DA25" i="2"/>
  <c r="DF25" i="2"/>
  <c r="DG25" i="2"/>
  <c r="DH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 s="1"/>
  <c r="N26" i="2"/>
  <c r="O26" i="2"/>
  <c r="P26" i="2"/>
  <c r="U26" i="2"/>
  <c r="V26" i="2"/>
  <c r="AA26" i="2"/>
  <c r="AB26" i="2"/>
  <c r="AG26" i="2"/>
  <c r="AH26" i="2"/>
  <c r="AM26" i="2"/>
  <c r="AN26" i="2"/>
  <c r="AS26" i="2"/>
  <c r="AT26" i="2"/>
  <c r="AY26" i="2"/>
  <c r="AZ26" i="2"/>
  <c r="BE26" i="2"/>
  <c r="BF26" i="2"/>
  <c r="BK26" i="2"/>
  <c r="BL26" i="2"/>
  <c r="BQ26" i="2"/>
  <c r="BR26" i="2"/>
  <c r="BX26" i="2"/>
  <c r="BY26" i="2"/>
  <c r="CE26" i="2"/>
  <c r="CF26" i="2"/>
  <c r="CL26" i="2"/>
  <c r="CM26" i="2"/>
  <c r="CS26" i="2"/>
  <c r="CT26" i="2"/>
  <c r="CY26" i="2"/>
  <c r="CZ26" i="2"/>
  <c r="DA26" i="2"/>
  <c r="DF26" i="2"/>
  <c r="DG26" i="2"/>
  <c r="DH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 s="1"/>
  <c r="N27" i="2"/>
  <c r="O27" i="2"/>
  <c r="P27" i="2"/>
  <c r="U27" i="2"/>
  <c r="V27" i="2"/>
  <c r="AA27" i="2"/>
  <c r="AB27" i="2"/>
  <c r="AG27" i="2"/>
  <c r="AH27" i="2"/>
  <c r="AM27" i="2"/>
  <c r="AN27" i="2"/>
  <c r="AS27" i="2"/>
  <c r="AT27" i="2"/>
  <c r="AY27" i="2"/>
  <c r="AZ27" i="2"/>
  <c r="BE27" i="2"/>
  <c r="BF27" i="2"/>
  <c r="BK27" i="2"/>
  <c r="BL27" i="2"/>
  <c r="BQ27" i="2"/>
  <c r="BR27" i="2"/>
  <c r="BX27" i="2"/>
  <c r="BY27" i="2"/>
  <c r="CE27" i="2"/>
  <c r="CF27" i="2"/>
  <c r="CL27" i="2"/>
  <c r="CM27" i="2"/>
  <c r="CS27" i="2"/>
  <c r="CT27" i="2"/>
  <c r="CY27" i="2"/>
  <c r="CZ27" i="2"/>
  <c r="DA27" i="2"/>
  <c r="DF27" i="2"/>
  <c r="DG27" i="2"/>
  <c r="DH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 s="1"/>
  <c r="N28" i="2"/>
  <c r="O28" i="2"/>
  <c r="P28" i="2"/>
  <c r="U28" i="2"/>
  <c r="V28" i="2"/>
  <c r="AA28" i="2"/>
  <c r="AB28" i="2"/>
  <c r="AG28" i="2"/>
  <c r="AH28" i="2"/>
  <c r="AM28" i="2"/>
  <c r="AN28" i="2"/>
  <c r="AS28" i="2"/>
  <c r="AT28" i="2"/>
  <c r="AY28" i="2"/>
  <c r="AZ28" i="2"/>
  <c r="BE28" i="2"/>
  <c r="BF28" i="2"/>
  <c r="BK28" i="2"/>
  <c r="BL28" i="2"/>
  <c r="BQ28" i="2"/>
  <c r="BR28" i="2"/>
  <c r="BX28" i="2"/>
  <c r="BY28" i="2"/>
  <c r="CE28" i="2"/>
  <c r="CF28" i="2"/>
  <c r="CL28" i="2"/>
  <c r="CM28" i="2"/>
  <c r="CS28" i="2"/>
  <c r="CT28" i="2"/>
  <c r="CY28" i="2"/>
  <c r="CZ28" i="2"/>
  <c r="DA28" i="2"/>
  <c r="DF28" i="2"/>
  <c r="DG28" i="2"/>
  <c r="DH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 s="1"/>
  <c r="N29" i="2"/>
  <c r="O29" i="2"/>
  <c r="P29" i="2"/>
  <c r="U29" i="2"/>
  <c r="V29" i="2"/>
  <c r="AA29" i="2"/>
  <c r="AB29" i="2"/>
  <c r="AG29" i="2"/>
  <c r="AH29" i="2"/>
  <c r="AM29" i="2"/>
  <c r="AN29" i="2"/>
  <c r="AS29" i="2"/>
  <c r="AT29" i="2"/>
  <c r="AY29" i="2"/>
  <c r="AZ29" i="2"/>
  <c r="BE29" i="2"/>
  <c r="BF29" i="2"/>
  <c r="BK29" i="2"/>
  <c r="BL29" i="2"/>
  <c r="BQ29" i="2"/>
  <c r="BR29" i="2"/>
  <c r="BX29" i="2"/>
  <c r="BY29" i="2"/>
  <c r="CE29" i="2"/>
  <c r="CF29" i="2"/>
  <c r="CL29" i="2"/>
  <c r="CM29" i="2"/>
  <c r="CS29" i="2"/>
  <c r="CT29" i="2"/>
  <c r="CY29" i="2"/>
  <c r="CZ29" i="2"/>
  <c r="DA29" i="2"/>
  <c r="DF29" i="2"/>
  <c r="DG29" i="2"/>
  <c r="DH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 s="1"/>
  <c r="N30" i="2"/>
  <c r="O30" i="2"/>
  <c r="P30" i="2"/>
  <c r="U30" i="2"/>
  <c r="V30" i="2"/>
  <c r="AA30" i="2"/>
  <c r="AB30" i="2"/>
  <c r="AG30" i="2"/>
  <c r="AH30" i="2"/>
  <c r="AM30" i="2"/>
  <c r="AN30" i="2"/>
  <c r="AS30" i="2"/>
  <c r="AT30" i="2"/>
  <c r="AY30" i="2"/>
  <c r="AZ30" i="2"/>
  <c r="BE30" i="2"/>
  <c r="BF30" i="2"/>
  <c r="BK30" i="2"/>
  <c r="BL30" i="2"/>
  <c r="BQ30" i="2"/>
  <c r="BR30" i="2"/>
  <c r="BX30" i="2"/>
  <c r="BY30" i="2"/>
  <c r="CE30" i="2"/>
  <c r="CF30" i="2"/>
  <c r="CL30" i="2"/>
  <c r="CM30" i="2"/>
  <c r="CS30" i="2"/>
  <c r="CT30" i="2"/>
  <c r="CY30" i="2"/>
  <c r="CZ30" i="2"/>
  <c r="DA30" i="2"/>
  <c r="DF30" i="2"/>
  <c r="DG30" i="2"/>
  <c r="DH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 s="1"/>
  <c r="N31" i="2"/>
  <c r="O31" i="2"/>
  <c r="P31" i="2"/>
  <c r="U31" i="2"/>
  <c r="V31" i="2"/>
  <c r="AA31" i="2"/>
  <c r="AB31" i="2"/>
  <c r="AG31" i="2"/>
  <c r="AH31" i="2"/>
  <c r="AM31" i="2"/>
  <c r="AN31" i="2"/>
  <c r="AS31" i="2"/>
  <c r="AT31" i="2"/>
  <c r="AY31" i="2"/>
  <c r="AZ31" i="2"/>
  <c r="BE31" i="2"/>
  <c r="BF31" i="2"/>
  <c r="BK31" i="2"/>
  <c r="BL31" i="2"/>
  <c r="BQ31" i="2"/>
  <c r="BR31" i="2"/>
  <c r="BX31" i="2"/>
  <c r="BY31" i="2"/>
  <c r="CE31" i="2"/>
  <c r="CF31" i="2"/>
  <c r="CL31" i="2"/>
  <c r="CM31" i="2"/>
  <c r="CS31" i="2"/>
  <c r="CT31" i="2"/>
  <c r="CY31" i="2"/>
  <c r="CZ31" i="2"/>
  <c r="DA31" i="2"/>
  <c r="DF31" i="2"/>
  <c r="DG31" i="2"/>
  <c r="DH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 s="1"/>
  <c r="N32" i="2"/>
  <c r="O32" i="2"/>
  <c r="P32" i="2"/>
  <c r="U32" i="2"/>
  <c r="V32" i="2"/>
  <c r="AA32" i="2"/>
  <c r="AB32" i="2"/>
  <c r="AG32" i="2"/>
  <c r="AH32" i="2"/>
  <c r="AM32" i="2"/>
  <c r="AN32" i="2"/>
  <c r="AS32" i="2"/>
  <c r="AT32" i="2"/>
  <c r="AY32" i="2"/>
  <c r="AZ32" i="2"/>
  <c r="BE32" i="2"/>
  <c r="BF32" i="2"/>
  <c r="BK32" i="2"/>
  <c r="BL32" i="2"/>
  <c r="BQ32" i="2"/>
  <c r="BR32" i="2"/>
  <c r="BX32" i="2"/>
  <c r="BY32" i="2"/>
  <c r="CE32" i="2"/>
  <c r="CF32" i="2"/>
  <c r="CL32" i="2"/>
  <c r="CM32" i="2"/>
  <c r="CS32" i="2"/>
  <c r="CT32" i="2"/>
  <c r="CY32" i="2"/>
  <c r="CZ32" i="2"/>
  <c r="DA32" i="2"/>
  <c r="DF32" i="2"/>
  <c r="DG32" i="2"/>
  <c r="DH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 s="1"/>
  <c r="N33" i="2"/>
  <c r="O33" i="2"/>
  <c r="P33" i="2"/>
  <c r="U33" i="2"/>
  <c r="V33" i="2"/>
  <c r="AA33" i="2"/>
  <c r="AB33" i="2"/>
  <c r="AG33" i="2"/>
  <c r="AH33" i="2"/>
  <c r="AM33" i="2"/>
  <c r="AN33" i="2"/>
  <c r="AS33" i="2"/>
  <c r="AT33" i="2"/>
  <c r="AY33" i="2"/>
  <c r="AZ33" i="2"/>
  <c r="BE33" i="2"/>
  <c r="BF33" i="2"/>
  <c r="BK33" i="2"/>
  <c r="BL33" i="2"/>
  <c r="BQ33" i="2"/>
  <c r="BR33" i="2"/>
  <c r="BX33" i="2"/>
  <c r="BY33" i="2"/>
  <c r="CE33" i="2"/>
  <c r="CF33" i="2"/>
  <c r="CL33" i="2"/>
  <c r="CM33" i="2"/>
  <c r="CS33" i="2"/>
  <c r="CT33" i="2"/>
  <c r="CY33" i="2"/>
  <c r="CZ33" i="2"/>
  <c r="DA33" i="2"/>
  <c r="DF33" i="2"/>
  <c r="DG33" i="2"/>
  <c r="DH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 s="1"/>
  <c r="N34" i="2"/>
  <c r="O34" i="2"/>
  <c r="P34" i="2"/>
  <c r="U34" i="2"/>
  <c r="V34" i="2"/>
  <c r="AA34" i="2"/>
  <c r="AB34" i="2"/>
  <c r="AG34" i="2"/>
  <c r="AH34" i="2"/>
  <c r="AM34" i="2"/>
  <c r="AN34" i="2"/>
  <c r="AS34" i="2"/>
  <c r="AT34" i="2"/>
  <c r="AY34" i="2"/>
  <c r="AZ34" i="2"/>
  <c r="BE34" i="2"/>
  <c r="BF34" i="2"/>
  <c r="BK34" i="2"/>
  <c r="BL34" i="2"/>
  <c r="BQ34" i="2"/>
  <c r="BR34" i="2"/>
  <c r="BX34" i="2"/>
  <c r="BY34" i="2"/>
  <c r="CE34" i="2"/>
  <c r="CF34" i="2"/>
  <c r="CL34" i="2"/>
  <c r="CM34" i="2"/>
  <c r="CS34" i="2"/>
  <c r="CT34" i="2"/>
  <c r="CY34" i="2"/>
  <c r="CZ34" i="2"/>
  <c r="DA34" i="2"/>
  <c r="DF34" i="2"/>
  <c r="DG34" i="2"/>
  <c r="DH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 s="1"/>
  <c r="N35" i="2"/>
  <c r="O35" i="2"/>
  <c r="P35" i="2"/>
  <c r="U35" i="2"/>
  <c r="V35" i="2"/>
  <c r="AA35" i="2"/>
  <c r="AB35" i="2"/>
  <c r="AG35" i="2"/>
  <c r="AH35" i="2"/>
  <c r="AM35" i="2"/>
  <c r="AN35" i="2"/>
  <c r="AS35" i="2"/>
  <c r="AT35" i="2"/>
  <c r="AY35" i="2"/>
  <c r="AZ35" i="2"/>
  <c r="BE35" i="2"/>
  <c r="BF35" i="2"/>
  <c r="BK35" i="2"/>
  <c r="BL35" i="2"/>
  <c r="BQ35" i="2"/>
  <c r="BR35" i="2"/>
  <c r="BX35" i="2"/>
  <c r="BY35" i="2"/>
  <c r="CE35" i="2"/>
  <c r="CF35" i="2"/>
  <c r="CL35" i="2"/>
  <c r="CM35" i="2"/>
  <c r="CS35" i="2"/>
  <c r="CT35" i="2"/>
  <c r="CY35" i="2"/>
  <c r="CZ35" i="2"/>
  <c r="DA35" i="2"/>
  <c r="DF35" i="2"/>
  <c r="DG35" i="2"/>
  <c r="DH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 s="1"/>
  <c r="N36" i="2"/>
  <c r="O36" i="2"/>
  <c r="P36" i="2"/>
  <c r="U36" i="2"/>
  <c r="V36" i="2"/>
  <c r="AA36" i="2"/>
  <c r="AB36" i="2"/>
  <c r="AG36" i="2"/>
  <c r="AH36" i="2"/>
  <c r="AM36" i="2"/>
  <c r="AN36" i="2"/>
  <c r="AS36" i="2"/>
  <c r="AT36" i="2"/>
  <c r="AY36" i="2"/>
  <c r="AZ36" i="2"/>
  <c r="BE36" i="2"/>
  <c r="BF36" i="2"/>
  <c r="BK36" i="2"/>
  <c r="BL36" i="2"/>
  <c r="BQ36" i="2"/>
  <c r="BR36" i="2"/>
  <c r="BX36" i="2"/>
  <c r="BY36" i="2"/>
  <c r="CE36" i="2"/>
  <c r="CF36" i="2"/>
  <c r="CL36" i="2"/>
  <c r="CM36" i="2"/>
  <c r="CS36" i="2"/>
  <c r="CT36" i="2"/>
  <c r="CY36" i="2"/>
  <c r="CZ36" i="2"/>
  <c r="DA36" i="2"/>
  <c r="DF36" i="2"/>
  <c r="DG36" i="2"/>
  <c r="DH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 s="1"/>
  <c r="N37" i="2"/>
  <c r="O37" i="2"/>
  <c r="P37" i="2"/>
  <c r="U37" i="2"/>
  <c r="V37" i="2"/>
  <c r="AA37" i="2"/>
  <c r="AB37" i="2"/>
  <c r="AG37" i="2"/>
  <c r="AH37" i="2"/>
  <c r="AM37" i="2"/>
  <c r="AN37" i="2"/>
  <c r="AS37" i="2"/>
  <c r="AT37" i="2"/>
  <c r="AY37" i="2"/>
  <c r="AZ37" i="2"/>
  <c r="BE37" i="2"/>
  <c r="BF37" i="2"/>
  <c r="BK37" i="2"/>
  <c r="BL37" i="2"/>
  <c r="BQ37" i="2"/>
  <c r="BR37" i="2"/>
  <c r="BX37" i="2"/>
  <c r="BY37" i="2"/>
  <c r="CE37" i="2"/>
  <c r="CF37" i="2"/>
  <c r="CL37" i="2"/>
  <c r="CM37" i="2"/>
  <c r="CS37" i="2"/>
  <c r="CT37" i="2"/>
  <c r="CY37" i="2"/>
  <c r="CZ37" i="2"/>
  <c r="DA37" i="2"/>
  <c r="DF37" i="2"/>
  <c r="DG37" i="2"/>
  <c r="DH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 s="1"/>
  <c r="N38" i="2"/>
  <c r="O38" i="2"/>
  <c r="P38" i="2"/>
  <c r="U38" i="2"/>
  <c r="V38" i="2"/>
  <c r="AA38" i="2"/>
  <c r="AB38" i="2"/>
  <c r="AG38" i="2"/>
  <c r="AH38" i="2"/>
  <c r="AM38" i="2"/>
  <c r="AN38" i="2"/>
  <c r="AS38" i="2"/>
  <c r="AT38" i="2"/>
  <c r="AY38" i="2"/>
  <c r="AZ38" i="2"/>
  <c r="BE38" i="2"/>
  <c r="BF38" i="2"/>
  <c r="BK38" i="2"/>
  <c r="BL38" i="2"/>
  <c r="BQ38" i="2"/>
  <c r="BR38" i="2"/>
  <c r="BX38" i="2"/>
  <c r="BY38" i="2"/>
  <c r="CE38" i="2"/>
  <c r="CF38" i="2"/>
  <c r="CL38" i="2"/>
  <c r="CM38" i="2"/>
  <c r="CS38" i="2"/>
  <c r="CT38" i="2"/>
  <c r="CY38" i="2"/>
  <c r="CZ38" i="2"/>
  <c r="DA38" i="2"/>
  <c r="DF38" i="2"/>
  <c r="DG38" i="2"/>
  <c r="DH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 s="1"/>
  <c r="N39" i="2"/>
  <c r="O39" i="2"/>
  <c r="P39" i="2"/>
  <c r="U39" i="2"/>
  <c r="V39" i="2"/>
  <c r="AA39" i="2"/>
  <c r="AB39" i="2"/>
  <c r="AG39" i="2"/>
  <c r="AH39" i="2"/>
  <c r="AM39" i="2"/>
  <c r="AN39" i="2"/>
  <c r="AS39" i="2"/>
  <c r="AT39" i="2"/>
  <c r="AY39" i="2"/>
  <c r="AZ39" i="2"/>
  <c r="BE39" i="2"/>
  <c r="BF39" i="2"/>
  <c r="BK39" i="2"/>
  <c r="BL39" i="2"/>
  <c r="BQ39" i="2"/>
  <c r="BR39" i="2"/>
  <c r="BX39" i="2"/>
  <c r="BY39" i="2"/>
  <c r="CE39" i="2"/>
  <c r="CF39" i="2"/>
  <c r="CL39" i="2"/>
  <c r="CM39" i="2"/>
  <c r="CS39" i="2"/>
  <c r="CT39" i="2"/>
  <c r="CY39" i="2"/>
  <c r="CZ39" i="2"/>
  <c r="DA39" i="2"/>
  <c r="DF39" i="2"/>
  <c r="DG39" i="2"/>
  <c r="DH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 s="1"/>
  <c r="N40" i="2"/>
  <c r="O40" i="2"/>
  <c r="P40" i="2"/>
  <c r="U40" i="2"/>
  <c r="V40" i="2"/>
  <c r="AA40" i="2"/>
  <c r="AB40" i="2"/>
  <c r="AG40" i="2"/>
  <c r="AH40" i="2"/>
  <c r="AM40" i="2"/>
  <c r="AN40" i="2"/>
  <c r="AS40" i="2"/>
  <c r="AT40" i="2"/>
  <c r="AY40" i="2"/>
  <c r="AZ40" i="2"/>
  <c r="BE40" i="2"/>
  <c r="BF40" i="2"/>
  <c r="BK40" i="2"/>
  <c r="BL40" i="2"/>
  <c r="BQ40" i="2"/>
  <c r="BR40" i="2"/>
  <c r="BX40" i="2"/>
  <c r="BY40" i="2"/>
  <c r="CE40" i="2"/>
  <c r="CF40" i="2"/>
  <c r="CL40" i="2"/>
  <c r="CM40" i="2"/>
  <c r="CS40" i="2"/>
  <c r="CT40" i="2"/>
  <c r="CY40" i="2"/>
  <c r="CZ40" i="2"/>
  <c r="DA40" i="2"/>
  <c r="DF40" i="2"/>
  <c r="DG40" i="2"/>
  <c r="DH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 s="1"/>
  <c r="N41" i="2"/>
  <c r="O41" i="2"/>
  <c r="P41" i="2"/>
  <c r="U41" i="2"/>
  <c r="V41" i="2"/>
  <c r="AA41" i="2"/>
  <c r="AB41" i="2"/>
  <c r="AG41" i="2"/>
  <c r="AH41" i="2"/>
  <c r="AM41" i="2"/>
  <c r="AN41" i="2"/>
  <c r="AS41" i="2"/>
  <c r="AT41" i="2"/>
  <c r="AY41" i="2"/>
  <c r="AZ41" i="2"/>
  <c r="BE41" i="2"/>
  <c r="BF41" i="2"/>
  <c r="BK41" i="2"/>
  <c r="BL41" i="2"/>
  <c r="BQ41" i="2"/>
  <c r="BR41" i="2"/>
  <c r="BX41" i="2"/>
  <c r="BY41" i="2"/>
  <c r="CE41" i="2"/>
  <c r="CF41" i="2"/>
  <c r="CL41" i="2"/>
  <c r="CM41" i="2"/>
  <c r="CS41" i="2"/>
  <c r="CT41" i="2"/>
  <c r="CY41" i="2"/>
  <c r="CZ41" i="2"/>
  <c r="DA41" i="2"/>
  <c r="DF41" i="2"/>
  <c r="DG41" i="2"/>
  <c r="DH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 s="1"/>
  <c r="N42" i="2"/>
  <c r="O42" i="2"/>
  <c r="P42" i="2"/>
  <c r="U42" i="2"/>
  <c r="V42" i="2"/>
  <c r="AA42" i="2"/>
  <c r="AB42" i="2"/>
  <c r="AG42" i="2"/>
  <c r="AH42" i="2"/>
  <c r="AM42" i="2"/>
  <c r="AN42" i="2"/>
  <c r="AS42" i="2"/>
  <c r="AT42" i="2"/>
  <c r="AY42" i="2"/>
  <c r="AZ42" i="2"/>
  <c r="BE42" i="2"/>
  <c r="BF42" i="2"/>
  <c r="BK42" i="2"/>
  <c r="BL42" i="2"/>
  <c r="BQ42" i="2"/>
  <c r="BR42" i="2"/>
  <c r="BX42" i="2"/>
  <c r="BY42" i="2"/>
  <c r="CE42" i="2"/>
  <c r="CF42" i="2"/>
  <c r="CL42" i="2"/>
  <c r="CM42" i="2"/>
  <c r="CS42" i="2"/>
  <c r="CT42" i="2"/>
  <c r="CY42" i="2"/>
  <c r="CZ42" i="2"/>
  <c r="DA42" i="2"/>
  <c r="DF42" i="2"/>
  <c r="DG42" i="2"/>
  <c r="DH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 s="1"/>
  <c r="N43" i="2"/>
  <c r="O43" i="2"/>
  <c r="P43" i="2"/>
  <c r="U43" i="2"/>
  <c r="V43" i="2"/>
  <c r="AA43" i="2"/>
  <c r="AB43" i="2"/>
  <c r="AG43" i="2"/>
  <c r="AH43" i="2"/>
  <c r="AM43" i="2"/>
  <c r="AN43" i="2"/>
  <c r="AS43" i="2"/>
  <c r="AT43" i="2"/>
  <c r="AY43" i="2"/>
  <c r="AZ43" i="2"/>
  <c r="BE43" i="2"/>
  <c r="BF43" i="2"/>
  <c r="BK43" i="2"/>
  <c r="BL43" i="2"/>
  <c r="BQ43" i="2"/>
  <c r="BR43" i="2"/>
  <c r="BX43" i="2"/>
  <c r="BY43" i="2"/>
  <c r="CE43" i="2"/>
  <c r="CF43" i="2"/>
  <c r="CL43" i="2"/>
  <c r="CM43" i="2"/>
  <c r="CS43" i="2"/>
  <c r="CT43" i="2"/>
  <c r="CY43" i="2"/>
  <c r="CZ43" i="2"/>
  <c r="DA43" i="2"/>
  <c r="DF43" i="2"/>
  <c r="DG43" i="2"/>
  <c r="DH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 s="1"/>
  <c r="N44" i="2"/>
  <c r="O44" i="2"/>
  <c r="P44" i="2"/>
  <c r="U44" i="2"/>
  <c r="V44" i="2"/>
  <c r="AA44" i="2"/>
  <c r="AB44" i="2"/>
  <c r="AG44" i="2"/>
  <c r="AH44" i="2"/>
  <c r="AM44" i="2"/>
  <c r="AN44" i="2"/>
  <c r="AS44" i="2"/>
  <c r="AT44" i="2"/>
  <c r="AY44" i="2"/>
  <c r="AZ44" i="2"/>
  <c r="BE44" i="2"/>
  <c r="BF44" i="2"/>
  <c r="BK44" i="2"/>
  <c r="BL44" i="2"/>
  <c r="BQ44" i="2"/>
  <c r="BR44" i="2"/>
  <c r="BX44" i="2"/>
  <c r="BY44" i="2"/>
  <c r="CE44" i="2"/>
  <c r="CF44" i="2"/>
  <c r="CL44" i="2"/>
  <c r="CM44" i="2"/>
  <c r="CS44" i="2"/>
  <c r="CT44" i="2"/>
  <c r="CY44" i="2"/>
  <c r="CZ44" i="2"/>
  <c r="DA44" i="2"/>
  <c r="DF44" i="2"/>
  <c r="DG44" i="2"/>
  <c r="DH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 s="1"/>
  <c r="N45" i="2"/>
  <c r="O45" i="2"/>
  <c r="P45" i="2"/>
  <c r="U45" i="2"/>
  <c r="V45" i="2"/>
  <c r="AA45" i="2"/>
  <c r="AB45" i="2"/>
  <c r="AG45" i="2"/>
  <c r="AH45" i="2"/>
  <c r="AM45" i="2"/>
  <c r="AN45" i="2"/>
  <c r="AS45" i="2"/>
  <c r="AT45" i="2"/>
  <c r="AY45" i="2"/>
  <c r="AZ45" i="2"/>
  <c r="BE45" i="2"/>
  <c r="BF45" i="2"/>
  <c r="BK45" i="2"/>
  <c r="BL45" i="2"/>
  <c r="BQ45" i="2"/>
  <c r="BR45" i="2"/>
  <c r="BX45" i="2"/>
  <c r="BY45" i="2"/>
  <c r="CE45" i="2"/>
  <c r="CF45" i="2"/>
  <c r="CL45" i="2"/>
  <c r="CM45" i="2"/>
  <c r="CS45" i="2"/>
  <c r="CT45" i="2"/>
  <c r="CY45" i="2"/>
  <c r="CZ45" i="2"/>
  <c r="DA45" i="2"/>
  <c r="DF45" i="2"/>
  <c r="DG45" i="2"/>
  <c r="DH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 s="1"/>
  <c r="N46" i="2"/>
  <c r="O46" i="2"/>
  <c r="P46" i="2"/>
  <c r="U46" i="2"/>
  <c r="V46" i="2"/>
  <c r="AA46" i="2"/>
  <c r="AB46" i="2"/>
  <c r="AG46" i="2"/>
  <c r="AH46" i="2"/>
  <c r="AM46" i="2"/>
  <c r="AN46" i="2"/>
  <c r="AS46" i="2"/>
  <c r="AT46" i="2"/>
  <c r="AY46" i="2"/>
  <c r="AZ46" i="2"/>
  <c r="BE46" i="2"/>
  <c r="BF46" i="2"/>
  <c r="BK46" i="2"/>
  <c r="BL46" i="2"/>
  <c r="BQ46" i="2"/>
  <c r="BR46" i="2"/>
  <c r="BX46" i="2"/>
  <c r="BY46" i="2"/>
  <c r="CE46" i="2"/>
  <c r="CF46" i="2"/>
  <c r="CL46" i="2"/>
  <c r="CM46" i="2"/>
  <c r="CS46" i="2"/>
  <c r="CT46" i="2"/>
  <c r="CY46" i="2"/>
  <c r="CZ46" i="2"/>
  <c r="DA46" i="2"/>
  <c r="DF46" i="2"/>
  <c r="DG46" i="2"/>
  <c r="DH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 s="1"/>
  <c r="N47" i="2"/>
  <c r="O47" i="2"/>
  <c r="P47" i="2"/>
  <c r="U47" i="2"/>
  <c r="V47" i="2"/>
  <c r="AA47" i="2"/>
  <c r="AB47" i="2"/>
  <c r="AG47" i="2"/>
  <c r="AH47" i="2"/>
  <c r="AM47" i="2"/>
  <c r="AN47" i="2"/>
  <c r="AS47" i="2"/>
  <c r="AT47" i="2"/>
  <c r="AY47" i="2"/>
  <c r="AZ47" i="2"/>
  <c r="BE47" i="2"/>
  <c r="BF47" i="2"/>
  <c r="BK47" i="2"/>
  <c r="BL47" i="2"/>
  <c r="BQ47" i="2"/>
  <c r="BR47" i="2"/>
  <c r="BX47" i="2"/>
  <c r="BY47" i="2"/>
  <c r="CE47" i="2"/>
  <c r="CF47" i="2"/>
  <c r="CL47" i="2"/>
  <c r="CM47" i="2"/>
  <c r="CS47" i="2"/>
  <c r="CT47" i="2"/>
  <c r="CY47" i="2"/>
  <c r="CZ47" i="2"/>
  <c r="DA47" i="2"/>
  <c r="DF47" i="2"/>
  <c r="DG47" i="2"/>
  <c r="DH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 s="1"/>
  <c r="N48" i="2"/>
  <c r="O48" i="2"/>
  <c r="P48" i="2"/>
  <c r="U48" i="2"/>
  <c r="V48" i="2"/>
  <c r="AA48" i="2"/>
  <c r="AB48" i="2"/>
  <c r="AG48" i="2"/>
  <c r="AH48" i="2"/>
  <c r="AM48" i="2"/>
  <c r="AN48" i="2"/>
  <c r="AS48" i="2"/>
  <c r="AT48" i="2"/>
  <c r="AY48" i="2"/>
  <c r="AZ48" i="2"/>
  <c r="BE48" i="2"/>
  <c r="BF48" i="2"/>
  <c r="BK48" i="2"/>
  <c r="BL48" i="2"/>
  <c r="BQ48" i="2"/>
  <c r="BR48" i="2"/>
  <c r="BX48" i="2"/>
  <c r="BY48" i="2"/>
  <c r="CE48" i="2"/>
  <c r="CF48" i="2"/>
  <c r="CL48" i="2"/>
  <c r="CM48" i="2"/>
  <c r="CS48" i="2"/>
  <c r="CT48" i="2"/>
  <c r="CY48" i="2"/>
  <c r="CZ48" i="2"/>
  <c r="DA48" i="2"/>
  <c r="DF48" i="2"/>
  <c r="DG48" i="2"/>
  <c r="DH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 s="1"/>
  <c r="N49" i="2"/>
  <c r="O49" i="2"/>
  <c r="P49" i="2"/>
  <c r="U49" i="2"/>
  <c r="V49" i="2"/>
  <c r="AA49" i="2"/>
  <c r="AB49" i="2"/>
  <c r="AG49" i="2"/>
  <c r="AH49" i="2"/>
  <c r="AM49" i="2"/>
  <c r="AN49" i="2"/>
  <c r="AS49" i="2"/>
  <c r="AT49" i="2"/>
  <c r="AY49" i="2"/>
  <c r="AZ49" i="2"/>
  <c r="BE49" i="2"/>
  <c r="BF49" i="2"/>
  <c r="BK49" i="2"/>
  <c r="BL49" i="2"/>
  <c r="BQ49" i="2"/>
  <c r="BR49" i="2"/>
  <c r="BX49" i="2"/>
  <c r="BY49" i="2"/>
  <c r="CE49" i="2"/>
  <c r="CF49" i="2"/>
  <c r="CL49" i="2"/>
  <c r="CM49" i="2"/>
  <c r="CS49" i="2"/>
  <c r="CT49" i="2"/>
  <c r="CY49" i="2"/>
  <c r="CZ49" i="2"/>
  <c r="DA49" i="2"/>
  <c r="DF49" i="2"/>
  <c r="DG49" i="2"/>
  <c r="DH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 s="1"/>
  <c r="N50" i="2"/>
  <c r="O50" i="2"/>
  <c r="P50" i="2"/>
  <c r="U50" i="2"/>
  <c r="V50" i="2"/>
  <c r="AA50" i="2"/>
  <c r="AB50" i="2"/>
  <c r="AG50" i="2"/>
  <c r="AH50" i="2"/>
  <c r="AM50" i="2"/>
  <c r="AN50" i="2"/>
  <c r="AS50" i="2"/>
  <c r="AT50" i="2"/>
  <c r="AY50" i="2"/>
  <c r="AZ50" i="2"/>
  <c r="BE50" i="2"/>
  <c r="BF50" i="2"/>
  <c r="BK50" i="2"/>
  <c r="BL50" i="2"/>
  <c r="BQ50" i="2"/>
  <c r="BR50" i="2"/>
  <c r="BX50" i="2"/>
  <c r="BY50" i="2"/>
  <c r="CE50" i="2"/>
  <c r="CF50" i="2"/>
  <c r="CL50" i="2"/>
  <c r="CM50" i="2"/>
  <c r="CS50" i="2"/>
  <c r="CT50" i="2"/>
  <c r="CY50" i="2"/>
  <c r="CZ50" i="2"/>
  <c r="DA50" i="2"/>
  <c r="DF50" i="2"/>
  <c r="DG50" i="2"/>
  <c r="DH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 s="1"/>
  <c r="N51" i="2"/>
  <c r="O51" i="2"/>
  <c r="P51" i="2"/>
  <c r="U51" i="2"/>
  <c r="V51" i="2"/>
  <c r="AA51" i="2"/>
  <c r="AB51" i="2"/>
  <c r="AG51" i="2"/>
  <c r="AH51" i="2"/>
  <c r="AM51" i="2"/>
  <c r="AN51" i="2"/>
  <c r="AS51" i="2"/>
  <c r="AT51" i="2"/>
  <c r="AY51" i="2"/>
  <c r="AZ51" i="2"/>
  <c r="BE51" i="2"/>
  <c r="BF51" i="2"/>
  <c r="BK51" i="2"/>
  <c r="BL51" i="2"/>
  <c r="BQ51" i="2"/>
  <c r="BR51" i="2"/>
  <c r="BX51" i="2"/>
  <c r="BY51" i="2"/>
  <c r="CE51" i="2"/>
  <c r="CF51" i="2"/>
  <c r="CL51" i="2"/>
  <c r="CM51" i="2"/>
  <c r="CS51" i="2"/>
  <c r="CT51" i="2"/>
  <c r="CY51" i="2"/>
  <c r="CZ51" i="2"/>
  <c r="DA51" i="2"/>
  <c r="DF51" i="2"/>
  <c r="DG51" i="2"/>
  <c r="DH51" i="2"/>
  <c r="DH2" i="2"/>
  <c r="DG2" i="2"/>
  <c r="DA2" i="2"/>
  <c r="CZ2" i="2"/>
  <c r="CT2" i="2"/>
  <c r="CS2" i="2"/>
  <c r="CM2" i="2"/>
  <c r="CL2" i="2"/>
  <c r="CF2" i="2"/>
  <c r="CE2" i="2"/>
  <c r="BY2" i="2"/>
  <c r="BX2" i="2"/>
  <c r="BR2" i="2"/>
  <c r="BQ2" i="2"/>
  <c r="BL2" i="2"/>
  <c r="BK2" i="2"/>
  <c r="BF2" i="2"/>
  <c r="BE2" i="2"/>
  <c r="AZ2" i="2"/>
  <c r="AY2" i="2"/>
  <c r="AT2" i="2"/>
  <c r="AS2" i="2"/>
  <c r="AN2" i="2"/>
  <c r="AM2" i="2"/>
  <c r="AH2" i="2"/>
  <c r="AG2" i="2"/>
  <c r="AB2" i="2"/>
  <c r="AA2" i="2"/>
  <c r="V2" i="2"/>
  <c r="U2" i="2"/>
  <c r="P2" i="2"/>
  <c r="O2" i="2"/>
  <c r="N2" i="2"/>
  <c r="L2" i="2"/>
  <c r="M2" i="2" s="1"/>
  <c r="K2" i="2"/>
  <c r="H2" i="2"/>
  <c r="I2" i="2"/>
  <c r="J2" i="2"/>
  <c r="G2" i="2"/>
  <c r="F2" i="2"/>
  <c r="E2" i="2"/>
  <c r="D2" i="2"/>
  <c r="C2" i="2"/>
  <c r="B2" i="2"/>
  <c r="A2" i="2"/>
  <c r="J14" i="1"/>
  <c r="N14" i="1" s="1"/>
  <c r="Q3" i="2" s="1"/>
  <c r="K14" i="1"/>
  <c r="P14" i="1" s="1"/>
  <c r="S3" i="2" s="1"/>
  <c r="V14" i="1"/>
  <c r="Z14" i="1" s="1"/>
  <c r="W3" i="2" s="1"/>
  <c r="W14" i="1"/>
  <c r="AB14" i="1" s="1"/>
  <c r="Y3" i="2" s="1"/>
  <c r="AH14" i="1"/>
  <c r="AL14" i="1" s="1"/>
  <c r="AC3" i="2" s="1"/>
  <c r="AI14" i="1"/>
  <c r="AN14" i="1" s="1"/>
  <c r="AE3" i="2" s="1"/>
  <c r="AT14" i="1"/>
  <c r="AU14" i="1"/>
  <c r="AZ14" i="1" s="1"/>
  <c r="AK3" i="2" s="1"/>
  <c r="BF14" i="1"/>
  <c r="BJ14" i="1" s="1"/>
  <c r="AO3" i="2" s="1"/>
  <c r="BG14" i="1"/>
  <c r="BL14" i="1" s="1"/>
  <c r="AQ3" i="2" s="1"/>
  <c r="BR14" i="1"/>
  <c r="BV14" i="1" s="1"/>
  <c r="AU3" i="2" s="1"/>
  <c r="BS14" i="1"/>
  <c r="BX14" i="1" s="1"/>
  <c r="AW3" i="2" s="1"/>
  <c r="CD14" i="1"/>
  <c r="CH14" i="1" s="1"/>
  <c r="BA3" i="2" s="1"/>
  <c r="CE14" i="1"/>
  <c r="CP14" i="1"/>
  <c r="CT14" i="1" s="1"/>
  <c r="BG3" i="2" s="1"/>
  <c r="CQ14" i="1"/>
  <c r="CV14" i="1" s="1"/>
  <c r="BI3" i="2" s="1"/>
  <c r="DB14" i="1"/>
  <c r="DF14" i="1" s="1"/>
  <c r="BM3" i="2" s="1"/>
  <c r="DC14" i="1"/>
  <c r="DH14" i="1" s="1"/>
  <c r="BO3" i="2" s="1"/>
  <c r="DN14" i="1"/>
  <c r="DR14" i="1" s="1"/>
  <c r="BS3" i="2" s="1"/>
  <c r="DO14" i="1"/>
  <c r="DT14" i="1" s="1"/>
  <c r="BU3" i="2" s="1"/>
  <c r="DZ14" i="1"/>
  <c r="ED14" i="1" s="1"/>
  <c r="BZ3" i="2" s="1"/>
  <c r="EA14" i="1"/>
  <c r="EF14" i="1" s="1"/>
  <c r="CB3" i="2" s="1"/>
  <c r="EL14" i="1"/>
  <c r="EM14" i="1"/>
  <c r="ER14" i="1" s="1"/>
  <c r="CI3" i="2" s="1"/>
  <c r="EX14" i="1"/>
  <c r="FB14" i="1" s="1"/>
  <c r="CN3" i="2" s="1"/>
  <c r="EY14" i="1"/>
  <c r="FD14" i="1" s="1"/>
  <c r="CP3" i="2" s="1"/>
  <c r="FJ14" i="1"/>
  <c r="FN14" i="1" s="1"/>
  <c r="CU3" i="2" s="1"/>
  <c r="FK14" i="1"/>
  <c r="FP14" i="1" s="1"/>
  <c r="CW3" i="2" s="1"/>
  <c r="FV14" i="1"/>
  <c r="FZ14" i="1" s="1"/>
  <c r="DB3" i="2" s="1"/>
  <c r="FW14" i="1"/>
  <c r="GH14" i="1"/>
  <c r="GL14" i="1" s="1"/>
  <c r="DI3" i="2" s="1"/>
  <c r="GI14" i="1"/>
  <c r="GN14" i="1" s="1"/>
  <c r="DK3" i="2" s="1"/>
  <c r="GK14" i="1"/>
  <c r="GO14" i="1" s="1"/>
  <c r="DL3" i="2" s="1"/>
  <c r="J15" i="1"/>
  <c r="N15" i="1" s="1"/>
  <c r="Q4" i="2" s="1"/>
  <c r="K15" i="1"/>
  <c r="P15" i="1" s="1"/>
  <c r="S4" i="2" s="1"/>
  <c r="V15" i="1"/>
  <c r="Z15" i="1" s="1"/>
  <c r="W4" i="2" s="1"/>
  <c r="W15" i="1"/>
  <c r="AB15" i="1" s="1"/>
  <c r="Y4" i="2" s="1"/>
  <c r="AH15" i="1"/>
  <c r="AL15" i="1" s="1"/>
  <c r="AC4" i="2" s="1"/>
  <c r="AI15" i="1"/>
  <c r="AN15" i="1" s="1"/>
  <c r="AE4" i="2" s="1"/>
  <c r="AT15" i="1"/>
  <c r="AU15" i="1"/>
  <c r="AZ15" i="1" s="1"/>
  <c r="AK4" i="2" s="1"/>
  <c r="BF15" i="1"/>
  <c r="BJ15" i="1" s="1"/>
  <c r="AO4" i="2" s="1"/>
  <c r="BG15" i="1"/>
  <c r="BL15" i="1" s="1"/>
  <c r="AQ4" i="2" s="1"/>
  <c r="BR15" i="1"/>
  <c r="BV15" i="1" s="1"/>
  <c r="AU4" i="2" s="1"/>
  <c r="BS15" i="1"/>
  <c r="BX15" i="1" s="1"/>
  <c r="AW4" i="2" s="1"/>
  <c r="CD15" i="1"/>
  <c r="CH15" i="1" s="1"/>
  <c r="BA4" i="2" s="1"/>
  <c r="CE15" i="1"/>
  <c r="CP15" i="1"/>
  <c r="CT15" i="1" s="1"/>
  <c r="BG4" i="2" s="1"/>
  <c r="CQ15" i="1"/>
  <c r="CV15" i="1" s="1"/>
  <c r="BI4" i="2" s="1"/>
  <c r="DB15" i="1"/>
  <c r="DF15" i="1" s="1"/>
  <c r="BM4" i="2" s="1"/>
  <c r="DC15" i="1"/>
  <c r="DH15" i="1" s="1"/>
  <c r="BO4" i="2" s="1"/>
  <c r="DN15" i="1"/>
  <c r="DR15" i="1" s="1"/>
  <c r="BS4" i="2" s="1"/>
  <c r="DO15" i="1"/>
  <c r="DT15" i="1" s="1"/>
  <c r="BU4" i="2" s="1"/>
  <c r="DZ15" i="1"/>
  <c r="ED15" i="1" s="1"/>
  <c r="BZ4" i="2" s="1"/>
  <c r="EA15" i="1"/>
  <c r="EF15" i="1" s="1"/>
  <c r="CB4" i="2" s="1"/>
  <c r="EL15" i="1"/>
  <c r="EM15" i="1"/>
  <c r="ER15" i="1" s="1"/>
  <c r="CI4" i="2" s="1"/>
  <c r="EX15" i="1"/>
  <c r="FB15" i="1" s="1"/>
  <c r="CN4" i="2" s="1"/>
  <c r="EY15" i="1"/>
  <c r="FD15" i="1" s="1"/>
  <c r="CP4" i="2" s="1"/>
  <c r="FJ15" i="1"/>
  <c r="FN15" i="1" s="1"/>
  <c r="CU4" i="2" s="1"/>
  <c r="FK15" i="1"/>
  <c r="FP15" i="1" s="1"/>
  <c r="CW4" i="2" s="1"/>
  <c r="FV15" i="1"/>
  <c r="FZ15" i="1" s="1"/>
  <c r="DB4" i="2" s="1"/>
  <c r="FW15" i="1"/>
  <c r="GH15" i="1"/>
  <c r="GL15" i="1" s="1"/>
  <c r="DI4" i="2" s="1"/>
  <c r="GI15" i="1"/>
  <c r="GN15" i="1" s="1"/>
  <c r="DK4" i="2" s="1"/>
  <c r="J16" i="1"/>
  <c r="N16" i="1" s="1"/>
  <c r="Q5" i="2" s="1"/>
  <c r="K16" i="1"/>
  <c r="P16" i="1" s="1"/>
  <c r="S5" i="2" s="1"/>
  <c r="V16" i="1"/>
  <c r="Z16" i="1" s="1"/>
  <c r="W5" i="2" s="1"/>
  <c r="W16" i="1"/>
  <c r="AB16" i="1" s="1"/>
  <c r="Y5" i="2" s="1"/>
  <c r="AH16" i="1"/>
  <c r="AL16" i="1" s="1"/>
  <c r="AC5" i="2" s="1"/>
  <c r="AI16" i="1"/>
  <c r="AN16" i="1" s="1"/>
  <c r="AE5" i="2" s="1"/>
  <c r="AT16" i="1"/>
  <c r="AU16" i="1"/>
  <c r="AZ16" i="1" s="1"/>
  <c r="AK5" i="2" s="1"/>
  <c r="BF16" i="1"/>
  <c r="BJ16" i="1" s="1"/>
  <c r="AO5" i="2" s="1"/>
  <c r="BG16" i="1"/>
  <c r="BL16" i="1" s="1"/>
  <c r="AQ5" i="2" s="1"/>
  <c r="BR16" i="1"/>
  <c r="BV16" i="1" s="1"/>
  <c r="AU5" i="2" s="1"/>
  <c r="BS16" i="1"/>
  <c r="BX16" i="1" s="1"/>
  <c r="AW5" i="2" s="1"/>
  <c r="CD16" i="1"/>
  <c r="CH16" i="1" s="1"/>
  <c r="BA5" i="2" s="1"/>
  <c r="CE16" i="1"/>
  <c r="CP16" i="1"/>
  <c r="CT16" i="1" s="1"/>
  <c r="BG5" i="2" s="1"/>
  <c r="CQ16" i="1"/>
  <c r="CV16" i="1" s="1"/>
  <c r="BI5" i="2" s="1"/>
  <c r="DB16" i="1"/>
  <c r="DF16" i="1" s="1"/>
  <c r="BM5" i="2" s="1"/>
  <c r="DC16" i="1"/>
  <c r="DH16" i="1" s="1"/>
  <c r="BO5" i="2" s="1"/>
  <c r="DN16" i="1"/>
  <c r="DR16" i="1" s="1"/>
  <c r="BS5" i="2" s="1"/>
  <c r="DO16" i="1"/>
  <c r="DT16" i="1" s="1"/>
  <c r="BU5" i="2" s="1"/>
  <c r="DZ16" i="1"/>
  <c r="ED16" i="1" s="1"/>
  <c r="BZ5" i="2" s="1"/>
  <c r="EA16" i="1"/>
  <c r="EF16" i="1" s="1"/>
  <c r="CB5" i="2" s="1"/>
  <c r="EL16" i="1"/>
  <c r="EM16" i="1"/>
  <c r="ER16" i="1" s="1"/>
  <c r="CI5" i="2" s="1"/>
  <c r="EX16" i="1"/>
  <c r="FB16" i="1" s="1"/>
  <c r="CN5" i="2" s="1"/>
  <c r="EY16" i="1"/>
  <c r="FD16" i="1" s="1"/>
  <c r="CP5" i="2" s="1"/>
  <c r="FJ16" i="1"/>
  <c r="FN16" i="1" s="1"/>
  <c r="CU5" i="2" s="1"/>
  <c r="FK16" i="1"/>
  <c r="FP16" i="1" s="1"/>
  <c r="CW5" i="2" s="1"/>
  <c r="FV16" i="1"/>
  <c r="FZ16" i="1" s="1"/>
  <c r="DB5" i="2" s="1"/>
  <c r="FW16" i="1"/>
  <c r="GH16" i="1"/>
  <c r="GL16" i="1" s="1"/>
  <c r="DI5" i="2" s="1"/>
  <c r="GI16" i="1"/>
  <c r="GN16" i="1" s="1"/>
  <c r="DK5" i="2" s="1"/>
  <c r="J17" i="1"/>
  <c r="N17" i="1" s="1"/>
  <c r="Q6" i="2" s="1"/>
  <c r="K17" i="1"/>
  <c r="P17" i="1" s="1"/>
  <c r="S6" i="2" s="1"/>
  <c r="V17" i="1"/>
  <c r="Z17" i="1" s="1"/>
  <c r="W6" i="2" s="1"/>
  <c r="W17" i="1"/>
  <c r="AB17" i="1" s="1"/>
  <c r="Y6" i="2" s="1"/>
  <c r="AH17" i="1"/>
  <c r="AL17" i="1" s="1"/>
  <c r="AC6" i="2" s="1"/>
  <c r="AI17" i="1"/>
  <c r="AN17" i="1" s="1"/>
  <c r="AE6" i="2" s="1"/>
  <c r="AT17" i="1"/>
  <c r="AU17" i="1"/>
  <c r="AZ17" i="1" s="1"/>
  <c r="AK6" i="2" s="1"/>
  <c r="BF17" i="1"/>
  <c r="BJ17" i="1" s="1"/>
  <c r="AO6" i="2" s="1"/>
  <c r="BG17" i="1"/>
  <c r="BL17" i="1" s="1"/>
  <c r="AQ6" i="2" s="1"/>
  <c r="BR17" i="1"/>
  <c r="BV17" i="1" s="1"/>
  <c r="AU6" i="2" s="1"/>
  <c r="BS17" i="1"/>
  <c r="BX17" i="1" s="1"/>
  <c r="AW6" i="2" s="1"/>
  <c r="CD17" i="1"/>
  <c r="CH17" i="1" s="1"/>
  <c r="BA6" i="2" s="1"/>
  <c r="CE17" i="1"/>
  <c r="CP17" i="1"/>
  <c r="CT17" i="1" s="1"/>
  <c r="BG6" i="2" s="1"/>
  <c r="CQ17" i="1"/>
  <c r="CV17" i="1" s="1"/>
  <c r="BI6" i="2" s="1"/>
  <c r="DB17" i="1"/>
  <c r="DF17" i="1" s="1"/>
  <c r="BM6" i="2" s="1"/>
  <c r="DC17" i="1"/>
  <c r="DH17" i="1" s="1"/>
  <c r="BO6" i="2" s="1"/>
  <c r="DN17" i="1"/>
  <c r="DR17" i="1" s="1"/>
  <c r="BS6" i="2" s="1"/>
  <c r="DO17" i="1"/>
  <c r="DT17" i="1" s="1"/>
  <c r="BU6" i="2" s="1"/>
  <c r="DZ17" i="1"/>
  <c r="ED17" i="1" s="1"/>
  <c r="BZ6" i="2" s="1"/>
  <c r="EA17" i="1"/>
  <c r="EF17" i="1" s="1"/>
  <c r="CB6" i="2" s="1"/>
  <c r="EL17" i="1"/>
  <c r="EM17" i="1"/>
  <c r="ER17" i="1" s="1"/>
  <c r="CI6" i="2" s="1"/>
  <c r="EX17" i="1"/>
  <c r="FB17" i="1" s="1"/>
  <c r="CN6" i="2" s="1"/>
  <c r="EY17" i="1"/>
  <c r="FD17" i="1" s="1"/>
  <c r="CP6" i="2" s="1"/>
  <c r="FJ17" i="1"/>
  <c r="FN17" i="1" s="1"/>
  <c r="CU6" i="2" s="1"/>
  <c r="FK17" i="1"/>
  <c r="FP17" i="1" s="1"/>
  <c r="CW6" i="2" s="1"/>
  <c r="FV17" i="1"/>
  <c r="FZ17" i="1" s="1"/>
  <c r="DB6" i="2" s="1"/>
  <c r="FW17" i="1"/>
  <c r="GH17" i="1"/>
  <c r="GL17" i="1" s="1"/>
  <c r="DI6" i="2" s="1"/>
  <c r="GI17" i="1"/>
  <c r="GN17" i="1" s="1"/>
  <c r="DK6" i="2" s="1"/>
  <c r="J18" i="1"/>
  <c r="N18" i="1" s="1"/>
  <c r="Q7" i="2" s="1"/>
  <c r="K18" i="1"/>
  <c r="P18" i="1" s="1"/>
  <c r="S7" i="2" s="1"/>
  <c r="V18" i="1"/>
  <c r="Z18" i="1" s="1"/>
  <c r="W7" i="2" s="1"/>
  <c r="W18" i="1"/>
  <c r="AB18" i="1" s="1"/>
  <c r="Y7" i="2" s="1"/>
  <c r="Y18" i="1"/>
  <c r="AC18" i="1" s="1"/>
  <c r="Z7" i="2" s="1"/>
  <c r="AH18" i="1"/>
  <c r="AL18" i="1" s="1"/>
  <c r="AC7" i="2" s="1"/>
  <c r="AI18" i="1"/>
  <c r="AN18" i="1" s="1"/>
  <c r="AE7" i="2" s="1"/>
  <c r="AT18" i="1"/>
  <c r="AU18" i="1"/>
  <c r="AZ18" i="1" s="1"/>
  <c r="AK7" i="2" s="1"/>
  <c r="BF18" i="1"/>
  <c r="BJ18" i="1" s="1"/>
  <c r="AO7" i="2" s="1"/>
  <c r="BG18" i="1"/>
  <c r="BL18" i="1" s="1"/>
  <c r="AQ7" i="2" s="1"/>
  <c r="BR18" i="1"/>
  <c r="BV18" i="1" s="1"/>
  <c r="AU7" i="2" s="1"/>
  <c r="BS18" i="1"/>
  <c r="BX18" i="1" s="1"/>
  <c r="AW7" i="2" s="1"/>
  <c r="CD18" i="1"/>
  <c r="CH18" i="1" s="1"/>
  <c r="BA7" i="2" s="1"/>
  <c r="CE18" i="1"/>
  <c r="CP18" i="1"/>
  <c r="CT18" i="1" s="1"/>
  <c r="BG7" i="2" s="1"/>
  <c r="CQ18" i="1"/>
  <c r="CV18" i="1" s="1"/>
  <c r="BI7" i="2" s="1"/>
  <c r="DB18" i="1"/>
  <c r="DF18" i="1" s="1"/>
  <c r="BM7" i="2" s="1"/>
  <c r="DC18" i="1"/>
  <c r="DH18" i="1" s="1"/>
  <c r="BO7" i="2" s="1"/>
  <c r="DN18" i="1"/>
  <c r="DR18" i="1" s="1"/>
  <c r="BS7" i="2" s="1"/>
  <c r="DO18" i="1"/>
  <c r="DT18" i="1" s="1"/>
  <c r="BU7" i="2" s="1"/>
  <c r="DZ18" i="1"/>
  <c r="ED18" i="1" s="1"/>
  <c r="BZ7" i="2" s="1"/>
  <c r="EA18" i="1"/>
  <c r="EF18" i="1" s="1"/>
  <c r="CB7" i="2" s="1"/>
  <c r="EL18" i="1"/>
  <c r="EP18" i="1" s="1"/>
  <c r="CG7" i="2" s="1"/>
  <c r="EM18" i="1"/>
  <c r="EX18" i="1"/>
  <c r="FB18" i="1" s="1"/>
  <c r="CN7" i="2" s="1"/>
  <c r="EY18" i="1"/>
  <c r="FD18" i="1" s="1"/>
  <c r="CP7" i="2" s="1"/>
  <c r="FJ18" i="1"/>
  <c r="FN18" i="1" s="1"/>
  <c r="CU7" i="2" s="1"/>
  <c r="FK18" i="1"/>
  <c r="FP18" i="1" s="1"/>
  <c r="CW7" i="2" s="1"/>
  <c r="FV18" i="1"/>
  <c r="FZ18" i="1" s="1"/>
  <c r="DB7" i="2" s="1"/>
  <c r="FW18" i="1"/>
  <c r="GB18" i="1" s="1"/>
  <c r="DD7" i="2" s="1"/>
  <c r="GH18" i="1"/>
  <c r="GL18" i="1" s="1"/>
  <c r="DI7" i="2" s="1"/>
  <c r="GI18" i="1"/>
  <c r="J19" i="1"/>
  <c r="N19" i="1" s="1"/>
  <c r="Q8" i="2" s="1"/>
  <c r="K19" i="1"/>
  <c r="V19" i="1"/>
  <c r="Z19" i="1" s="1"/>
  <c r="W8" i="2" s="1"/>
  <c r="W19" i="1"/>
  <c r="AB19" i="1" s="1"/>
  <c r="Y8" i="2" s="1"/>
  <c r="AH19" i="1"/>
  <c r="AL19" i="1" s="1"/>
  <c r="AC8" i="2" s="1"/>
  <c r="AI19" i="1"/>
  <c r="AN19" i="1" s="1"/>
  <c r="AE8" i="2" s="1"/>
  <c r="AT19" i="1"/>
  <c r="AU19" i="1"/>
  <c r="BF19" i="1"/>
  <c r="BJ19" i="1" s="1"/>
  <c r="AO8" i="2" s="1"/>
  <c r="BG19" i="1"/>
  <c r="BL19" i="1" s="1"/>
  <c r="AQ8" i="2" s="1"/>
  <c r="BR19" i="1"/>
  <c r="BV19" i="1" s="1"/>
  <c r="AU8" i="2" s="1"/>
  <c r="BS19" i="1"/>
  <c r="BX19" i="1" s="1"/>
  <c r="AW8" i="2" s="1"/>
  <c r="CD19" i="1"/>
  <c r="CH19" i="1" s="1"/>
  <c r="BA8" i="2" s="1"/>
  <c r="CE19" i="1"/>
  <c r="CG19" i="1" s="1"/>
  <c r="CK19" i="1" s="1"/>
  <c r="BD8" i="2" s="1"/>
  <c r="CP19" i="1"/>
  <c r="CR19" i="1" s="1"/>
  <c r="CU19" i="1" s="1"/>
  <c r="BH8" i="2" s="1"/>
  <c r="CQ19" i="1"/>
  <c r="CS19" i="1" s="1"/>
  <c r="CW19" i="1" s="1"/>
  <c r="BJ8" i="2" s="1"/>
  <c r="DB19" i="1"/>
  <c r="DF19" i="1" s="1"/>
  <c r="BM8" i="2" s="1"/>
  <c r="DC19" i="1"/>
  <c r="DH19" i="1" s="1"/>
  <c r="BO8" i="2" s="1"/>
  <c r="DN19" i="1"/>
  <c r="DP19" i="1" s="1"/>
  <c r="DS19" i="1" s="1"/>
  <c r="BT8" i="2" s="1"/>
  <c r="DO19" i="1"/>
  <c r="DQ19" i="1" s="1"/>
  <c r="DU19" i="1" s="1"/>
  <c r="BV8" i="2" s="1"/>
  <c r="DZ19" i="1"/>
  <c r="EB19" i="1" s="1"/>
  <c r="EE19" i="1" s="1"/>
  <c r="CA8" i="2" s="1"/>
  <c r="EA19" i="1"/>
  <c r="EF19" i="1" s="1"/>
  <c r="CB8" i="2" s="1"/>
  <c r="EL19" i="1"/>
  <c r="EN19" i="1" s="1"/>
  <c r="EQ19" i="1" s="1"/>
  <c r="CH8" i="2" s="1"/>
  <c r="EM19" i="1"/>
  <c r="ER19" i="1" s="1"/>
  <c r="CI8" i="2" s="1"/>
  <c r="EX19" i="1"/>
  <c r="EZ19" i="1" s="1"/>
  <c r="FC19" i="1" s="1"/>
  <c r="CO8" i="2" s="1"/>
  <c r="EY19" i="1"/>
  <c r="FA19" i="1" s="1"/>
  <c r="FE19" i="1" s="1"/>
  <c r="CQ8" i="2" s="1"/>
  <c r="FJ19" i="1"/>
  <c r="FL19" i="1" s="1"/>
  <c r="FO19" i="1" s="1"/>
  <c r="CV8" i="2" s="1"/>
  <c r="FK19" i="1"/>
  <c r="FM19" i="1" s="1"/>
  <c r="FQ19" i="1" s="1"/>
  <c r="CX8" i="2" s="1"/>
  <c r="FV19" i="1"/>
  <c r="FX19" i="1" s="1"/>
  <c r="GA19" i="1" s="1"/>
  <c r="DC8" i="2" s="1"/>
  <c r="FW19" i="1"/>
  <c r="FY19" i="1" s="1"/>
  <c r="GC19" i="1" s="1"/>
  <c r="DE8" i="2" s="1"/>
  <c r="GH19" i="1"/>
  <c r="GJ19" i="1" s="1"/>
  <c r="GM19" i="1" s="1"/>
  <c r="DJ8" i="2" s="1"/>
  <c r="GI19" i="1"/>
  <c r="GK19" i="1" s="1"/>
  <c r="GO19" i="1" s="1"/>
  <c r="DL8" i="2" s="1"/>
  <c r="J20" i="1"/>
  <c r="L20" i="1" s="1"/>
  <c r="O20" i="1" s="1"/>
  <c r="R9" i="2" s="1"/>
  <c r="K20" i="1"/>
  <c r="M20" i="1" s="1"/>
  <c r="Q20" i="1" s="1"/>
  <c r="T9" i="2" s="1"/>
  <c r="V20" i="1"/>
  <c r="X20" i="1" s="1"/>
  <c r="AA20" i="1" s="1"/>
  <c r="X9" i="2" s="1"/>
  <c r="W20" i="1"/>
  <c r="AB20" i="1" s="1"/>
  <c r="Y9" i="2" s="1"/>
  <c r="AH20" i="1"/>
  <c r="AJ20" i="1" s="1"/>
  <c r="AM20" i="1" s="1"/>
  <c r="AD9" i="2" s="1"/>
  <c r="AI20" i="1"/>
  <c r="AK20" i="1" s="1"/>
  <c r="AO20" i="1" s="1"/>
  <c r="AF9" i="2" s="1"/>
  <c r="AT20" i="1"/>
  <c r="AX20" i="1" s="1"/>
  <c r="AI9" i="2" s="1"/>
  <c r="AU20" i="1"/>
  <c r="AZ20" i="1" s="1"/>
  <c r="AK9" i="2" s="1"/>
  <c r="BF20" i="1"/>
  <c r="BH20" i="1" s="1"/>
  <c r="BK20" i="1" s="1"/>
  <c r="AP9" i="2" s="1"/>
  <c r="BG20" i="1"/>
  <c r="BI20" i="1" s="1"/>
  <c r="BM20" i="1" s="1"/>
  <c r="AR9" i="2" s="1"/>
  <c r="BR20" i="1"/>
  <c r="BT20" i="1" s="1"/>
  <c r="BW20" i="1" s="1"/>
  <c r="AV9" i="2" s="1"/>
  <c r="BS20" i="1"/>
  <c r="BX20" i="1" s="1"/>
  <c r="AW9" i="2" s="1"/>
  <c r="CD20" i="1"/>
  <c r="CH20" i="1" s="1"/>
  <c r="BA9" i="2" s="1"/>
  <c r="CE20" i="1"/>
  <c r="CG20" i="1" s="1"/>
  <c r="CK20" i="1" s="1"/>
  <c r="BD9" i="2" s="1"/>
  <c r="CP20" i="1"/>
  <c r="CT20" i="1" s="1"/>
  <c r="BG9" i="2" s="1"/>
  <c r="CQ20" i="1"/>
  <c r="CS20" i="1" s="1"/>
  <c r="CW20" i="1" s="1"/>
  <c r="BJ9" i="2" s="1"/>
  <c r="DB20" i="1"/>
  <c r="DF20" i="1" s="1"/>
  <c r="BM9" i="2" s="1"/>
  <c r="DC20" i="1"/>
  <c r="DH20" i="1" s="1"/>
  <c r="BO9" i="2" s="1"/>
  <c r="DN20" i="1"/>
  <c r="DP20" i="1" s="1"/>
  <c r="DS20" i="1" s="1"/>
  <c r="BT9" i="2" s="1"/>
  <c r="DO20" i="1"/>
  <c r="DT20" i="1" s="1"/>
  <c r="BU9" i="2" s="1"/>
  <c r="DZ20" i="1"/>
  <c r="ED20" i="1" s="1"/>
  <c r="BZ9" i="2" s="1"/>
  <c r="EA20" i="1"/>
  <c r="EF20" i="1" s="1"/>
  <c r="CB9" i="2" s="1"/>
  <c r="EL20" i="1"/>
  <c r="EP20" i="1" s="1"/>
  <c r="CG9" i="2" s="1"/>
  <c r="EM20" i="1"/>
  <c r="ER20" i="1" s="1"/>
  <c r="CI9" i="2" s="1"/>
  <c r="EX20" i="1"/>
  <c r="FB20" i="1" s="1"/>
  <c r="CN9" i="2" s="1"/>
  <c r="EY20" i="1"/>
  <c r="FD20" i="1" s="1"/>
  <c r="CP9" i="2" s="1"/>
  <c r="FJ20" i="1"/>
  <c r="FL20" i="1" s="1"/>
  <c r="FO20" i="1" s="1"/>
  <c r="CV9" i="2" s="1"/>
  <c r="FK20" i="1"/>
  <c r="FP20" i="1" s="1"/>
  <c r="CW9" i="2" s="1"/>
  <c r="FV20" i="1"/>
  <c r="FZ20" i="1" s="1"/>
  <c r="DB9" i="2" s="1"/>
  <c r="FW20" i="1"/>
  <c r="GB20" i="1" s="1"/>
  <c r="DD9" i="2" s="1"/>
  <c r="GH20" i="1"/>
  <c r="GJ20" i="1" s="1"/>
  <c r="GM20" i="1" s="1"/>
  <c r="DJ9" i="2" s="1"/>
  <c r="GI20" i="1"/>
  <c r="GN20" i="1" s="1"/>
  <c r="DK9" i="2" s="1"/>
  <c r="J21" i="1"/>
  <c r="L21" i="1" s="1"/>
  <c r="O21" i="1" s="1"/>
  <c r="R10" i="2" s="1"/>
  <c r="K21" i="1"/>
  <c r="V21" i="1"/>
  <c r="X21" i="1" s="1"/>
  <c r="AA21" i="1" s="1"/>
  <c r="X10" i="2" s="1"/>
  <c r="W21" i="1"/>
  <c r="AH21" i="1"/>
  <c r="AL21" i="1" s="1"/>
  <c r="AC10" i="2" s="1"/>
  <c r="AI21" i="1"/>
  <c r="AN21" i="1" s="1"/>
  <c r="AE10" i="2" s="1"/>
  <c r="AT21" i="1"/>
  <c r="AV21" i="1" s="1"/>
  <c r="AY21" i="1" s="1"/>
  <c r="AJ10" i="2" s="1"/>
  <c r="AU21" i="1"/>
  <c r="AZ21" i="1" s="1"/>
  <c r="AK10" i="2" s="1"/>
  <c r="BF21" i="1"/>
  <c r="BH21" i="1" s="1"/>
  <c r="BK21" i="1" s="1"/>
  <c r="AP10" i="2" s="1"/>
  <c r="BG21" i="1"/>
  <c r="BR21" i="1"/>
  <c r="BV21" i="1" s="1"/>
  <c r="AU10" i="2" s="1"/>
  <c r="BS21" i="1"/>
  <c r="BX21" i="1" s="1"/>
  <c r="AW10" i="2" s="1"/>
  <c r="CD21" i="1"/>
  <c r="CF21" i="1" s="1"/>
  <c r="CI21" i="1" s="1"/>
  <c r="BB10" i="2" s="1"/>
  <c r="CE21" i="1"/>
  <c r="CJ21" i="1" s="1"/>
  <c r="BC10" i="2" s="1"/>
  <c r="CP21" i="1"/>
  <c r="CT21" i="1" s="1"/>
  <c r="BG10" i="2" s="1"/>
  <c r="CQ21" i="1"/>
  <c r="CV21" i="1" s="1"/>
  <c r="BI10" i="2" s="1"/>
  <c r="DB21" i="1"/>
  <c r="DD21" i="1" s="1"/>
  <c r="DG21" i="1" s="1"/>
  <c r="BN10" i="2" s="1"/>
  <c r="DC21" i="1"/>
  <c r="DN21" i="1"/>
  <c r="DP21" i="1" s="1"/>
  <c r="DS21" i="1" s="1"/>
  <c r="BT10" i="2" s="1"/>
  <c r="DO21" i="1"/>
  <c r="DT21" i="1" s="1"/>
  <c r="BU10" i="2" s="1"/>
  <c r="DZ21" i="1"/>
  <c r="EB21" i="1" s="1"/>
  <c r="EE21" i="1" s="1"/>
  <c r="CA10" i="2" s="1"/>
  <c r="EA21" i="1"/>
  <c r="EL21" i="1"/>
  <c r="EP21" i="1" s="1"/>
  <c r="CG10" i="2" s="1"/>
  <c r="EM21" i="1"/>
  <c r="ER21" i="1" s="1"/>
  <c r="CI10" i="2" s="1"/>
  <c r="EX21" i="1"/>
  <c r="EZ21" i="1" s="1"/>
  <c r="FC21" i="1" s="1"/>
  <c r="CO10" i="2" s="1"/>
  <c r="EY21" i="1"/>
  <c r="FJ21" i="1"/>
  <c r="FL21" i="1" s="1"/>
  <c r="FO21" i="1" s="1"/>
  <c r="CV10" i="2" s="1"/>
  <c r="FK21" i="1"/>
  <c r="FP21" i="1" s="1"/>
  <c r="CW10" i="2" s="1"/>
  <c r="FV21" i="1"/>
  <c r="FZ21" i="1" s="1"/>
  <c r="DB10" i="2" s="1"/>
  <c r="FW21" i="1"/>
  <c r="GH21" i="1"/>
  <c r="GJ21" i="1" s="1"/>
  <c r="GM21" i="1" s="1"/>
  <c r="DJ10" i="2" s="1"/>
  <c r="GI21" i="1"/>
  <c r="GN21" i="1" s="1"/>
  <c r="DK10" i="2" s="1"/>
  <c r="J22" i="1"/>
  <c r="L22" i="1" s="1"/>
  <c r="O22" i="1" s="1"/>
  <c r="R11" i="2" s="1"/>
  <c r="K22" i="1"/>
  <c r="V22" i="1"/>
  <c r="Z22" i="1" s="1"/>
  <c r="W11" i="2" s="1"/>
  <c r="W22" i="1"/>
  <c r="AH22" i="1"/>
  <c r="AJ22" i="1" s="1"/>
  <c r="AM22" i="1" s="1"/>
  <c r="AD11" i="2" s="1"/>
  <c r="AI22" i="1"/>
  <c r="AN22" i="1" s="1"/>
  <c r="AE11" i="2" s="1"/>
  <c r="AT22" i="1"/>
  <c r="AV22" i="1" s="1"/>
  <c r="AY22" i="1" s="1"/>
  <c r="AJ11" i="2" s="1"/>
  <c r="AU22" i="1"/>
  <c r="AZ22" i="1" s="1"/>
  <c r="AK11" i="2" s="1"/>
  <c r="BF22" i="1"/>
  <c r="BJ22" i="1" s="1"/>
  <c r="AO11" i="2" s="1"/>
  <c r="BG22" i="1"/>
  <c r="BR22" i="1"/>
  <c r="BV22" i="1" s="1"/>
  <c r="AU11" i="2" s="1"/>
  <c r="BS22" i="1"/>
  <c r="CD22" i="1"/>
  <c r="CF22" i="1" s="1"/>
  <c r="CI22" i="1" s="1"/>
  <c r="BB11" i="2" s="1"/>
  <c r="CE22" i="1"/>
  <c r="CJ22" i="1" s="1"/>
  <c r="BC11" i="2" s="1"/>
  <c r="CP22" i="1"/>
  <c r="CR22" i="1" s="1"/>
  <c r="CU22" i="1" s="1"/>
  <c r="BH11" i="2" s="1"/>
  <c r="CQ22" i="1"/>
  <c r="CV22" i="1" s="1"/>
  <c r="BI11" i="2" s="1"/>
  <c r="DB22" i="1"/>
  <c r="DD22" i="1" s="1"/>
  <c r="DG22" i="1" s="1"/>
  <c r="BN11" i="2" s="1"/>
  <c r="DC22" i="1"/>
  <c r="DE22" i="1" s="1"/>
  <c r="DI22" i="1" s="1"/>
  <c r="BP11" i="2" s="1"/>
  <c r="DN22" i="1"/>
  <c r="DP22" i="1" s="1"/>
  <c r="DS22" i="1" s="1"/>
  <c r="BT11" i="2" s="1"/>
  <c r="DO22" i="1"/>
  <c r="DQ22" i="1" s="1"/>
  <c r="DU22" i="1" s="1"/>
  <c r="BV11" i="2" s="1"/>
  <c r="DZ22" i="1"/>
  <c r="EB22" i="1" s="1"/>
  <c r="EE22" i="1" s="1"/>
  <c r="CA11" i="2" s="1"/>
  <c r="EA22" i="1"/>
  <c r="EC22" i="1" s="1"/>
  <c r="EG22" i="1" s="1"/>
  <c r="CC11" i="2" s="1"/>
  <c r="EL22" i="1"/>
  <c r="EP22" i="1" s="1"/>
  <c r="CG11" i="2" s="1"/>
  <c r="EM22" i="1"/>
  <c r="EO22" i="1" s="1"/>
  <c r="ES22" i="1" s="1"/>
  <c r="CJ11" i="2" s="1"/>
  <c r="EX22" i="1"/>
  <c r="EZ22" i="1" s="1"/>
  <c r="FC22" i="1" s="1"/>
  <c r="CO11" i="2" s="1"/>
  <c r="EY22" i="1"/>
  <c r="FJ22" i="1"/>
  <c r="FL22" i="1" s="1"/>
  <c r="FO22" i="1" s="1"/>
  <c r="CV11" i="2" s="1"/>
  <c r="FK22" i="1"/>
  <c r="FM22" i="1" s="1"/>
  <c r="FQ22" i="1" s="1"/>
  <c r="CX11" i="2" s="1"/>
  <c r="FN22" i="1"/>
  <c r="CU11" i="2" s="1"/>
  <c r="FV22" i="1"/>
  <c r="FZ22" i="1" s="1"/>
  <c r="DB11" i="2" s="1"/>
  <c r="FW22" i="1"/>
  <c r="FY22" i="1" s="1"/>
  <c r="GC22" i="1" s="1"/>
  <c r="DE11" i="2" s="1"/>
  <c r="FX22" i="1"/>
  <c r="GA22" i="1" s="1"/>
  <c r="DC11" i="2" s="1"/>
  <c r="GH22" i="1"/>
  <c r="GJ22" i="1" s="1"/>
  <c r="GM22" i="1" s="1"/>
  <c r="DJ11" i="2" s="1"/>
  <c r="GI22" i="1"/>
  <c r="GK22" i="1" s="1"/>
  <c r="GO22" i="1" s="1"/>
  <c r="DL11" i="2" s="1"/>
  <c r="J23" i="1"/>
  <c r="L23" i="1" s="1"/>
  <c r="O23" i="1" s="1"/>
  <c r="R12" i="2" s="1"/>
  <c r="K23" i="1"/>
  <c r="M23" i="1" s="1"/>
  <c r="Q23" i="1" s="1"/>
  <c r="T12" i="2" s="1"/>
  <c r="V23" i="1"/>
  <c r="X23" i="1" s="1"/>
  <c r="AA23" i="1" s="1"/>
  <c r="X12" i="2" s="1"/>
  <c r="W23" i="1"/>
  <c r="Y23" i="1" s="1"/>
  <c r="AC23" i="1" s="1"/>
  <c r="Z12" i="2" s="1"/>
  <c r="AH23" i="1"/>
  <c r="AJ23" i="1" s="1"/>
  <c r="AM23" i="1" s="1"/>
  <c r="AD12" i="2" s="1"/>
  <c r="AI23" i="1"/>
  <c r="AK23" i="1" s="1"/>
  <c r="AO23" i="1" s="1"/>
  <c r="AF12" i="2" s="1"/>
  <c r="AT23" i="1"/>
  <c r="AV23" i="1" s="1"/>
  <c r="AY23" i="1" s="1"/>
  <c r="AJ12" i="2" s="1"/>
  <c r="AU23" i="1"/>
  <c r="AW23" i="1" s="1"/>
  <c r="BA23" i="1" s="1"/>
  <c r="AL12" i="2" s="1"/>
  <c r="BF23" i="1"/>
  <c r="BH23" i="1" s="1"/>
  <c r="BK23" i="1" s="1"/>
  <c r="AP12" i="2" s="1"/>
  <c r="BG23" i="1"/>
  <c r="BR23" i="1"/>
  <c r="BT23" i="1" s="1"/>
  <c r="BW23" i="1" s="1"/>
  <c r="AV12" i="2" s="1"/>
  <c r="BS23" i="1"/>
  <c r="BU23" i="1" s="1"/>
  <c r="BY23" i="1" s="1"/>
  <c r="AX12" i="2" s="1"/>
  <c r="CD23" i="1"/>
  <c r="CF23" i="1" s="1"/>
  <c r="CI23" i="1" s="1"/>
  <c r="BB12" i="2" s="1"/>
  <c r="CE23" i="1"/>
  <c r="CG23" i="1" s="1"/>
  <c r="CK23" i="1" s="1"/>
  <c r="BD12" i="2" s="1"/>
  <c r="CP23" i="1"/>
  <c r="CT23" i="1" s="1"/>
  <c r="BG12" i="2" s="1"/>
  <c r="CQ23" i="1"/>
  <c r="CS23" i="1" s="1"/>
  <c r="CW23" i="1" s="1"/>
  <c r="BJ12" i="2" s="1"/>
  <c r="DB23" i="1"/>
  <c r="DD23" i="1" s="1"/>
  <c r="DG23" i="1" s="1"/>
  <c r="BN12" i="2" s="1"/>
  <c r="DC23" i="1"/>
  <c r="DE23" i="1" s="1"/>
  <c r="DI23" i="1" s="1"/>
  <c r="BP12" i="2" s="1"/>
  <c r="DN23" i="1"/>
  <c r="DP23" i="1" s="1"/>
  <c r="DS23" i="1" s="1"/>
  <c r="BT12" i="2" s="1"/>
  <c r="DO23" i="1"/>
  <c r="DQ23" i="1" s="1"/>
  <c r="DU23" i="1" s="1"/>
  <c r="BV12" i="2" s="1"/>
  <c r="DZ23" i="1"/>
  <c r="EB23" i="1" s="1"/>
  <c r="EE23" i="1" s="1"/>
  <c r="CA12" i="2" s="1"/>
  <c r="EA23" i="1"/>
  <c r="EC23" i="1" s="1"/>
  <c r="EG23" i="1" s="1"/>
  <c r="CC12" i="2" s="1"/>
  <c r="ED23" i="1"/>
  <c r="BZ12" i="2" s="1"/>
  <c r="EL23" i="1"/>
  <c r="EN23" i="1" s="1"/>
  <c r="EQ23" i="1" s="1"/>
  <c r="CH12" i="2" s="1"/>
  <c r="EM23" i="1"/>
  <c r="EO23" i="1" s="1"/>
  <c r="ES23" i="1" s="1"/>
  <c r="CJ12" i="2" s="1"/>
  <c r="EP23" i="1"/>
  <c r="CG12" i="2" s="1"/>
  <c r="EX23" i="1"/>
  <c r="EZ23" i="1" s="1"/>
  <c r="FC23" i="1" s="1"/>
  <c r="CO12" i="2" s="1"/>
  <c r="EY23" i="1"/>
  <c r="FJ23" i="1"/>
  <c r="FL23" i="1" s="1"/>
  <c r="FO23" i="1" s="1"/>
  <c r="CV12" i="2" s="1"/>
  <c r="FK23" i="1"/>
  <c r="FM23" i="1" s="1"/>
  <c r="FQ23" i="1" s="1"/>
  <c r="CX12" i="2" s="1"/>
  <c r="FV23" i="1"/>
  <c r="FZ23" i="1" s="1"/>
  <c r="DB12" i="2" s="1"/>
  <c r="FW23" i="1"/>
  <c r="FY23" i="1" s="1"/>
  <c r="GC23" i="1" s="1"/>
  <c r="DE12" i="2" s="1"/>
  <c r="GH23" i="1"/>
  <c r="GJ23" i="1" s="1"/>
  <c r="GM23" i="1" s="1"/>
  <c r="DJ12" i="2" s="1"/>
  <c r="GI23" i="1"/>
  <c r="GK23" i="1" s="1"/>
  <c r="GO23" i="1" s="1"/>
  <c r="DL12" i="2" s="1"/>
  <c r="J24" i="1"/>
  <c r="L24" i="1" s="1"/>
  <c r="O24" i="1" s="1"/>
  <c r="R13" i="2" s="1"/>
  <c r="K24" i="1"/>
  <c r="M24" i="1" s="1"/>
  <c r="Q24" i="1" s="1"/>
  <c r="T13" i="2" s="1"/>
  <c r="V24" i="1"/>
  <c r="X24" i="1" s="1"/>
  <c r="AA24" i="1" s="1"/>
  <c r="X13" i="2" s="1"/>
  <c r="W24" i="1"/>
  <c r="Y24" i="1" s="1"/>
  <c r="AC24" i="1" s="1"/>
  <c r="Z13" i="2" s="1"/>
  <c r="AH24" i="1"/>
  <c r="AL24" i="1" s="1"/>
  <c r="AC13" i="2" s="1"/>
  <c r="AI24" i="1"/>
  <c r="AK24" i="1" s="1"/>
  <c r="AO24" i="1" s="1"/>
  <c r="AF13" i="2" s="1"/>
  <c r="AT24" i="1"/>
  <c r="AX24" i="1" s="1"/>
  <c r="AI13" i="2" s="1"/>
  <c r="AU24" i="1"/>
  <c r="AW24" i="1" s="1"/>
  <c r="BA24" i="1" s="1"/>
  <c r="AL13" i="2" s="1"/>
  <c r="BF24" i="1"/>
  <c r="BH24" i="1" s="1"/>
  <c r="BK24" i="1" s="1"/>
  <c r="AP13" i="2" s="1"/>
  <c r="BG24" i="1"/>
  <c r="BR24" i="1"/>
  <c r="BT24" i="1" s="1"/>
  <c r="BW24" i="1" s="1"/>
  <c r="AV13" i="2" s="1"/>
  <c r="BS24" i="1"/>
  <c r="BU24" i="1" s="1"/>
  <c r="BY24" i="1" s="1"/>
  <c r="AX13" i="2" s="1"/>
  <c r="CD24" i="1"/>
  <c r="CF24" i="1" s="1"/>
  <c r="CI24" i="1" s="1"/>
  <c r="BB13" i="2" s="1"/>
  <c r="CE24" i="1"/>
  <c r="CG24" i="1" s="1"/>
  <c r="CK24" i="1" s="1"/>
  <c r="BD13" i="2" s="1"/>
  <c r="CP24" i="1"/>
  <c r="CR24" i="1" s="1"/>
  <c r="CU24" i="1" s="1"/>
  <c r="BH13" i="2" s="1"/>
  <c r="CQ24" i="1"/>
  <c r="CS24" i="1" s="1"/>
  <c r="CW24" i="1" s="1"/>
  <c r="BJ13" i="2" s="1"/>
  <c r="DB24" i="1"/>
  <c r="DD24" i="1" s="1"/>
  <c r="DG24" i="1" s="1"/>
  <c r="BN13" i="2" s="1"/>
  <c r="DC24" i="1"/>
  <c r="DE24" i="1" s="1"/>
  <c r="DI24" i="1" s="1"/>
  <c r="BP13" i="2" s="1"/>
  <c r="DN24" i="1"/>
  <c r="DP24" i="1" s="1"/>
  <c r="DS24" i="1" s="1"/>
  <c r="BT13" i="2" s="1"/>
  <c r="DO24" i="1"/>
  <c r="DQ24" i="1" s="1"/>
  <c r="DU24" i="1" s="1"/>
  <c r="BV13" i="2" s="1"/>
  <c r="DZ24" i="1"/>
  <c r="EB24" i="1" s="1"/>
  <c r="EE24" i="1" s="1"/>
  <c r="CA13" i="2" s="1"/>
  <c r="EA24" i="1"/>
  <c r="EC24" i="1" s="1"/>
  <c r="EG24" i="1" s="1"/>
  <c r="CC13" i="2" s="1"/>
  <c r="EL24" i="1"/>
  <c r="EN24" i="1" s="1"/>
  <c r="EQ24" i="1" s="1"/>
  <c r="CH13" i="2" s="1"/>
  <c r="EM24" i="1"/>
  <c r="EO24" i="1" s="1"/>
  <c r="ES24" i="1" s="1"/>
  <c r="CJ13" i="2" s="1"/>
  <c r="EX24" i="1"/>
  <c r="EZ24" i="1" s="1"/>
  <c r="FC24" i="1" s="1"/>
  <c r="CO13" i="2" s="1"/>
  <c r="EY24" i="1"/>
  <c r="FJ24" i="1"/>
  <c r="FL24" i="1" s="1"/>
  <c r="FO24" i="1" s="1"/>
  <c r="CV13" i="2" s="1"/>
  <c r="FK24" i="1"/>
  <c r="FM24" i="1" s="1"/>
  <c r="FQ24" i="1" s="1"/>
  <c r="CX13" i="2" s="1"/>
  <c r="FV24" i="1"/>
  <c r="FZ24" i="1" s="1"/>
  <c r="DB13" i="2" s="1"/>
  <c r="FW24" i="1"/>
  <c r="FY24" i="1" s="1"/>
  <c r="GC24" i="1"/>
  <c r="DE13" i="2" s="1"/>
  <c r="GH24" i="1"/>
  <c r="GL24" i="1" s="1"/>
  <c r="DI13" i="2" s="1"/>
  <c r="GI24" i="1"/>
  <c r="GK24" i="1" s="1"/>
  <c r="GO24" i="1" s="1"/>
  <c r="DL13" i="2" s="1"/>
  <c r="J25" i="1"/>
  <c r="L25" i="1" s="1"/>
  <c r="O25" i="1" s="1"/>
  <c r="R14" i="2" s="1"/>
  <c r="K25" i="1"/>
  <c r="M25" i="1" s="1"/>
  <c r="Q25" i="1" s="1"/>
  <c r="T14" i="2" s="1"/>
  <c r="V25" i="1"/>
  <c r="X25" i="1" s="1"/>
  <c r="AA25" i="1" s="1"/>
  <c r="X14" i="2" s="1"/>
  <c r="W25" i="1"/>
  <c r="Y25" i="1" s="1"/>
  <c r="AC25" i="1" s="1"/>
  <c r="Z14" i="2" s="1"/>
  <c r="AH25" i="1"/>
  <c r="AJ25" i="1" s="1"/>
  <c r="AM25" i="1" s="1"/>
  <c r="AD14" i="2" s="1"/>
  <c r="AI25" i="1"/>
  <c r="AK25" i="1" s="1"/>
  <c r="AO25" i="1" s="1"/>
  <c r="AF14" i="2" s="1"/>
  <c r="AT25" i="1"/>
  <c r="AU25" i="1"/>
  <c r="AW25" i="1" s="1"/>
  <c r="BA25" i="1" s="1"/>
  <c r="AL14" i="2" s="1"/>
  <c r="AV25" i="1"/>
  <c r="AY25" i="1" s="1"/>
  <c r="AJ14" i="2" s="1"/>
  <c r="AX25" i="1"/>
  <c r="AI14" i="2" s="1"/>
  <c r="BF25" i="1"/>
  <c r="BJ25" i="1" s="1"/>
  <c r="AO14" i="2" s="1"/>
  <c r="BG25" i="1"/>
  <c r="BI25" i="1" s="1"/>
  <c r="BM25" i="1" s="1"/>
  <c r="AR14" i="2" s="1"/>
  <c r="BR25" i="1"/>
  <c r="BV25" i="1" s="1"/>
  <c r="AU14" i="2" s="1"/>
  <c r="BS25" i="1"/>
  <c r="CD25" i="1"/>
  <c r="CF25" i="1" s="1"/>
  <c r="CI25" i="1" s="1"/>
  <c r="BB14" i="2" s="1"/>
  <c r="CE25" i="1"/>
  <c r="CP25" i="1"/>
  <c r="CR25" i="1" s="1"/>
  <c r="CU25" i="1" s="1"/>
  <c r="BH14" i="2" s="1"/>
  <c r="CQ25" i="1"/>
  <c r="CS25" i="1" s="1"/>
  <c r="CW25" i="1" s="1"/>
  <c r="BJ14" i="2" s="1"/>
  <c r="DB25" i="1"/>
  <c r="DD25" i="1" s="1"/>
  <c r="DG25" i="1" s="1"/>
  <c r="BN14" i="2" s="1"/>
  <c r="DC25" i="1"/>
  <c r="DE25" i="1" s="1"/>
  <c r="DI25" i="1" s="1"/>
  <c r="BP14" i="2" s="1"/>
  <c r="DN25" i="1"/>
  <c r="DP25" i="1" s="1"/>
  <c r="DS25" i="1" s="1"/>
  <c r="BT14" i="2" s="1"/>
  <c r="DO25" i="1"/>
  <c r="DQ25" i="1" s="1"/>
  <c r="DU25" i="1" s="1"/>
  <c r="BV14" i="2" s="1"/>
  <c r="DZ25" i="1"/>
  <c r="EB25" i="1" s="1"/>
  <c r="EE25" i="1" s="1"/>
  <c r="CA14" i="2" s="1"/>
  <c r="EA25" i="1"/>
  <c r="EL25" i="1"/>
  <c r="EN25" i="1" s="1"/>
  <c r="EQ25" i="1" s="1"/>
  <c r="CH14" i="2" s="1"/>
  <c r="EM25" i="1"/>
  <c r="EO25" i="1" s="1"/>
  <c r="ES25" i="1" s="1"/>
  <c r="CJ14" i="2" s="1"/>
  <c r="EX25" i="1"/>
  <c r="EZ25" i="1" s="1"/>
  <c r="FC25" i="1" s="1"/>
  <c r="CO14" i="2" s="1"/>
  <c r="EY25" i="1"/>
  <c r="FA25" i="1" s="1"/>
  <c r="FE25" i="1" s="1"/>
  <c r="CQ14" i="2" s="1"/>
  <c r="FJ25" i="1"/>
  <c r="FL25" i="1" s="1"/>
  <c r="FO25" i="1" s="1"/>
  <c r="CV14" i="2" s="1"/>
  <c r="FK25" i="1"/>
  <c r="FM25" i="1" s="1"/>
  <c r="FQ25" i="1"/>
  <c r="CX14" i="2" s="1"/>
  <c r="FV25" i="1"/>
  <c r="FX25" i="1" s="1"/>
  <c r="GA25" i="1" s="1"/>
  <c r="DC14" i="2" s="1"/>
  <c r="FW25" i="1"/>
  <c r="FY25" i="1" s="1"/>
  <c r="GC25" i="1" s="1"/>
  <c r="DE14" i="2" s="1"/>
  <c r="GH25" i="1"/>
  <c r="GJ25" i="1" s="1"/>
  <c r="GM25" i="1" s="1"/>
  <c r="DJ14" i="2" s="1"/>
  <c r="GI25" i="1"/>
  <c r="GK25" i="1" s="1"/>
  <c r="GO25" i="1" s="1"/>
  <c r="DL14" i="2" s="1"/>
  <c r="J26" i="1"/>
  <c r="L26" i="1" s="1"/>
  <c r="O26" i="1" s="1"/>
  <c r="R15" i="2" s="1"/>
  <c r="K26" i="1"/>
  <c r="M26" i="1" s="1"/>
  <c r="Q26" i="1" s="1"/>
  <c r="T15" i="2" s="1"/>
  <c r="V26" i="1"/>
  <c r="X26" i="1" s="1"/>
  <c r="AA26" i="1" s="1"/>
  <c r="X15" i="2" s="1"/>
  <c r="W26" i="1"/>
  <c r="Y26" i="1" s="1"/>
  <c r="AC26" i="1" s="1"/>
  <c r="Z15" i="2" s="1"/>
  <c r="AH26" i="1"/>
  <c r="AJ26" i="1" s="1"/>
  <c r="AM26" i="1" s="1"/>
  <c r="AD15" i="2" s="1"/>
  <c r="AI26" i="1"/>
  <c r="AT26" i="1"/>
  <c r="AV26" i="1" s="1"/>
  <c r="AY26" i="1" s="1"/>
  <c r="AJ15" i="2" s="1"/>
  <c r="AU26" i="1"/>
  <c r="AW26" i="1" s="1"/>
  <c r="BA26" i="1" s="1"/>
  <c r="AL15" i="2" s="1"/>
  <c r="BF26" i="1"/>
  <c r="BH26" i="1" s="1"/>
  <c r="BK26" i="1" s="1"/>
  <c r="AP15" i="2" s="1"/>
  <c r="BG26" i="1"/>
  <c r="BI26" i="1" s="1"/>
  <c r="BM26" i="1" s="1"/>
  <c r="AR15" i="2" s="1"/>
  <c r="BR26" i="1"/>
  <c r="BV26" i="1" s="1"/>
  <c r="AU15" i="2" s="1"/>
  <c r="BS26" i="1"/>
  <c r="BU26" i="1" s="1"/>
  <c r="BY26" i="1" s="1"/>
  <c r="AX15" i="2" s="1"/>
  <c r="CD26" i="1"/>
  <c r="CH26" i="1" s="1"/>
  <c r="BA15" i="2" s="1"/>
  <c r="CE26" i="1"/>
  <c r="CG26" i="1" s="1"/>
  <c r="CK26" i="1" s="1"/>
  <c r="BD15" i="2" s="1"/>
  <c r="CP26" i="1"/>
  <c r="CR26" i="1" s="1"/>
  <c r="CU26" i="1" s="1"/>
  <c r="BH15" i="2" s="1"/>
  <c r="CQ26" i="1"/>
  <c r="CS26" i="1" s="1"/>
  <c r="CW26" i="1" s="1"/>
  <c r="BJ15" i="2" s="1"/>
  <c r="DB26" i="1"/>
  <c r="DD26" i="1" s="1"/>
  <c r="DG26" i="1" s="1"/>
  <c r="BN15" i="2" s="1"/>
  <c r="DC26" i="1"/>
  <c r="DE26" i="1" s="1"/>
  <c r="DI26" i="1" s="1"/>
  <c r="BP15" i="2" s="1"/>
  <c r="DN26" i="1"/>
  <c r="DR26" i="1" s="1"/>
  <c r="BS15" i="2" s="1"/>
  <c r="DO26" i="1"/>
  <c r="DZ26" i="1"/>
  <c r="EB26" i="1" s="1"/>
  <c r="EE26" i="1" s="1"/>
  <c r="CA15" i="2" s="1"/>
  <c r="EA26" i="1"/>
  <c r="EC26" i="1" s="1"/>
  <c r="EG26" i="1" s="1"/>
  <c r="CC15" i="2" s="1"/>
  <c r="EL26" i="1"/>
  <c r="EN26" i="1" s="1"/>
  <c r="EQ26" i="1" s="1"/>
  <c r="CH15" i="2" s="1"/>
  <c r="EM26" i="1"/>
  <c r="EO26" i="1" s="1"/>
  <c r="ES26" i="1" s="1"/>
  <c r="CJ15" i="2" s="1"/>
  <c r="EX26" i="1"/>
  <c r="EZ26" i="1" s="1"/>
  <c r="FC26" i="1" s="1"/>
  <c r="CO15" i="2" s="1"/>
  <c r="EY26" i="1"/>
  <c r="FA26" i="1" s="1"/>
  <c r="FE26" i="1" s="1"/>
  <c r="CQ15" i="2" s="1"/>
  <c r="FJ26" i="1"/>
  <c r="FN26" i="1" s="1"/>
  <c r="CU15" i="2" s="1"/>
  <c r="FK26" i="1"/>
  <c r="FM26" i="1" s="1"/>
  <c r="FQ26" i="1" s="1"/>
  <c r="CX15" i="2" s="1"/>
  <c r="FV26" i="1"/>
  <c r="FX26" i="1" s="1"/>
  <c r="GA26" i="1" s="1"/>
  <c r="DC15" i="2" s="1"/>
  <c r="FW26" i="1"/>
  <c r="FY26" i="1" s="1"/>
  <c r="GC26" i="1" s="1"/>
  <c r="DE15" i="2" s="1"/>
  <c r="GH26" i="1"/>
  <c r="GJ26" i="1" s="1"/>
  <c r="GM26" i="1" s="1"/>
  <c r="DJ15" i="2" s="1"/>
  <c r="GI26" i="1"/>
  <c r="GK26" i="1" s="1"/>
  <c r="GO26" i="1" s="1"/>
  <c r="DL15" i="2" s="1"/>
  <c r="J27" i="1"/>
  <c r="L27" i="1" s="1"/>
  <c r="O27" i="1" s="1"/>
  <c r="R16" i="2" s="1"/>
  <c r="K27" i="1"/>
  <c r="M27" i="1" s="1"/>
  <c r="Q27" i="1" s="1"/>
  <c r="T16" i="2" s="1"/>
  <c r="V27" i="1"/>
  <c r="Z27" i="1" s="1"/>
  <c r="W16" i="2" s="1"/>
  <c r="W27" i="1"/>
  <c r="Y27" i="1" s="1"/>
  <c r="AC27" i="1" s="1"/>
  <c r="Z16" i="2" s="1"/>
  <c r="AH27" i="1"/>
  <c r="AJ27" i="1" s="1"/>
  <c r="AM27" i="1" s="1"/>
  <c r="AD16" i="2" s="1"/>
  <c r="AI27" i="1"/>
  <c r="AK27" i="1" s="1"/>
  <c r="AO27" i="1" s="1"/>
  <c r="AF16" i="2" s="1"/>
  <c r="AT27" i="1"/>
  <c r="AV27" i="1" s="1"/>
  <c r="AY27" i="1" s="1"/>
  <c r="AJ16" i="2" s="1"/>
  <c r="AU27" i="1"/>
  <c r="AW27" i="1" s="1"/>
  <c r="BA27" i="1" s="1"/>
  <c r="AL16" i="2" s="1"/>
  <c r="BF27" i="1"/>
  <c r="BH27" i="1" s="1"/>
  <c r="BK27" i="1" s="1"/>
  <c r="AP16" i="2" s="1"/>
  <c r="BG27" i="1"/>
  <c r="BI27" i="1" s="1"/>
  <c r="BM27" i="1" s="1"/>
  <c r="AR16" i="2" s="1"/>
  <c r="BR27" i="1"/>
  <c r="BT27" i="1" s="1"/>
  <c r="BW27" i="1" s="1"/>
  <c r="AV16" i="2" s="1"/>
  <c r="BS27" i="1"/>
  <c r="BU27" i="1" s="1"/>
  <c r="BY27" i="1" s="1"/>
  <c r="AX16" i="2" s="1"/>
  <c r="BX27" i="1"/>
  <c r="AW16" i="2" s="1"/>
  <c r="CD27" i="1"/>
  <c r="CF27" i="1" s="1"/>
  <c r="CI27" i="1" s="1"/>
  <c r="BB16" i="2" s="1"/>
  <c r="CE27" i="1"/>
  <c r="CG27" i="1" s="1"/>
  <c r="CK27" i="1" s="1"/>
  <c r="BD16" i="2" s="1"/>
  <c r="CP27" i="1"/>
  <c r="CT27" i="1" s="1"/>
  <c r="BG16" i="2" s="1"/>
  <c r="CQ27" i="1"/>
  <c r="CS27" i="1" s="1"/>
  <c r="CW27" i="1" s="1"/>
  <c r="BJ16" i="2" s="1"/>
  <c r="DB27" i="1"/>
  <c r="DF27" i="1" s="1"/>
  <c r="BM16" i="2" s="1"/>
  <c r="DC27" i="1"/>
  <c r="DH27" i="1" s="1"/>
  <c r="BO16" i="2" s="1"/>
  <c r="DN27" i="1"/>
  <c r="DR27" i="1" s="1"/>
  <c r="BS16" i="2" s="1"/>
  <c r="DO27" i="1"/>
  <c r="DQ27" i="1" s="1"/>
  <c r="DU27" i="1" s="1"/>
  <c r="BV16" i="2" s="1"/>
  <c r="DZ27" i="1"/>
  <c r="ED27" i="1" s="1"/>
  <c r="BZ16" i="2" s="1"/>
  <c r="EA27" i="1"/>
  <c r="EC27" i="1" s="1"/>
  <c r="EG27" i="1" s="1"/>
  <c r="CC16" i="2" s="1"/>
  <c r="EL27" i="1"/>
  <c r="EP27" i="1" s="1"/>
  <c r="CG16" i="2" s="1"/>
  <c r="EM27" i="1"/>
  <c r="EO27" i="1" s="1"/>
  <c r="ES27" i="1" s="1"/>
  <c r="CJ16" i="2" s="1"/>
  <c r="EX27" i="1"/>
  <c r="FB27" i="1" s="1"/>
  <c r="CN16" i="2" s="1"/>
  <c r="EY27" i="1"/>
  <c r="FD27" i="1" s="1"/>
  <c r="CP16" i="2" s="1"/>
  <c r="FJ27" i="1"/>
  <c r="FN27" i="1" s="1"/>
  <c r="CU16" i="2" s="1"/>
  <c r="FK27" i="1"/>
  <c r="FM27" i="1" s="1"/>
  <c r="FQ27" i="1" s="1"/>
  <c r="CX16" i="2" s="1"/>
  <c r="FV27" i="1"/>
  <c r="FZ27" i="1" s="1"/>
  <c r="DB16" i="2" s="1"/>
  <c r="FW27" i="1"/>
  <c r="FY27" i="1" s="1"/>
  <c r="GC27" i="1" s="1"/>
  <c r="DE16" i="2" s="1"/>
  <c r="GH27" i="1"/>
  <c r="GL27" i="1" s="1"/>
  <c r="DI16" i="2" s="1"/>
  <c r="GI27" i="1"/>
  <c r="GN27" i="1" s="1"/>
  <c r="DK16" i="2" s="1"/>
  <c r="J28" i="1"/>
  <c r="N28" i="1" s="1"/>
  <c r="Q17" i="2" s="1"/>
  <c r="K28" i="1"/>
  <c r="P28" i="1" s="1"/>
  <c r="S17" i="2" s="1"/>
  <c r="V28" i="1"/>
  <c r="Z28" i="1" s="1"/>
  <c r="W17" i="2" s="1"/>
  <c r="W28" i="1"/>
  <c r="Y28" i="1" s="1"/>
  <c r="AC28" i="1" s="1"/>
  <c r="Z17" i="2" s="1"/>
  <c r="AH28" i="1"/>
  <c r="AL28" i="1" s="1"/>
  <c r="AC17" i="2" s="1"/>
  <c r="AI28" i="1"/>
  <c r="AN28" i="1" s="1"/>
  <c r="AE17" i="2" s="1"/>
  <c r="AT28" i="1"/>
  <c r="AX28" i="1" s="1"/>
  <c r="AI17" i="2" s="1"/>
  <c r="AU28" i="1"/>
  <c r="AW28" i="1" s="1"/>
  <c r="BA28" i="1" s="1"/>
  <c r="AL17" i="2" s="1"/>
  <c r="BF28" i="1"/>
  <c r="BG28" i="1"/>
  <c r="BI28" i="1" s="1"/>
  <c r="BM28" i="1" s="1"/>
  <c r="AR17" i="2" s="1"/>
  <c r="BR28" i="1"/>
  <c r="BS28" i="1"/>
  <c r="CD28" i="1"/>
  <c r="CH28" i="1" s="1"/>
  <c r="BA17" i="2" s="1"/>
  <c r="CE28" i="1"/>
  <c r="CG28" i="1" s="1"/>
  <c r="CK28" i="1" s="1"/>
  <c r="BD17" i="2" s="1"/>
  <c r="CP28" i="1"/>
  <c r="CT28" i="1" s="1"/>
  <c r="BG17" i="2" s="1"/>
  <c r="CQ28" i="1"/>
  <c r="CV28" i="1" s="1"/>
  <c r="BI17" i="2" s="1"/>
  <c r="DB28" i="1"/>
  <c r="DC28" i="1"/>
  <c r="DH28" i="1" s="1"/>
  <c r="BO17" i="2" s="1"/>
  <c r="DN28" i="1"/>
  <c r="DR28" i="1" s="1"/>
  <c r="BS17" i="2" s="1"/>
  <c r="DO28" i="1"/>
  <c r="DQ28" i="1" s="1"/>
  <c r="DU28" i="1" s="1"/>
  <c r="BV17" i="2" s="1"/>
  <c r="DT28" i="1"/>
  <c r="BU17" i="2" s="1"/>
  <c r="DZ28" i="1"/>
  <c r="ED28" i="1" s="1"/>
  <c r="BZ17" i="2" s="1"/>
  <c r="EA28" i="1"/>
  <c r="EL28" i="1"/>
  <c r="EP28" i="1" s="1"/>
  <c r="CG17" i="2" s="1"/>
  <c r="EM28" i="1"/>
  <c r="EO28" i="1" s="1"/>
  <c r="ES28" i="1" s="1"/>
  <c r="CJ17" i="2" s="1"/>
  <c r="EX28" i="1"/>
  <c r="EY28" i="1"/>
  <c r="FA28" i="1" s="1"/>
  <c r="FE28" i="1" s="1"/>
  <c r="CQ17" i="2" s="1"/>
  <c r="FJ28" i="1"/>
  <c r="FK28" i="1"/>
  <c r="FM28" i="1" s="1"/>
  <c r="FQ28" i="1" s="1"/>
  <c r="CX17" i="2" s="1"/>
  <c r="FV28" i="1"/>
  <c r="FZ28" i="1" s="1"/>
  <c r="DB17" i="2" s="1"/>
  <c r="FW28" i="1"/>
  <c r="FY28" i="1" s="1"/>
  <c r="GC28" i="1" s="1"/>
  <c r="DE17" i="2" s="1"/>
  <c r="GH28" i="1"/>
  <c r="GL28" i="1" s="1"/>
  <c r="DI17" i="2" s="1"/>
  <c r="GI28" i="1"/>
  <c r="GN28" i="1" s="1"/>
  <c r="DK17" i="2" s="1"/>
  <c r="J29" i="1"/>
  <c r="K29" i="1"/>
  <c r="P29" i="1" s="1"/>
  <c r="S18" i="2" s="1"/>
  <c r="V29" i="1"/>
  <c r="Z29" i="1" s="1"/>
  <c r="W18" i="2" s="1"/>
  <c r="W29" i="1"/>
  <c r="Y29" i="1" s="1"/>
  <c r="AC29" i="1" s="1"/>
  <c r="Z18" i="2" s="1"/>
  <c r="AH29" i="1"/>
  <c r="AL29" i="1" s="1"/>
  <c r="AC18" i="2" s="1"/>
  <c r="AI29" i="1"/>
  <c r="AK29" i="1" s="1"/>
  <c r="AO29" i="1" s="1"/>
  <c r="AF18" i="2" s="1"/>
  <c r="AT29" i="1"/>
  <c r="AX29" i="1" s="1"/>
  <c r="AI18" i="2" s="1"/>
  <c r="AU29" i="1"/>
  <c r="AW29" i="1" s="1"/>
  <c r="BA29" i="1" s="1"/>
  <c r="AL18" i="2" s="1"/>
  <c r="BF29" i="1"/>
  <c r="BG29" i="1"/>
  <c r="BI29" i="1" s="1"/>
  <c r="BM29" i="1" s="1"/>
  <c r="AR18" i="2" s="1"/>
  <c r="BR29" i="1"/>
  <c r="BS29" i="1"/>
  <c r="BU29" i="1" s="1"/>
  <c r="BY29" i="1" s="1"/>
  <c r="AX18" i="2" s="1"/>
  <c r="CD29" i="1"/>
  <c r="CH29" i="1" s="1"/>
  <c r="BA18" i="2" s="1"/>
  <c r="CE29" i="1"/>
  <c r="CG29" i="1" s="1"/>
  <c r="CK29" i="1" s="1"/>
  <c r="BD18" i="2" s="1"/>
  <c r="CP29" i="1"/>
  <c r="CT29" i="1" s="1"/>
  <c r="BG18" i="2" s="1"/>
  <c r="CQ29" i="1"/>
  <c r="CV29" i="1" s="1"/>
  <c r="BI18" i="2" s="1"/>
  <c r="DB29" i="1"/>
  <c r="DF29" i="1" s="1"/>
  <c r="BM18" i="2" s="1"/>
  <c r="DC29" i="1"/>
  <c r="DH29" i="1" s="1"/>
  <c r="BO18" i="2" s="1"/>
  <c r="DN29" i="1"/>
  <c r="DR29" i="1" s="1"/>
  <c r="BS18" i="2" s="1"/>
  <c r="DO29" i="1"/>
  <c r="DZ29" i="1"/>
  <c r="ED29" i="1" s="1"/>
  <c r="BZ18" i="2" s="1"/>
  <c r="EA29" i="1"/>
  <c r="EF29" i="1" s="1"/>
  <c r="CB18" i="2" s="1"/>
  <c r="EL29" i="1"/>
  <c r="EP29" i="1" s="1"/>
  <c r="CG18" i="2" s="1"/>
  <c r="EM29" i="1"/>
  <c r="ER29" i="1" s="1"/>
  <c r="CI18" i="2" s="1"/>
  <c r="EX29" i="1"/>
  <c r="EY29" i="1"/>
  <c r="FA29" i="1" s="1"/>
  <c r="FE29" i="1" s="1"/>
  <c r="CQ18" i="2" s="1"/>
  <c r="FJ29" i="1"/>
  <c r="FK29" i="1"/>
  <c r="FM29" i="1" s="1"/>
  <c r="FQ29" i="1" s="1"/>
  <c r="CX18" i="2" s="1"/>
  <c r="FV29" i="1"/>
  <c r="FZ29" i="1" s="1"/>
  <c r="DB18" i="2" s="1"/>
  <c r="FW29" i="1"/>
  <c r="FY29" i="1" s="1"/>
  <c r="GC29" i="1" s="1"/>
  <c r="DE18" i="2" s="1"/>
  <c r="GH29" i="1"/>
  <c r="GL29" i="1" s="1"/>
  <c r="DI18" i="2" s="1"/>
  <c r="GI29" i="1"/>
  <c r="GN29" i="1" s="1"/>
  <c r="DK18" i="2" s="1"/>
  <c r="J30" i="1"/>
  <c r="K30" i="1"/>
  <c r="P30" i="1" s="1"/>
  <c r="S19" i="2" s="1"/>
  <c r="V30" i="1"/>
  <c r="Z30" i="1" s="1"/>
  <c r="W19" i="2" s="1"/>
  <c r="W30" i="1"/>
  <c r="AB30" i="1" s="1"/>
  <c r="Y19" i="2" s="1"/>
  <c r="AH30" i="1"/>
  <c r="AL30" i="1" s="1"/>
  <c r="AC19" i="2" s="1"/>
  <c r="AI30" i="1"/>
  <c r="AK30" i="1" s="1"/>
  <c r="AO30" i="1" s="1"/>
  <c r="AF19" i="2" s="1"/>
  <c r="AT30" i="1"/>
  <c r="AX30" i="1" s="1"/>
  <c r="AI19" i="2" s="1"/>
  <c r="AU30" i="1"/>
  <c r="AW30" i="1" s="1"/>
  <c r="BA30" i="1" s="1"/>
  <c r="AL19" i="2" s="1"/>
  <c r="BF30" i="1"/>
  <c r="BG30" i="1"/>
  <c r="BI30" i="1" s="1"/>
  <c r="BM30" i="1" s="1"/>
  <c r="AR19" i="2" s="1"/>
  <c r="BR30" i="1"/>
  <c r="BS30" i="1"/>
  <c r="CD30" i="1"/>
  <c r="CH30" i="1" s="1"/>
  <c r="BA19" i="2" s="1"/>
  <c r="CE30" i="1"/>
  <c r="CG30" i="1" s="1"/>
  <c r="CK30" i="1" s="1"/>
  <c r="BD19" i="2" s="1"/>
  <c r="CP30" i="1"/>
  <c r="CT30" i="1" s="1"/>
  <c r="BG19" i="2" s="1"/>
  <c r="CQ30" i="1"/>
  <c r="CV30" i="1" s="1"/>
  <c r="BI19" i="2" s="1"/>
  <c r="DB30" i="1"/>
  <c r="DF30" i="1" s="1"/>
  <c r="BM19" i="2" s="1"/>
  <c r="DC30" i="1"/>
  <c r="DH30" i="1" s="1"/>
  <c r="BO19" i="2" s="1"/>
  <c r="DN30" i="1"/>
  <c r="DR30" i="1" s="1"/>
  <c r="BS19" i="2" s="1"/>
  <c r="DO30" i="1"/>
  <c r="DQ30" i="1" s="1"/>
  <c r="DU30" i="1" s="1"/>
  <c r="BV19" i="2" s="1"/>
  <c r="DZ30" i="1"/>
  <c r="ED30" i="1" s="1"/>
  <c r="BZ19" i="2" s="1"/>
  <c r="EA30" i="1"/>
  <c r="EC30" i="1" s="1"/>
  <c r="EG30" i="1" s="1"/>
  <c r="CC19" i="2" s="1"/>
  <c r="EL30" i="1"/>
  <c r="EP30" i="1" s="1"/>
  <c r="CG19" i="2" s="1"/>
  <c r="EM30" i="1"/>
  <c r="ER30" i="1" s="1"/>
  <c r="CI19" i="2" s="1"/>
  <c r="EX30" i="1"/>
  <c r="EY30" i="1"/>
  <c r="FA30" i="1" s="1"/>
  <c r="FE30" i="1" s="1"/>
  <c r="CQ19" i="2" s="1"/>
  <c r="FJ30" i="1"/>
  <c r="FK30" i="1"/>
  <c r="FM30" i="1" s="1"/>
  <c r="FQ30" i="1" s="1"/>
  <c r="CX19" i="2" s="1"/>
  <c r="FV30" i="1"/>
  <c r="FZ30" i="1" s="1"/>
  <c r="DB19" i="2" s="1"/>
  <c r="FW30" i="1"/>
  <c r="FY30" i="1" s="1"/>
  <c r="GC30" i="1" s="1"/>
  <c r="DE19" i="2" s="1"/>
  <c r="GH30" i="1"/>
  <c r="GL30" i="1" s="1"/>
  <c r="DI19" i="2" s="1"/>
  <c r="GI30" i="1"/>
  <c r="GN30" i="1" s="1"/>
  <c r="DK19" i="2" s="1"/>
  <c r="J31" i="1"/>
  <c r="N31" i="1" s="1"/>
  <c r="Q20" i="2" s="1"/>
  <c r="K31" i="1"/>
  <c r="P31" i="1" s="1"/>
  <c r="S20" i="2" s="1"/>
  <c r="V31" i="1"/>
  <c r="Z31" i="1" s="1"/>
  <c r="W20" i="2" s="1"/>
  <c r="W31" i="1"/>
  <c r="Y31" i="1" s="1"/>
  <c r="AC31" i="1" s="1"/>
  <c r="Z20" i="2" s="1"/>
  <c r="AH31" i="1"/>
  <c r="AL31" i="1" s="1"/>
  <c r="AC20" i="2" s="1"/>
  <c r="AI31" i="1"/>
  <c r="AT31" i="1"/>
  <c r="AX31" i="1" s="1"/>
  <c r="AI20" i="2" s="1"/>
  <c r="AU31" i="1"/>
  <c r="AZ31" i="1" s="1"/>
  <c r="AK20" i="2" s="1"/>
  <c r="BF31" i="1"/>
  <c r="BJ31" i="1" s="1"/>
  <c r="AO20" i="2" s="1"/>
  <c r="BG31" i="1"/>
  <c r="BL31" i="1" s="1"/>
  <c r="AQ20" i="2" s="1"/>
  <c r="BR31" i="1"/>
  <c r="BV31" i="1" s="1"/>
  <c r="AU20" i="2" s="1"/>
  <c r="BS31" i="1"/>
  <c r="BX31" i="1" s="1"/>
  <c r="AW20" i="2" s="1"/>
  <c r="CD31" i="1"/>
  <c r="CH31" i="1" s="1"/>
  <c r="BA20" i="2" s="1"/>
  <c r="CE31" i="1"/>
  <c r="CP31" i="1"/>
  <c r="CT31" i="1" s="1"/>
  <c r="BG20" i="2" s="1"/>
  <c r="CQ31" i="1"/>
  <c r="CV31" i="1" s="1"/>
  <c r="BI20" i="2" s="1"/>
  <c r="DB31" i="1"/>
  <c r="DF31" i="1" s="1"/>
  <c r="BM20" i="2" s="1"/>
  <c r="DC31" i="1"/>
  <c r="DH31" i="1" s="1"/>
  <c r="BO20" i="2" s="1"/>
  <c r="DN31" i="1"/>
  <c r="DR31" i="1" s="1"/>
  <c r="BS20" i="2" s="1"/>
  <c r="DO31" i="1"/>
  <c r="DQ31" i="1" s="1"/>
  <c r="DU31" i="1" s="1"/>
  <c r="BV20" i="2" s="1"/>
  <c r="DZ31" i="1"/>
  <c r="ED31" i="1" s="1"/>
  <c r="BZ20" i="2" s="1"/>
  <c r="EA31" i="1"/>
  <c r="EL31" i="1"/>
  <c r="EP31" i="1" s="1"/>
  <c r="CG20" i="2" s="1"/>
  <c r="EM31" i="1"/>
  <c r="ER31" i="1" s="1"/>
  <c r="CI20" i="2" s="1"/>
  <c r="EX31" i="1"/>
  <c r="FB31" i="1" s="1"/>
  <c r="CN20" i="2" s="1"/>
  <c r="EY31" i="1"/>
  <c r="FA31" i="1" s="1"/>
  <c r="FE31" i="1" s="1"/>
  <c r="CQ20" i="2" s="1"/>
  <c r="FJ31" i="1"/>
  <c r="FN31" i="1" s="1"/>
  <c r="CU20" i="2" s="1"/>
  <c r="FK31" i="1"/>
  <c r="FP31" i="1" s="1"/>
  <c r="CW20" i="2" s="1"/>
  <c r="FV31" i="1"/>
  <c r="FW31" i="1"/>
  <c r="GH31" i="1"/>
  <c r="GL31" i="1" s="1"/>
  <c r="DI20" i="2" s="1"/>
  <c r="GI31" i="1"/>
  <c r="J32" i="1"/>
  <c r="N32" i="1" s="1"/>
  <c r="Q21" i="2" s="1"/>
  <c r="K32" i="1"/>
  <c r="M32" i="1" s="1"/>
  <c r="Q32" i="1" s="1"/>
  <c r="T21" i="2" s="1"/>
  <c r="P32" i="1"/>
  <c r="S21" i="2" s="1"/>
  <c r="V32" i="1"/>
  <c r="Z32" i="1" s="1"/>
  <c r="W21" i="2" s="1"/>
  <c r="W32" i="1"/>
  <c r="AB32" i="1" s="1"/>
  <c r="Y21" i="2" s="1"/>
  <c r="AH32" i="1"/>
  <c r="AI32" i="1"/>
  <c r="AT32" i="1"/>
  <c r="AX32" i="1" s="1"/>
  <c r="AI21" i="2" s="1"/>
  <c r="AU32" i="1"/>
  <c r="AZ32" i="1" s="1"/>
  <c r="AK21" i="2" s="1"/>
  <c r="BF32" i="1"/>
  <c r="BJ32" i="1" s="1"/>
  <c r="AO21" i="2" s="1"/>
  <c r="BG32" i="1"/>
  <c r="BL32" i="1" s="1"/>
  <c r="AQ21" i="2" s="1"/>
  <c r="BR32" i="1"/>
  <c r="BV32" i="1" s="1"/>
  <c r="AU21" i="2" s="1"/>
  <c r="BS32" i="1"/>
  <c r="BX32" i="1" s="1"/>
  <c r="AW21" i="2" s="1"/>
  <c r="CD32" i="1"/>
  <c r="CH32" i="1" s="1"/>
  <c r="BA21" i="2" s="1"/>
  <c r="CE32" i="1"/>
  <c r="CJ32" i="1" s="1"/>
  <c r="BC21" i="2" s="1"/>
  <c r="CP32" i="1"/>
  <c r="CQ32" i="1"/>
  <c r="CS32" i="1" s="1"/>
  <c r="CW32" i="1" s="1"/>
  <c r="BJ21" i="2" s="1"/>
  <c r="DB32" i="1"/>
  <c r="DC32" i="1"/>
  <c r="DE32" i="1" s="1"/>
  <c r="DI32" i="1" s="1"/>
  <c r="BP21" i="2" s="1"/>
  <c r="DN32" i="1"/>
  <c r="DR32" i="1" s="1"/>
  <c r="BS21" i="2" s="1"/>
  <c r="DO32" i="1"/>
  <c r="DP32" i="1"/>
  <c r="DS32" i="1" s="1"/>
  <c r="BT21" i="2" s="1"/>
  <c r="DZ32" i="1"/>
  <c r="ED32" i="1" s="1"/>
  <c r="BZ21" i="2" s="1"/>
  <c r="EA32" i="1"/>
  <c r="EF32" i="1" s="1"/>
  <c r="CB21" i="2" s="1"/>
  <c r="EL32" i="1"/>
  <c r="EP32" i="1" s="1"/>
  <c r="CG21" i="2" s="1"/>
  <c r="EM32" i="1"/>
  <c r="ER32" i="1" s="1"/>
  <c r="CI21" i="2" s="1"/>
  <c r="EX32" i="1"/>
  <c r="FB32" i="1" s="1"/>
  <c r="CN21" i="2" s="1"/>
  <c r="EY32" i="1"/>
  <c r="FA32" i="1" s="1"/>
  <c r="FE32" i="1" s="1"/>
  <c r="CQ21" i="2" s="1"/>
  <c r="EZ32" i="1"/>
  <c r="FC32" i="1" s="1"/>
  <c r="CO21" i="2" s="1"/>
  <c r="FJ32" i="1"/>
  <c r="FN32" i="1" s="1"/>
  <c r="CU21" i="2" s="1"/>
  <c r="FK32" i="1"/>
  <c r="FM32" i="1" s="1"/>
  <c r="FQ32" i="1" s="1"/>
  <c r="CX21" i="2" s="1"/>
  <c r="FV32" i="1"/>
  <c r="FZ32" i="1" s="1"/>
  <c r="DB21" i="2" s="1"/>
  <c r="FW32" i="1"/>
  <c r="FY32" i="1" s="1"/>
  <c r="GC32" i="1" s="1"/>
  <c r="DE21" i="2" s="1"/>
  <c r="GH32" i="1"/>
  <c r="GJ32" i="1" s="1"/>
  <c r="GM32" i="1" s="1"/>
  <c r="DJ21" i="2" s="1"/>
  <c r="GI32" i="1"/>
  <c r="GK32" i="1" s="1"/>
  <c r="GO32" i="1" s="1"/>
  <c r="DL21" i="2" s="1"/>
  <c r="J33" i="1"/>
  <c r="L33" i="1" s="1"/>
  <c r="O33" i="1" s="1"/>
  <c r="R22" i="2" s="1"/>
  <c r="K33" i="1"/>
  <c r="M33" i="1" s="1"/>
  <c r="Q33" i="1" s="1"/>
  <c r="T22" i="2" s="1"/>
  <c r="V33" i="1"/>
  <c r="W33" i="1"/>
  <c r="Y33" i="1" s="1"/>
  <c r="AC33" i="1" s="1"/>
  <c r="Z22" i="2" s="1"/>
  <c r="AH33" i="1"/>
  <c r="AJ33" i="1" s="1"/>
  <c r="AM33" i="1" s="1"/>
  <c r="AD22" i="2" s="1"/>
  <c r="AI33" i="1"/>
  <c r="AK33" i="1" s="1"/>
  <c r="AO33" i="1" s="1"/>
  <c r="AF22" i="2" s="1"/>
  <c r="AT33" i="1"/>
  <c r="AV33" i="1" s="1"/>
  <c r="AY33" i="1" s="1"/>
  <c r="AJ22" i="2" s="1"/>
  <c r="AU33" i="1"/>
  <c r="AW33" i="1" s="1"/>
  <c r="BA33" i="1" s="1"/>
  <c r="AL22" i="2" s="1"/>
  <c r="BF33" i="1"/>
  <c r="BH33" i="1" s="1"/>
  <c r="BK33" i="1" s="1"/>
  <c r="AP22" i="2" s="1"/>
  <c r="BG33" i="1"/>
  <c r="BI33" i="1" s="1"/>
  <c r="BM33" i="1" s="1"/>
  <c r="AR22" i="2" s="1"/>
  <c r="BR33" i="1"/>
  <c r="BT33" i="1" s="1"/>
  <c r="BW33" i="1" s="1"/>
  <c r="AV22" i="2" s="1"/>
  <c r="BS33" i="1"/>
  <c r="BU33" i="1" s="1"/>
  <c r="BY33" i="1" s="1"/>
  <c r="AX22" i="2" s="1"/>
  <c r="CD33" i="1"/>
  <c r="CF33" i="1" s="1"/>
  <c r="CI33" i="1" s="1"/>
  <c r="BB22" i="2" s="1"/>
  <c r="CE33" i="1"/>
  <c r="CG33" i="1" s="1"/>
  <c r="CK33" i="1" s="1"/>
  <c r="BD22" i="2" s="1"/>
  <c r="CP33" i="1"/>
  <c r="CR33" i="1" s="1"/>
  <c r="CU33" i="1" s="1"/>
  <c r="BH22" i="2" s="1"/>
  <c r="CQ33" i="1"/>
  <c r="CS33" i="1" s="1"/>
  <c r="CW33" i="1" s="1"/>
  <c r="BJ22" i="2" s="1"/>
  <c r="DB33" i="1"/>
  <c r="DD33" i="1" s="1"/>
  <c r="DG33" i="1" s="1"/>
  <c r="BN22" i="2" s="1"/>
  <c r="DC33" i="1"/>
  <c r="DE33" i="1" s="1"/>
  <c r="DI33" i="1" s="1"/>
  <c r="BP22" i="2" s="1"/>
  <c r="DN33" i="1"/>
  <c r="DO33" i="1"/>
  <c r="DQ33" i="1" s="1"/>
  <c r="DU33" i="1" s="1"/>
  <c r="BV22" i="2" s="1"/>
  <c r="DZ33" i="1"/>
  <c r="EB33" i="1" s="1"/>
  <c r="EE33" i="1" s="1"/>
  <c r="CA22" i="2" s="1"/>
  <c r="EA33" i="1"/>
  <c r="EC33" i="1" s="1"/>
  <c r="EG33" i="1" s="1"/>
  <c r="CC22" i="2" s="1"/>
  <c r="EL33" i="1"/>
  <c r="EN33" i="1" s="1"/>
  <c r="EQ33" i="1" s="1"/>
  <c r="CH22" i="2" s="1"/>
  <c r="EM33" i="1"/>
  <c r="EO33" i="1" s="1"/>
  <c r="ES33" i="1" s="1"/>
  <c r="CJ22" i="2" s="1"/>
  <c r="EX33" i="1"/>
  <c r="EZ33" i="1" s="1"/>
  <c r="FC33" i="1" s="1"/>
  <c r="CO22" i="2" s="1"/>
  <c r="EY33" i="1"/>
  <c r="FA33" i="1" s="1"/>
  <c r="FE33" i="1" s="1"/>
  <c r="CQ22" i="2" s="1"/>
  <c r="FJ33" i="1"/>
  <c r="FL33" i="1" s="1"/>
  <c r="FO33" i="1" s="1"/>
  <c r="CV22" i="2" s="1"/>
  <c r="FK33" i="1"/>
  <c r="FM33" i="1" s="1"/>
  <c r="FQ33" i="1" s="1"/>
  <c r="CX22" i="2" s="1"/>
  <c r="FV33" i="1"/>
  <c r="FX33" i="1" s="1"/>
  <c r="GA33" i="1" s="1"/>
  <c r="DC22" i="2" s="1"/>
  <c r="FW33" i="1"/>
  <c r="FY33" i="1" s="1"/>
  <c r="GC33" i="1" s="1"/>
  <c r="DE22" i="2" s="1"/>
  <c r="GH33" i="1"/>
  <c r="GJ33" i="1" s="1"/>
  <c r="GM33" i="1" s="1"/>
  <c r="DJ22" i="2" s="1"/>
  <c r="GI33" i="1"/>
  <c r="GK33" i="1" s="1"/>
  <c r="GO33" i="1" s="1"/>
  <c r="DL22" i="2" s="1"/>
  <c r="J34" i="1"/>
  <c r="L34" i="1" s="1"/>
  <c r="O34" i="1" s="1"/>
  <c r="R23" i="2" s="1"/>
  <c r="K34" i="1"/>
  <c r="M34" i="1" s="1"/>
  <c r="Q34" i="1" s="1"/>
  <c r="T23" i="2" s="1"/>
  <c r="V34" i="1"/>
  <c r="W34" i="1"/>
  <c r="Y34" i="1" s="1"/>
  <c r="AC34" i="1" s="1"/>
  <c r="Z23" i="2" s="1"/>
  <c r="AB34" i="1"/>
  <c r="Y23" i="2" s="1"/>
  <c r="AH34" i="1"/>
  <c r="AJ34" i="1" s="1"/>
  <c r="AM34" i="1" s="1"/>
  <c r="AD23" i="2" s="1"/>
  <c r="AI34" i="1"/>
  <c r="AK34" i="1" s="1"/>
  <c r="AO34" i="1" s="1"/>
  <c r="AF23" i="2" s="1"/>
  <c r="AT34" i="1"/>
  <c r="AV34" i="1" s="1"/>
  <c r="AY34" i="1" s="1"/>
  <c r="AJ23" i="2" s="1"/>
  <c r="AU34" i="1"/>
  <c r="AW34" i="1" s="1"/>
  <c r="BA34" i="1" s="1"/>
  <c r="AL23" i="2" s="1"/>
  <c r="BF34" i="1"/>
  <c r="BH34" i="1" s="1"/>
  <c r="BK34" i="1" s="1"/>
  <c r="AP23" i="2" s="1"/>
  <c r="BG34" i="1"/>
  <c r="BR34" i="1"/>
  <c r="BT34" i="1" s="1"/>
  <c r="BW34" i="1" s="1"/>
  <c r="AV23" i="2" s="1"/>
  <c r="BS34" i="1"/>
  <c r="BU34" i="1" s="1"/>
  <c r="BY34" i="1" s="1"/>
  <c r="AX23" i="2" s="1"/>
  <c r="CD34" i="1"/>
  <c r="CF34" i="1" s="1"/>
  <c r="CI34" i="1" s="1"/>
  <c r="BB23" i="2" s="1"/>
  <c r="CE34" i="1"/>
  <c r="CG34" i="1" s="1"/>
  <c r="CK34" i="1" s="1"/>
  <c r="BD23" i="2" s="1"/>
  <c r="CP34" i="1"/>
  <c r="CR34" i="1" s="1"/>
  <c r="CU34" i="1" s="1"/>
  <c r="BH23" i="2" s="1"/>
  <c r="CQ34" i="1"/>
  <c r="CS34" i="1" s="1"/>
  <c r="CW34" i="1" s="1"/>
  <c r="BJ23" i="2" s="1"/>
  <c r="DB34" i="1"/>
  <c r="DD34" i="1" s="1"/>
  <c r="DG34" i="1" s="1"/>
  <c r="BN23" i="2" s="1"/>
  <c r="DC34" i="1"/>
  <c r="DE34" i="1" s="1"/>
  <c r="DI34" i="1" s="1"/>
  <c r="BP23" i="2" s="1"/>
  <c r="DN34" i="1"/>
  <c r="DO34" i="1"/>
  <c r="DQ34" i="1" s="1"/>
  <c r="DU34" i="1" s="1"/>
  <c r="BV23" i="2" s="1"/>
  <c r="DZ34" i="1"/>
  <c r="EB34" i="1" s="1"/>
  <c r="EE34" i="1" s="1"/>
  <c r="CA23" i="2" s="1"/>
  <c r="EA34" i="1"/>
  <c r="EC34" i="1" s="1"/>
  <c r="EG34" i="1" s="1"/>
  <c r="CC23" i="2" s="1"/>
  <c r="EL34" i="1"/>
  <c r="EN34" i="1" s="1"/>
  <c r="EQ34" i="1" s="1"/>
  <c r="CH23" i="2" s="1"/>
  <c r="EM34" i="1"/>
  <c r="EO34" i="1" s="1"/>
  <c r="ES34" i="1" s="1"/>
  <c r="CJ23" i="2" s="1"/>
  <c r="EX34" i="1"/>
  <c r="EZ34" i="1" s="1"/>
  <c r="FC34" i="1" s="1"/>
  <c r="CO23" i="2" s="1"/>
  <c r="EY34" i="1"/>
  <c r="FJ34" i="1"/>
  <c r="FL34" i="1" s="1"/>
  <c r="FO34" i="1" s="1"/>
  <c r="CV23" i="2" s="1"/>
  <c r="FK34" i="1"/>
  <c r="FM34" i="1" s="1"/>
  <c r="FQ34" i="1" s="1"/>
  <c r="CX23" i="2" s="1"/>
  <c r="FV34" i="1"/>
  <c r="FX34" i="1" s="1"/>
  <c r="GA34" i="1" s="1"/>
  <c r="DC23" i="2" s="1"/>
  <c r="FW34" i="1"/>
  <c r="FY34" i="1" s="1"/>
  <c r="GC34" i="1" s="1"/>
  <c r="DE23" i="2" s="1"/>
  <c r="GH34" i="1"/>
  <c r="GJ34" i="1" s="1"/>
  <c r="GM34" i="1" s="1"/>
  <c r="DJ23" i="2" s="1"/>
  <c r="GI34" i="1"/>
  <c r="GK34" i="1" s="1"/>
  <c r="GO34" i="1" s="1"/>
  <c r="DL23" i="2" s="1"/>
  <c r="J35" i="1"/>
  <c r="L35" i="1" s="1"/>
  <c r="O35" i="1" s="1"/>
  <c r="R24" i="2" s="1"/>
  <c r="K35" i="1"/>
  <c r="M35" i="1" s="1"/>
  <c r="Q35" i="1" s="1"/>
  <c r="T24" i="2" s="1"/>
  <c r="V35" i="1"/>
  <c r="W35" i="1"/>
  <c r="AH35" i="1"/>
  <c r="AJ35" i="1" s="1"/>
  <c r="AM35" i="1" s="1"/>
  <c r="AD24" i="2" s="1"/>
  <c r="AI35" i="1"/>
  <c r="AK35" i="1" s="1"/>
  <c r="AO35" i="1" s="1"/>
  <c r="AF24" i="2" s="1"/>
  <c r="AT35" i="1"/>
  <c r="AV35" i="1" s="1"/>
  <c r="AY35" i="1" s="1"/>
  <c r="AJ24" i="2" s="1"/>
  <c r="AU35" i="1"/>
  <c r="AW35" i="1" s="1"/>
  <c r="BA35" i="1" s="1"/>
  <c r="AL24" i="2" s="1"/>
  <c r="BF35" i="1"/>
  <c r="BH35" i="1" s="1"/>
  <c r="BK35" i="1" s="1"/>
  <c r="AP24" i="2" s="1"/>
  <c r="BG35" i="1"/>
  <c r="BR35" i="1"/>
  <c r="BT35" i="1" s="1"/>
  <c r="BW35" i="1" s="1"/>
  <c r="AV24" i="2" s="1"/>
  <c r="BS35" i="1"/>
  <c r="BU35" i="1" s="1"/>
  <c r="BY35" i="1" s="1"/>
  <c r="AX24" i="2" s="1"/>
  <c r="CD35" i="1"/>
  <c r="CE35" i="1"/>
  <c r="CG35" i="1" s="1"/>
  <c r="CK35" i="1" s="1"/>
  <c r="BD24" i="2" s="1"/>
  <c r="CP35" i="1"/>
  <c r="CR35" i="1" s="1"/>
  <c r="CU35" i="1" s="1"/>
  <c r="BH24" i="2" s="1"/>
  <c r="CQ35" i="1"/>
  <c r="CS35" i="1" s="1"/>
  <c r="CW35" i="1" s="1"/>
  <c r="BJ24" i="2" s="1"/>
  <c r="DB35" i="1"/>
  <c r="DD35" i="1" s="1"/>
  <c r="DG35" i="1" s="1"/>
  <c r="BN24" i="2" s="1"/>
  <c r="DC35" i="1"/>
  <c r="DE35" i="1" s="1"/>
  <c r="DI35" i="1" s="1"/>
  <c r="BP24" i="2" s="1"/>
  <c r="DN35" i="1"/>
  <c r="DO35" i="1"/>
  <c r="DZ35" i="1"/>
  <c r="EB35" i="1" s="1"/>
  <c r="EE35" i="1" s="1"/>
  <c r="CA24" i="2" s="1"/>
  <c r="EA35" i="1"/>
  <c r="EC35" i="1" s="1"/>
  <c r="EG35" i="1" s="1"/>
  <c r="CC24" i="2" s="1"/>
  <c r="EL35" i="1"/>
  <c r="EN35" i="1" s="1"/>
  <c r="EQ35" i="1" s="1"/>
  <c r="CH24" i="2" s="1"/>
  <c r="EM35" i="1"/>
  <c r="EO35" i="1" s="1"/>
  <c r="ES35" i="1" s="1"/>
  <c r="CJ24" i="2" s="1"/>
  <c r="EX35" i="1"/>
  <c r="EZ35" i="1" s="1"/>
  <c r="FC35" i="1" s="1"/>
  <c r="CO24" i="2" s="1"/>
  <c r="EY35" i="1"/>
  <c r="FJ35" i="1"/>
  <c r="FL35" i="1" s="1"/>
  <c r="FO35" i="1" s="1"/>
  <c r="CV24" i="2" s="1"/>
  <c r="FK35" i="1"/>
  <c r="FM35" i="1" s="1"/>
  <c r="FQ35" i="1" s="1"/>
  <c r="CX24" i="2" s="1"/>
  <c r="FV35" i="1"/>
  <c r="FW35" i="1"/>
  <c r="FY35" i="1" s="1"/>
  <c r="GC35" i="1" s="1"/>
  <c r="DE24" i="2" s="1"/>
  <c r="GH35" i="1"/>
  <c r="GJ35" i="1" s="1"/>
  <c r="GM35" i="1" s="1"/>
  <c r="DJ24" i="2" s="1"/>
  <c r="GI35" i="1"/>
  <c r="GK35" i="1" s="1"/>
  <c r="GO35" i="1" s="1"/>
  <c r="DL24" i="2" s="1"/>
  <c r="J36" i="1"/>
  <c r="L36" i="1" s="1"/>
  <c r="O36" i="1" s="1"/>
  <c r="R25" i="2" s="1"/>
  <c r="K36" i="1"/>
  <c r="M36" i="1" s="1"/>
  <c r="Q36" i="1" s="1"/>
  <c r="T25" i="2" s="1"/>
  <c r="V36" i="1"/>
  <c r="W36" i="1"/>
  <c r="AH36" i="1"/>
  <c r="AJ36" i="1" s="1"/>
  <c r="AM36" i="1" s="1"/>
  <c r="AD25" i="2" s="1"/>
  <c r="AI36" i="1"/>
  <c r="AK36" i="1" s="1"/>
  <c r="AO36" i="1" s="1"/>
  <c r="AF25" i="2" s="1"/>
  <c r="AT36" i="1"/>
  <c r="AV36" i="1" s="1"/>
  <c r="AY36" i="1" s="1"/>
  <c r="AJ25" i="2" s="1"/>
  <c r="AU36" i="1"/>
  <c r="AW36" i="1" s="1"/>
  <c r="BA36" i="1" s="1"/>
  <c r="AL25" i="2" s="1"/>
  <c r="BF36" i="1"/>
  <c r="BH36" i="1" s="1"/>
  <c r="BK36" i="1" s="1"/>
  <c r="AP25" i="2" s="1"/>
  <c r="BG36" i="1"/>
  <c r="BR36" i="1"/>
  <c r="BT36" i="1" s="1"/>
  <c r="BW36" i="1" s="1"/>
  <c r="AV25" i="2" s="1"/>
  <c r="BS36" i="1"/>
  <c r="BU36" i="1" s="1"/>
  <c r="BY36" i="1" s="1"/>
  <c r="AX25" i="2" s="1"/>
  <c r="CD36" i="1"/>
  <c r="CE36" i="1"/>
  <c r="CG36" i="1" s="1"/>
  <c r="CK36" i="1" s="1"/>
  <c r="BD25" i="2" s="1"/>
  <c r="CP36" i="1"/>
  <c r="CR36" i="1" s="1"/>
  <c r="CU36" i="1" s="1"/>
  <c r="BH25" i="2" s="1"/>
  <c r="CQ36" i="1"/>
  <c r="CS36" i="1" s="1"/>
  <c r="CW36" i="1" s="1"/>
  <c r="BJ25" i="2" s="1"/>
  <c r="DB36" i="1"/>
  <c r="DD36" i="1" s="1"/>
  <c r="DG36" i="1" s="1"/>
  <c r="BN25" i="2" s="1"/>
  <c r="DC36" i="1"/>
  <c r="DE36" i="1" s="1"/>
  <c r="DI36" i="1" s="1"/>
  <c r="BP25" i="2" s="1"/>
  <c r="DN36" i="1"/>
  <c r="DO36" i="1"/>
  <c r="DZ36" i="1"/>
  <c r="EB36" i="1" s="1"/>
  <c r="EE36" i="1" s="1"/>
  <c r="CA25" i="2" s="1"/>
  <c r="EA36" i="1"/>
  <c r="EC36" i="1" s="1"/>
  <c r="EG36" i="1" s="1"/>
  <c r="CC25" i="2" s="1"/>
  <c r="EL36" i="1"/>
  <c r="EN36" i="1" s="1"/>
  <c r="EQ36" i="1" s="1"/>
  <c r="CH25" i="2" s="1"/>
  <c r="EM36" i="1"/>
  <c r="EO36" i="1" s="1"/>
  <c r="ES36" i="1" s="1"/>
  <c r="CJ25" i="2" s="1"/>
  <c r="EX36" i="1"/>
  <c r="EZ36" i="1" s="1"/>
  <c r="FC36" i="1" s="1"/>
  <c r="CO25" i="2" s="1"/>
  <c r="EY36" i="1"/>
  <c r="FJ36" i="1"/>
  <c r="FL36" i="1" s="1"/>
  <c r="FO36" i="1" s="1"/>
  <c r="CV25" i="2" s="1"/>
  <c r="FK36" i="1"/>
  <c r="FM36" i="1" s="1"/>
  <c r="FQ36" i="1" s="1"/>
  <c r="CX25" i="2" s="1"/>
  <c r="FV36" i="1"/>
  <c r="FW36" i="1"/>
  <c r="FY36" i="1" s="1"/>
  <c r="GC36" i="1" s="1"/>
  <c r="DE25" i="2" s="1"/>
  <c r="GH36" i="1"/>
  <c r="GJ36" i="1" s="1"/>
  <c r="GM36" i="1" s="1"/>
  <c r="DJ25" i="2" s="1"/>
  <c r="GI36" i="1"/>
  <c r="GK36" i="1" s="1"/>
  <c r="GO36" i="1" s="1"/>
  <c r="DL25" i="2" s="1"/>
  <c r="J37" i="1"/>
  <c r="L37" i="1" s="1"/>
  <c r="O37" i="1" s="1"/>
  <c r="R26" i="2" s="1"/>
  <c r="K37" i="1"/>
  <c r="M37" i="1" s="1"/>
  <c r="Q37" i="1" s="1"/>
  <c r="T26" i="2" s="1"/>
  <c r="V37" i="1"/>
  <c r="W37" i="1"/>
  <c r="Y37" i="1" s="1"/>
  <c r="AC37" i="1" s="1"/>
  <c r="Z26" i="2" s="1"/>
  <c r="AH37" i="1"/>
  <c r="AJ37" i="1" s="1"/>
  <c r="AM37" i="1" s="1"/>
  <c r="AD26" i="2" s="1"/>
  <c r="AI37" i="1"/>
  <c r="AT37" i="1"/>
  <c r="AV37" i="1" s="1"/>
  <c r="AY37" i="1" s="1"/>
  <c r="AJ26" i="2" s="1"/>
  <c r="AU37" i="1"/>
  <c r="AW37" i="1" s="1"/>
  <c r="BA37" i="1" s="1"/>
  <c r="AL26" i="2" s="1"/>
  <c r="BF37" i="1"/>
  <c r="BH37" i="1" s="1"/>
  <c r="BK37" i="1" s="1"/>
  <c r="AP26" i="2" s="1"/>
  <c r="BG37" i="1"/>
  <c r="BI37" i="1" s="1"/>
  <c r="BM37" i="1" s="1"/>
  <c r="AR26" i="2" s="1"/>
  <c r="BR37" i="1"/>
  <c r="BS37" i="1"/>
  <c r="BU37" i="1" s="1"/>
  <c r="BY37" i="1" s="1"/>
  <c r="AX26" i="2" s="1"/>
  <c r="CD37" i="1"/>
  <c r="CF37" i="1" s="1"/>
  <c r="CI37" i="1" s="1"/>
  <c r="BB26" i="2" s="1"/>
  <c r="CE37" i="1"/>
  <c r="CP37" i="1"/>
  <c r="CR37" i="1" s="1"/>
  <c r="CU37" i="1" s="1"/>
  <c r="BH26" i="2" s="1"/>
  <c r="CQ37" i="1"/>
  <c r="CS37" i="1" s="1"/>
  <c r="CW37" i="1" s="1"/>
  <c r="BJ26" i="2" s="1"/>
  <c r="DB37" i="1"/>
  <c r="DD37" i="1" s="1"/>
  <c r="DG37" i="1" s="1"/>
  <c r="BN26" i="2" s="1"/>
  <c r="DC37" i="1"/>
  <c r="DE37" i="1" s="1"/>
  <c r="DI37" i="1" s="1"/>
  <c r="BP26" i="2" s="1"/>
  <c r="DN37" i="1"/>
  <c r="DO37" i="1"/>
  <c r="DQ37" i="1" s="1"/>
  <c r="DU37" i="1" s="1"/>
  <c r="BV26" i="2" s="1"/>
  <c r="DZ37" i="1"/>
  <c r="EB37" i="1" s="1"/>
  <c r="EE37" i="1" s="1"/>
  <c r="CA26" i="2" s="1"/>
  <c r="EA37" i="1"/>
  <c r="EL37" i="1"/>
  <c r="EN37" i="1" s="1"/>
  <c r="EQ37" i="1" s="1"/>
  <c r="CH26" i="2" s="1"/>
  <c r="EM37" i="1"/>
  <c r="EO37" i="1" s="1"/>
  <c r="ES37" i="1" s="1"/>
  <c r="CJ26" i="2" s="1"/>
  <c r="EX37" i="1"/>
  <c r="EZ37" i="1" s="1"/>
  <c r="FC37" i="1" s="1"/>
  <c r="CO26" i="2" s="1"/>
  <c r="EY37" i="1"/>
  <c r="FA37" i="1" s="1"/>
  <c r="FE37" i="1" s="1"/>
  <c r="CQ26" i="2" s="1"/>
  <c r="FJ37" i="1"/>
  <c r="FK37" i="1"/>
  <c r="FM37" i="1" s="1"/>
  <c r="FQ37" i="1" s="1"/>
  <c r="CX26" i="2" s="1"/>
  <c r="FV37" i="1"/>
  <c r="FX37" i="1" s="1"/>
  <c r="GA37" i="1" s="1"/>
  <c r="DC26" i="2" s="1"/>
  <c r="FW37" i="1"/>
  <c r="GH37" i="1"/>
  <c r="GI37" i="1"/>
  <c r="GK37" i="1" s="1"/>
  <c r="GO37" i="1" s="1"/>
  <c r="DL26" i="2" s="1"/>
  <c r="J38" i="1"/>
  <c r="L38" i="1" s="1"/>
  <c r="O38" i="1" s="1"/>
  <c r="R27" i="2" s="1"/>
  <c r="K38" i="1"/>
  <c r="M38" i="1" s="1"/>
  <c r="Q38" i="1" s="1"/>
  <c r="T27" i="2" s="1"/>
  <c r="V38" i="1"/>
  <c r="W38" i="1"/>
  <c r="Y38" i="1" s="1"/>
  <c r="AC38" i="1" s="1"/>
  <c r="Z27" i="2" s="1"/>
  <c r="AH38" i="1"/>
  <c r="AJ38" i="1" s="1"/>
  <c r="AM38" i="1" s="1"/>
  <c r="AD27" i="2" s="1"/>
  <c r="AI38" i="1"/>
  <c r="AT38" i="1"/>
  <c r="AU38" i="1"/>
  <c r="AW38" i="1" s="1"/>
  <c r="BA38" i="1" s="1"/>
  <c r="AL27" i="2" s="1"/>
  <c r="BF38" i="1"/>
  <c r="BH38" i="1" s="1"/>
  <c r="BK38" i="1" s="1"/>
  <c r="AP27" i="2" s="1"/>
  <c r="BG38" i="1"/>
  <c r="BI38" i="1" s="1"/>
  <c r="BM38" i="1" s="1"/>
  <c r="AR27" i="2" s="1"/>
  <c r="BJ38" i="1"/>
  <c r="AO27" i="2" s="1"/>
  <c r="BR38" i="1"/>
  <c r="BS38" i="1"/>
  <c r="BU38" i="1" s="1"/>
  <c r="BY38" i="1" s="1"/>
  <c r="AX27" i="2" s="1"/>
  <c r="CD38" i="1"/>
  <c r="CF38" i="1" s="1"/>
  <c r="CI38" i="1" s="1"/>
  <c r="BB27" i="2" s="1"/>
  <c r="CE38" i="1"/>
  <c r="CP38" i="1"/>
  <c r="CQ38" i="1"/>
  <c r="CS38" i="1" s="1"/>
  <c r="CW38" i="1" s="1"/>
  <c r="BJ27" i="2" s="1"/>
  <c r="DB38" i="1"/>
  <c r="DD38" i="1" s="1"/>
  <c r="DG38" i="1" s="1"/>
  <c r="BN27" i="2" s="1"/>
  <c r="DC38" i="1"/>
  <c r="DE38" i="1" s="1"/>
  <c r="DI38" i="1" s="1"/>
  <c r="BP27" i="2" s="1"/>
  <c r="DN38" i="1"/>
  <c r="DO38" i="1"/>
  <c r="DQ38" i="1" s="1"/>
  <c r="DU38" i="1" s="1"/>
  <c r="BV27" i="2" s="1"/>
  <c r="DZ38" i="1"/>
  <c r="EB38" i="1" s="1"/>
  <c r="EE38" i="1" s="1"/>
  <c r="CA27" i="2" s="1"/>
  <c r="EA38" i="1"/>
  <c r="EL38" i="1"/>
  <c r="EN38" i="1" s="1"/>
  <c r="EQ38" i="1" s="1"/>
  <c r="CH27" i="2" s="1"/>
  <c r="EM38" i="1"/>
  <c r="EO38" i="1" s="1"/>
  <c r="ES38" i="1" s="1"/>
  <c r="CJ27" i="2" s="1"/>
  <c r="EX38" i="1"/>
  <c r="EZ38" i="1" s="1"/>
  <c r="FC38" i="1" s="1"/>
  <c r="CO27" i="2" s="1"/>
  <c r="EY38" i="1"/>
  <c r="FA38" i="1" s="1"/>
  <c r="FE38" i="1" s="1"/>
  <c r="CQ27" i="2" s="1"/>
  <c r="FJ38" i="1"/>
  <c r="FK38" i="1"/>
  <c r="FM38" i="1" s="1"/>
  <c r="FQ38" i="1" s="1"/>
  <c r="CX27" i="2" s="1"/>
  <c r="FV38" i="1"/>
  <c r="FX38" i="1" s="1"/>
  <c r="GA38" i="1" s="1"/>
  <c r="DC27" i="2" s="1"/>
  <c r="FW38" i="1"/>
  <c r="GH38" i="1"/>
  <c r="GJ38" i="1" s="1"/>
  <c r="GM38" i="1" s="1"/>
  <c r="DJ27" i="2" s="1"/>
  <c r="GI38" i="1"/>
  <c r="GK38" i="1" s="1"/>
  <c r="GO38" i="1" s="1"/>
  <c r="DL27" i="2" s="1"/>
  <c r="J39" i="1"/>
  <c r="L39" i="1" s="1"/>
  <c r="O39" i="1" s="1"/>
  <c r="R28" i="2" s="1"/>
  <c r="K39" i="1"/>
  <c r="M39" i="1" s="1"/>
  <c r="Q39" i="1" s="1"/>
  <c r="T28" i="2" s="1"/>
  <c r="V39" i="1"/>
  <c r="W39" i="1"/>
  <c r="Y39" i="1" s="1"/>
  <c r="AC39" i="1" s="1"/>
  <c r="Z28" i="2" s="1"/>
  <c r="AH39" i="1"/>
  <c r="AJ39" i="1" s="1"/>
  <c r="AM39" i="1" s="1"/>
  <c r="AD28" i="2" s="1"/>
  <c r="AI39" i="1"/>
  <c r="AT39" i="1"/>
  <c r="AV39" i="1" s="1"/>
  <c r="AY39" i="1" s="1"/>
  <c r="AJ28" i="2" s="1"/>
  <c r="AU39" i="1"/>
  <c r="AW39" i="1" s="1"/>
  <c r="BA39" i="1" s="1"/>
  <c r="AL28" i="2" s="1"/>
  <c r="BF39" i="1"/>
  <c r="BH39" i="1" s="1"/>
  <c r="BK39" i="1" s="1"/>
  <c r="AP28" i="2" s="1"/>
  <c r="BG39" i="1"/>
  <c r="BI39" i="1" s="1"/>
  <c r="BM39" i="1" s="1"/>
  <c r="AR28" i="2" s="1"/>
  <c r="BR39" i="1"/>
  <c r="BS39" i="1"/>
  <c r="BU39" i="1" s="1"/>
  <c r="BY39" i="1" s="1"/>
  <c r="AX28" i="2" s="1"/>
  <c r="CD39" i="1"/>
  <c r="CF39" i="1" s="1"/>
  <c r="CI39" i="1" s="1"/>
  <c r="BB28" i="2" s="1"/>
  <c r="CE39" i="1"/>
  <c r="CP39" i="1"/>
  <c r="CR39" i="1" s="1"/>
  <c r="CU39" i="1" s="1"/>
  <c r="BH28" i="2" s="1"/>
  <c r="CQ39" i="1"/>
  <c r="CS39" i="1" s="1"/>
  <c r="CW39" i="1" s="1"/>
  <c r="BJ28" i="2" s="1"/>
  <c r="DB39" i="1"/>
  <c r="DD39" i="1" s="1"/>
  <c r="DG39" i="1" s="1"/>
  <c r="BN28" i="2" s="1"/>
  <c r="DC39" i="1"/>
  <c r="DE39" i="1" s="1"/>
  <c r="DI39" i="1" s="1"/>
  <c r="BP28" i="2" s="1"/>
  <c r="DN39" i="1"/>
  <c r="DO39" i="1"/>
  <c r="DQ39" i="1" s="1"/>
  <c r="DU39" i="1" s="1"/>
  <c r="BV28" i="2" s="1"/>
  <c r="DZ39" i="1"/>
  <c r="EB39" i="1" s="1"/>
  <c r="EE39" i="1" s="1"/>
  <c r="CA28" i="2" s="1"/>
  <c r="EA39" i="1"/>
  <c r="EL39" i="1"/>
  <c r="EN39" i="1" s="1"/>
  <c r="EQ39" i="1" s="1"/>
  <c r="CH28" i="2" s="1"/>
  <c r="EM39" i="1"/>
  <c r="EO39" i="1" s="1"/>
  <c r="ES39" i="1" s="1"/>
  <c r="CJ28" i="2" s="1"/>
  <c r="EX39" i="1"/>
  <c r="EZ39" i="1" s="1"/>
  <c r="FC39" i="1" s="1"/>
  <c r="CO28" i="2" s="1"/>
  <c r="EY39" i="1"/>
  <c r="FA39" i="1" s="1"/>
  <c r="FE39" i="1" s="1"/>
  <c r="CQ28" i="2" s="1"/>
  <c r="FJ39" i="1"/>
  <c r="FK39" i="1"/>
  <c r="FM39" i="1" s="1"/>
  <c r="FQ39" i="1" s="1"/>
  <c r="CX28" i="2" s="1"/>
  <c r="FV39" i="1"/>
  <c r="FX39" i="1" s="1"/>
  <c r="GA39" i="1" s="1"/>
  <c r="DC28" i="2" s="1"/>
  <c r="FW39" i="1"/>
  <c r="GH39" i="1"/>
  <c r="GJ39" i="1" s="1"/>
  <c r="GM39" i="1" s="1"/>
  <c r="DJ28" i="2" s="1"/>
  <c r="GI39" i="1"/>
  <c r="GK39" i="1" s="1"/>
  <c r="GO39" i="1" s="1"/>
  <c r="DL28" i="2" s="1"/>
  <c r="J40" i="1"/>
  <c r="L40" i="1" s="1"/>
  <c r="O40" i="1" s="1"/>
  <c r="R29" i="2" s="1"/>
  <c r="K40" i="1"/>
  <c r="M40" i="1" s="1"/>
  <c r="Q40" i="1" s="1"/>
  <c r="T29" i="2" s="1"/>
  <c r="V40" i="1"/>
  <c r="W40" i="1"/>
  <c r="Y40" i="1" s="1"/>
  <c r="AC40" i="1" s="1"/>
  <c r="Z29" i="2" s="1"/>
  <c r="AH40" i="1"/>
  <c r="AJ40" i="1" s="1"/>
  <c r="AM40" i="1" s="1"/>
  <c r="AD29" i="2" s="1"/>
  <c r="AI40" i="1"/>
  <c r="AT40" i="1"/>
  <c r="AV40" i="1" s="1"/>
  <c r="AY40" i="1" s="1"/>
  <c r="AJ29" i="2" s="1"/>
  <c r="AU40" i="1"/>
  <c r="AW40" i="1" s="1"/>
  <c r="BA40" i="1" s="1"/>
  <c r="AL29" i="2" s="1"/>
  <c r="BF40" i="1"/>
  <c r="BH40" i="1" s="1"/>
  <c r="BK40" i="1" s="1"/>
  <c r="AP29" i="2" s="1"/>
  <c r="BG40" i="1"/>
  <c r="BI40" i="1" s="1"/>
  <c r="BM40" i="1"/>
  <c r="AR29" i="2" s="1"/>
  <c r="BR40" i="1"/>
  <c r="BS40" i="1"/>
  <c r="BU40" i="1" s="1"/>
  <c r="BY40" i="1" s="1"/>
  <c r="AX29" i="2" s="1"/>
  <c r="CD40" i="1"/>
  <c r="CF40" i="1" s="1"/>
  <c r="CI40" i="1" s="1"/>
  <c r="BB29" i="2" s="1"/>
  <c r="CE40" i="1"/>
  <c r="CP40" i="1"/>
  <c r="CR40" i="1" s="1"/>
  <c r="CU40" i="1" s="1"/>
  <c r="BH29" i="2" s="1"/>
  <c r="CQ40" i="1"/>
  <c r="CS40" i="1" s="1"/>
  <c r="CW40" i="1" s="1"/>
  <c r="BJ29" i="2" s="1"/>
  <c r="DB40" i="1"/>
  <c r="DD40" i="1" s="1"/>
  <c r="DG40" i="1" s="1"/>
  <c r="BN29" i="2" s="1"/>
  <c r="DC40" i="1"/>
  <c r="DE40" i="1" s="1"/>
  <c r="DI40" i="1" s="1"/>
  <c r="BP29" i="2" s="1"/>
  <c r="DN40" i="1"/>
  <c r="DO40" i="1"/>
  <c r="DQ40" i="1" s="1"/>
  <c r="DU40" i="1" s="1"/>
  <c r="BV29" i="2" s="1"/>
  <c r="DZ40" i="1"/>
  <c r="EB40" i="1" s="1"/>
  <c r="EE40" i="1" s="1"/>
  <c r="CA29" i="2" s="1"/>
  <c r="EA40" i="1"/>
  <c r="EL40" i="1"/>
  <c r="EN40" i="1" s="1"/>
  <c r="EQ40" i="1" s="1"/>
  <c r="CH29" i="2" s="1"/>
  <c r="EM40" i="1"/>
  <c r="EO40" i="1" s="1"/>
  <c r="ES40" i="1" s="1"/>
  <c r="CJ29" i="2" s="1"/>
  <c r="EX40" i="1"/>
  <c r="EZ40" i="1" s="1"/>
  <c r="FC40" i="1" s="1"/>
  <c r="CO29" i="2" s="1"/>
  <c r="EY40" i="1"/>
  <c r="FA40" i="1" s="1"/>
  <c r="FE40" i="1" s="1"/>
  <c r="CQ29" i="2" s="1"/>
  <c r="FJ40" i="1"/>
  <c r="FK40" i="1"/>
  <c r="FM40" i="1" s="1"/>
  <c r="FQ40" i="1" s="1"/>
  <c r="CX29" i="2" s="1"/>
  <c r="FV40" i="1"/>
  <c r="FX40" i="1" s="1"/>
  <c r="GA40" i="1" s="1"/>
  <c r="DC29" i="2" s="1"/>
  <c r="FW40" i="1"/>
  <c r="GH40" i="1"/>
  <c r="GJ40" i="1" s="1"/>
  <c r="GM40" i="1" s="1"/>
  <c r="DJ29" i="2" s="1"/>
  <c r="GI40" i="1"/>
  <c r="GK40" i="1" s="1"/>
  <c r="GO40" i="1" s="1"/>
  <c r="DL29" i="2" s="1"/>
  <c r="J41" i="1"/>
  <c r="L41" i="1" s="1"/>
  <c r="O41" i="1" s="1"/>
  <c r="R30" i="2" s="1"/>
  <c r="K41" i="1"/>
  <c r="M41" i="1" s="1"/>
  <c r="Q41" i="1" s="1"/>
  <c r="T30" i="2" s="1"/>
  <c r="V41" i="1"/>
  <c r="W41" i="1"/>
  <c r="Y41" i="1" s="1"/>
  <c r="AC41" i="1" s="1"/>
  <c r="Z30" i="2" s="1"/>
  <c r="AH41" i="1"/>
  <c r="AJ41" i="1" s="1"/>
  <c r="AM41" i="1" s="1"/>
  <c r="AD30" i="2" s="1"/>
  <c r="AI41" i="1"/>
  <c r="AT41" i="1"/>
  <c r="AV41" i="1" s="1"/>
  <c r="AY41" i="1" s="1"/>
  <c r="AJ30" i="2" s="1"/>
  <c r="AU41" i="1"/>
  <c r="BF41" i="1"/>
  <c r="BH41" i="1" s="1"/>
  <c r="BK41" i="1" s="1"/>
  <c r="AP30" i="2" s="1"/>
  <c r="BG41" i="1"/>
  <c r="BL41" i="1" s="1"/>
  <c r="AQ30" i="2" s="1"/>
  <c r="BR41" i="1"/>
  <c r="BV41" i="1" s="1"/>
  <c r="AU30" i="2" s="1"/>
  <c r="BS41" i="1"/>
  <c r="BX41" i="1" s="1"/>
  <c r="AW30" i="2" s="1"/>
  <c r="CD41" i="1"/>
  <c r="CF41" i="1" s="1"/>
  <c r="CI41" i="1" s="1"/>
  <c r="BB30" i="2" s="1"/>
  <c r="CE41" i="1"/>
  <c r="CP41" i="1"/>
  <c r="CR41" i="1" s="1"/>
  <c r="CU41" i="1" s="1"/>
  <c r="BH30" i="2" s="1"/>
  <c r="CQ41" i="1"/>
  <c r="CV41" i="1" s="1"/>
  <c r="BI30" i="2" s="1"/>
  <c r="DB41" i="1"/>
  <c r="DD41" i="1" s="1"/>
  <c r="DG41" i="1" s="1"/>
  <c r="BN30" i="2" s="1"/>
  <c r="DC41" i="1"/>
  <c r="DH41" i="1" s="1"/>
  <c r="BO30" i="2" s="1"/>
  <c r="DN41" i="1"/>
  <c r="DP41" i="1" s="1"/>
  <c r="DS41" i="1" s="1"/>
  <c r="BT30" i="2" s="1"/>
  <c r="DO41" i="1"/>
  <c r="DT41" i="1" s="1"/>
  <c r="BU30" i="2" s="1"/>
  <c r="DZ41" i="1"/>
  <c r="EB41" i="1" s="1"/>
  <c r="EE41" i="1" s="1"/>
  <c r="CA30" i="2" s="1"/>
  <c r="EA41" i="1"/>
  <c r="EF41" i="1" s="1"/>
  <c r="CB30" i="2" s="1"/>
  <c r="EL41" i="1"/>
  <c r="EN41" i="1" s="1"/>
  <c r="EQ41" i="1" s="1"/>
  <c r="CH30" i="2" s="1"/>
  <c r="EM41" i="1"/>
  <c r="ER41" i="1" s="1"/>
  <c r="CI30" i="2" s="1"/>
  <c r="EX41" i="1"/>
  <c r="EZ41" i="1" s="1"/>
  <c r="FC41" i="1" s="1"/>
  <c r="CO30" i="2" s="1"/>
  <c r="EY41" i="1"/>
  <c r="FD41" i="1" s="1"/>
  <c r="CP30" i="2" s="1"/>
  <c r="FJ41" i="1"/>
  <c r="FL41" i="1" s="1"/>
  <c r="FO41" i="1" s="1"/>
  <c r="CV30" i="2" s="1"/>
  <c r="FK41" i="1"/>
  <c r="FV41" i="1"/>
  <c r="FX41" i="1" s="1"/>
  <c r="GA41" i="1" s="1"/>
  <c r="DC30" i="2" s="1"/>
  <c r="FW41" i="1"/>
  <c r="GB41" i="1" s="1"/>
  <c r="DD30" i="2" s="1"/>
  <c r="GH41" i="1"/>
  <c r="GJ41" i="1" s="1"/>
  <c r="GM41" i="1" s="1"/>
  <c r="DJ30" i="2" s="1"/>
  <c r="GI41" i="1"/>
  <c r="GN41" i="1" s="1"/>
  <c r="DK30" i="2" s="1"/>
  <c r="J42" i="1"/>
  <c r="L42" i="1" s="1"/>
  <c r="O42" i="1" s="1"/>
  <c r="R31" i="2" s="1"/>
  <c r="K42" i="1"/>
  <c r="P42" i="1" s="1"/>
  <c r="S31" i="2" s="1"/>
  <c r="V42" i="1"/>
  <c r="Z42" i="1" s="1"/>
  <c r="W31" i="2" s="1"/>
  <c r="W42" i="1"/>
  <c r="AH42" i="1"/>
  <c r="AJ42" i="1" s="1"/>
  <c r="AM42" i="1" s="1"/>
  <c r="AD31" i="2" s="1"/>
  <c r="AI42" i="1"/>
  <c r="AN42" i="1" s="1"/>
  <c r="AE31" i="2" s="1"/>
  <c r="AT42" i="1"/>
  <c r="AV42" i="1" s="1"/>
  <c r="AY42" i="1" s="1"/>
  <c r="AJ31" i="2" s="1"/>
  <c r="AU42" i="1"/>
  <c r="AZ42" i="1" s="1"/>
  <c r="AK31" i="2" s="1"/>
  <c r="BF42" i="1"/>
  <c r="BG42" i="1"/>
  <c r="BL42" i="1" s="1"/>
  <c r="AQ31" i="2" s="1"/>
  <c r="BR42" i="1"/>
  <c r="BT42" i="1" s="1"/>
  <c r="BW42" i="1" s="1"/>
  <c r="AV31" i="2" s="1"/>
  <c r="BS42" i="1"/>
  <c r="CD42" i="1"/>
  <c r="CF42" i="1" s="1"/>
  <c r="CI42" i="1" s="1"/>
  <c r="BB31" i="2" s="1"/>
  <c r="CE42" i="1"/>
  <c r="CJ42" i="1" s="1"/>
  <c r="BC31" i="2" s="1"/>
  <c r="CP42" i="1"/>
  <c r="CR42" i="1" s="1"/>
  <c r="CU42" i="1" s="1"/>
  <c r="BH31" i="2" s="1"/>
  <c r="CQ42" i="1"/>
  <c r="CV42" i="1" s="1"/>
  <c r="BI31" i="2" s="1"/>
  <c r="DB42" i="1"/>
  <c r="DC42" i="1"/>
  <c r="DH42" i="1" s="1"/>
  <c r="BO31" i="2" s="1"/>
  <c r="DN42" i="1"/>
  <c r="DP42" i="1" s="1"/>
  <c r="DS42" i="1" s="1"/>
  <c r="BT31" i="2" s="1"/>
  <c r="DO42" i="1"/>
  <c r="DZ42" i="1"/>
  <c r="EB42" i="1" s="1"/>
  <c r="EE42" i="1" s="1"/>
  <c r="CA31" i="2" s="1"/>
  <c r="EA42" i="1"/>
  <c r="EF42" i="1" s="1"/>
  <c r="CB31" i="2" s="1"/>
  <c r="EL42" i="1"/>
  <c r="EN42" i="1" s="1"/>
  <c r="EQ42" i="1" s="1"/>
  <c r="CH31" i="2" s="1"/>
  <c r="EM42" i="1"/>
  <c r="ER42" i="1" s="1"/>
  <c r="CI31" i="2" s="1"/>
  <c r="EX42" i="1"/>
  <c r="EY42" i="1"/>
  <c r="FD42" i="1" s="1"/>
  <c r="CP31" i="2" s="1"/>
  <c r="FJ42" i="1"/>
  <c r="FL42" i="1" s="1"/>
  <c r="FO42" i="1" s="1"/>
  <c r="CV31" i="2" s="1"/>
  <c r="FK42" i="1"/>
  <c r="FV42" i="1"/>
  <c r="FX42" i="1" s="1"/>
  <c r="GA42" i="1" s="1"/>
  <c r="DC31" i="2" s="1"/>
  <c r="FW42" i="1"/>
  <c r="GB42" i="1" s="1"/>
  <c r="DD31" i="2" s="1"/>
  <c r="GH42" i="1"/>
  <c r="GJ42" i="1" s="1"/>
  <c r="GM42" i="1" s="1"/>
  <c r="DJ31" i="2" s="1"/>
  <c r="GI42" i="1"/>
  <c r="GN42" i="1" s="1"/>
  <c r="DK31" i="2" s="1"/>
  <c r="GK42" i="1"/>
  <c r="GO42" i="1" s="1"/>
  <c r="DL31" i="2" s="1"/>
  <c r="J43" i="1"/>
  <c r="K43" i="1"/>
  <c r="P43" i="1" s="1"/>
  <c r="S32" i="2" s="1"/>
  <c r="V43" i="1"/>
  <c r="Z43" i="1" s="1"/>
  <c r="W32" i="2" s="1"/>
  <c r="W43" i="1"/>
  <c r="AH43" i="1"/>
  <c r="AJ43" i="1" s="1"/>
  <c r="AM43" i="1" s="1"/>
  <c r="AD32" i="2" s="1"/>
  <c r="AI43" i="1"/>
  <c r="AN43" i="1" s="1"/>
  <c r="AE32" i="2" s="1"/>
  <c r="AT43" i="1"/>
  <c r="AV43" i="1" s="1"/>
  <c r="AY43" i="1" s="1"/>
  <c r="AJ32" i="2" s="1"/>
  <c r="AU43" i="1"/>
  <c r="AZ43" i="1" s="1"/>
  <c r="AK32" i="2" s="1"/>
  <c r="BF43" i="1"/>
  <c r="BG43" i="1"/>
  <c r="BL43" i="1" s="1"/>
  <c r="AQ32" i="2" s="1"/>
  <c r="BR43" i="1"/>
  <c r="BT43" i="1" s="1"/>
  <c r="BW43" i="1" s="1"/>
  <c r="AV32" i="2" s="1"/>
  <c r="BS43" i="1"/>
  <c r="BV43" i="1"/>
  <c r="AU32" i="2" s="1"/>
  <c r="CD43" i="1"/>
  <c r="CF43" i="1" s="1"/>
  <c r="CI43" i="1" s="1"/>
  <c r="BB32" i="2" s="1"/>
  <c r="CE43" i="1"/>
  <c r="CJ43" i="1" s="1"/>
  <c r="BC32" i="2" s="1"/>
  <c r="CP43" i="1"/>
  <c r="CR43" i="1" s="1"/>
  <c r="CU43" i="1" s="1"/>
  <c r="BH32" i="2" s="1"/>
  <c r="CQ43" i="1"/>
  <c r="CV43" i="1" s="1"/>
  <c r="BI32" i="2" s="1"/>
  <c r="DB43" i="1"/>
  <c r="DC43" i="1"/>
  <c r="DH43" i="1" s="1"/>
  <c r="BO32" i="2" s="1"/>
  <c r="DN43" i="1"/>
  <c r="DP43" i="1" s="1"/>
  <c r="DS43" i="1" s="1"/>
  <c r="BT32" i="2" s="1"/>
  <c r="DO43" i="1"/>
  <c r="DZ43" i="1"/>
  <c r="EB43" i="1" s="1"/>
  <c r="EE43" i="1" s="1"/>
  <c r="CA32" i="2" s="1"/>
  <c r="EA43" i="1"/>
  <c r="EF43" i="1" s="1"/>
  <c r="CB32" i="2" s="1"/>
  <c r="EL43" i="1"/>
  <c r="EN43" i="1" s="1"/>
  <c r="EQ43" i="1" s="1"/>
  <c r="CH32" i="2" s="1"/>
  <c r="EM43" i="1"/>
  <c r="ER43" i="1" s="1"/>
  <c r="CI32" i="2" s="1"/>
  <c r="EX43" i="1"/>
  <c r="EY43" i="1"/>
  <c r="FD43" i="1" s="1"/>
  <c r="CP32" i="2" s="1"/>
  <c r="FJ43" i="1"/>
  <c r="FL43" i="1" s="1"/>
  <c r="FO43" i="1" s="1"/>
  <c r="CV32" i="2" s="1"/>
  <c r="FK43" i="1"/>
  <c r="FV43" i="1"/>
  <c r="FX43" i="1" s="1"/>
  <c r="GA43" i="1" s="1"/>
  <c r="DC32" i="2" s="1"/>
  <c r="FW43" i="1"/>
  <c r="GB43" i="1" s="1"/>
  <c r="DD32" i="2" s="1"/>
  <c r="GH43" i="1"/>
  <c r="GJ43" i="1" s="1"/>
  <c r="GM43" i="1" s="1"/>
  <c r="DJ32" i="2" s="1"/>
  <c r="GI43" i="1"/>
  <c r="GN43" i="1" s="1"/>
  <c r="DK32" i="2" s="1"/>
  <c r="J44" i="1"/>
  <c r="K44" i="1"/>
  <c r="P44" i="1" s="1"/>
  <c r="S33" i="2" s="1"/>
  <c r="V44" i="1"/>
  <c r="X44" i="1" s="1"/>
  <c r="AA44" i="1" s="1"/>
  <c r="X33" i="2" s="1"/>
  <c r="W44" i="1"/>
  <c r="AH44" i="1"/>
  <c r="AJ44" i="1" s="1"/>
  <c r="AM44" i="1" s="1"/>
  <c r="AD33" i="2" s="1"/>
  <c r="AI44" i="1"/>
  <c r="AN44" i="1" s="1"/>
  <c r="AE33" i="2" s="1"/>
  <c r="AT44" i="1"/>
  <c r="AV44" i="1" s="1"/>
  <c r="AY44" i="1" s="1"/>
  <c r="AJ33" i="2" s="1"/>
  <c r="AU44" i="1"/>
  <c r="AZ44" i="1" s="1"/>
  <c r="AK33" i="2" s="1"/>
  <c r="BF44" i="1"/>
  <c r="BG44" i="1"/>
  <c r="BL44" i="1" s="1"/>
  <c r="AQ33" i="2" s="1"/>
  <c r="BR44" i="1"/>
  <c r="BT44" i="1" s="1"/>
  <c r="BW44" i="1" s="1"/>
  <c r="AV33" i="2" s="1"/>
  <c r="BS44" i="1"/>
  <c r="CD44" i="1"/>
  <c r="CF44" i="1" s="1"/>
  <c r="CI44" i="1" s="1"/>
  <c r="BB33" i="2" s="1"/>
  <c r="CE44" i="1"/>
  <c r="CJ44" i="1" s="1"/>
  <c r="BC33" i="2" s="1"/>
  <c r="CP44" i="1"/>
  <c r="CR44" i="1" s="1"/>
  <c r="CU44" i="1" s="1"/>
  <c r="BH33" i="2" s="1"/>
  <c r="CQ44" i="1"/>
  <c r="CV44" i="1" s="1"/>
  <c r="BI33" i="2" s="1"/>
  <c r="DB44" i="1"/>
  <c r="DC44" i="1"/>
  <c r="DH44" i="1" s="1"/>
  <c r="BO33" i="2" s="1"/>
  <c r="DN44" i="1"/>
  <c r="DR44" i="1" s="1"/>
  <c r="BS33" i="2" s="1"/>
  <c r="DO44" i="1"/>
  <c r="DZ44" i="1"/>
  <c r="EB44" i="1" s="1"/>
  <c r="EE44" i="1" s="1"/>
  <c r="CA33" i="2" s="1"/>
  <c r="EA44" i="1"/>
  <c r="EF44" i="1" s="1"/>
  <c r="CB33" i="2" s="1"/>
  <c r="EL44" i="1"/>
  <c r="EM44" i="1"/>
  <c r="ER44" i="1" s="1"/>
  <c r="CI33" i="2" s="1"/>
  <c r="EX44" i="1"/>
  <c r="FB44" i="1" s="1"/>
  <c r="CN33" i="2" s="1"/>
  <c r="EY44" i="1"/>
  <c r="FD44" i="1" s="1"/>
  <c r="CP33" i="2" s="1"/>
  <c r="FJ44" i="1"/>
  <c r="FL44" i="1" s="1"/>
  <c r="FO44" i="1" s="1"/>
  <c r="CV33" i="2" s="1"/>
  <c r="FK44" i="1"/>
  <c r="FV44" i="1"/>
  <c r="FX44" i="1" s="1"/>
  <c r="GA44" i="1" s="1"/>
  <c r="DC33" i="2" s="1"/>
  <c r="FW44" i="1"/>
  <c r="GB44" i="1" s="1"/>
  <c r="DD33" i="2" s="1"/>
  <c r="GH44" i="1"/>
  <c r="GI44" i="1"/>
  <c r="GN44" i="1" s="1"/>
  <c r="DK33" i="2" s="1"/>
  <c r="J45" i="1"/>
  <c r="N45" i="1" s="1"/>
  <c r="Q34" i="2" s="1"/>
  <c r="K45" i="1"/>
  <c r="P45" i="1" s="1"/>
  <c r="S34" i="2" s="1"/>
  <c r="L45" i="1"/>
  <c r="O45" i="1" s="1"/>
  <c r="R34" i="2" s="1"/>
  <c r="V45" i="1"/>
  <c r="Z45" i="1" s="1"/>
  <c r="W34" i="2" s="1"/>
  <c r="W45" i="1"/>
  <c r="AH45" i="1"/>
  <c r="AJ45" i="1" s="1"/>
  <c r="AM45" i="1" s="1"/>
  <c r="AD34" i="2" s="1"/>
  <c r="AI45" i="1"/>
  <c r="AN45" i="1" s="1"/>
  <c r="AE34" i="2" s="1"/>
  <c r="AT45" i="1"/>
  <c r="AU45" i="1"/>
  <c r="AZ45" i="1" s="1"/>
  <c r="AK34" i="2" s="1"/>
  <c r="BF45" i="1"/>
  <c r="BJ45" i="1" s="1"/>
  <c r="AO34" i="2" s="1"/>
  <c r="BG45" i="1"/>
  <c r="BL45" i="1" s="1"/>
  <c r="AQ34" i="2" s="1"/>
  <c r="BR45" i="1"/>
  <c r="BT45" i="1" s="1"/>
  <c r="BW45" i="1" s="1"/>
  <c r="AV34" i="2" s="1"/>
  <c r="BS45" i="1"/>
  <c r="CD45" i="1"/>
  <c r="CF45" i="1" s="1"/>
  <c r="CI45" i="1" s="1"/>
  <c r="BB34" i="2" s="1"/>
  <c r="CE45" i="1"/>
  <c r="CJ45" i="1" s="1"/>
  <c r="BC34" i="2" s="1"/>
  <c r="CP45" i="1"/>
  <c r="CQ45" i="1"/>
  <c r="CV45" i="1" s="1"/>
  <c r="BI34" i="2" s="1"/>
  <c r="DB45" i="1"/>
  <c r="DF45" i="1" s="1"/>
  <c r="BM34" i="2" s="1"/>
  <c r="DC45" i="1"/>
  <c r="DH45" i="1" s="1"/>
  <c r="BO34" i="2" s="1"/>
  <c r="DN45" i="1"/>
  <c r="DP45" i="1" s="1"/>
  <c r="DS45" i="1" s="1"/>
  <c r="BT34" i="2" s="1"/>
  <c r="DO45" i="1"/>
  <c r="DT45" i="1" s="1"/>
  <c r="BU34" i="2" s="1"/>
  <c r="DZ45" i="1"/>
  <c r="EB45" i="1" s="1"/>
  <c r="EE45" i="1" s="1"/>
  <c r="CA34" i="2" s="1"/>
  <c r="EA45" i="1"/>
  <c r="EF45" i="1" s="1"/>
  <c r="CB34" i="2" s="1"/>
  <c r="EL45" i="1"/>
  <c r="EM45" i="1"/>
  <c r="ER45" i="1" s="1"/>
  <c r="CI34" i="2" s="1"/>
  <c r="EX45" i="1"/>
  <c r="FB45" i="1" s="1"/>
  <c r="CN34" i="2" s="1"/>
  <c r="EY45" i="1"/>
  <c r="FJ45" i="1"/>
  <c r="FN45" i="1" s="1"/>
  <c r="CU34" i="2" s="1"/>
  <c r="FK45" i="1"/>
  <c r="FP45" i="1" s="1"/>
  <c r="CW34" i="2" s="1"/>
  <c r="FV45" i="1"/>
  <c r="FX45" i="1" s="1"/>
  <c r="GA45" i="1" s="1"/>
  <c r="DC34" i="2" s="1"/>
  <c r="FW45" i="1"/>
  <c r="GB45" i="1" s="1"/>
  <c r="DD34" i="2" s="1"/>
  <c r="GH45" i="1"/>
  <c r="GI45" i="1"/>
  <c r="GN45" i="1" s="1"/>
  <c r="DK34" i="2" s="1"/>
  <c r="J46" i="1"/>
  <c r="N46" i="1" s="1"/>
  <c r="Q35" i="2" s="1"/>
  <c r="K46" i="1"/>
  <c r="V46" i="1"/>
  <c r="X46" i="1" s="1"/>
  <c r="AA46" i="1" s="1"/>
  <c r="X35" i="2" s="1"/>
  <c r="W46" i="1"/>
  <c r="AB46" i="1" s="1"/>
  <c r="Y35" i="2" s="1"/>
  <c r="AH46" i="1"/>
  <c r="AJ46" i="1" s="1"/>
  <c r="AI46" i="1"/>
  <c r="AN46" i="1" s="1"/>
  <c r="AE35" i="2" s="1"/>
  <c r="AM46" i="1"/>
  <c r="AD35" i="2" s="1"/>
  <c r="AT46" i="1"/>
  <c r="AU46" i="1"/>
  <c r="AZ46" i="1" s="1"/>
  <c r="AK35" i="2" s="1"/>
  <c r="BF46" i="1"/>
  <c r="BJ46" i="1" s="1"/>
  <c r="AO35" i="2" s="1"/>
  <c r="BG46" i="1"/>
  <c r="BR46" i="1"/>
  <c r="BV46" i="1" s="1"/>
  <c r="AU35" i="2" s="1"/>
  <c r="BS46" i="1"/>
  <c r="BX46" i="1" s="1"/>
  <c r="AW35" i="2" s="1"/>
  <c r="CD46" i="1"/>
  <c r="CF46" i="1" s="1"/>
  <c r="CE46" i="1"/>
  <c r="CJ46" i="1" s="1"/>
  <c r="BC35" i="2" s="1"/>
  <c r="CI46" i="1"/>
  <c r="BB35" i="2" s="1"/>
  <c r="CP46" i="1"/>
  <c r="CQ46" i="1"/>
  <c r="CV46" i="1" s="1"/>
  <c r="BI35" i="2" s="1"/>
  <c r="DB46" i="1"/>
  <c r="DF46" i="1" s="1"/>
  <c r="BM35" i="2" s="1"/>
  <c r="DC46" i="1"/>
  <c r="DN46" i="1"/>
  <c r="DR46" i="1" s="1"/>
  <c r="BS35" i="2" s="1"/>
  <c r="DO46" i="1"/>
  <c r="DT46" i="1" s="1"/>
  <c r="BU35" i="2" s="1"/>
  <c r="DZ46" i="1"/>
  <c r="EB46" i="1" s="1"/>
  <c r="EE46" i="1" s="1"/>
  <c r="CA35" i="2" s="1"/>
  <c r="EA46" i="1"/>
  <c r="EF46" i="1" s="1"/>
  <c r="CB35" i="2" s="1"/>
  <c r="EL46" i="1"/>
  <c r="EM46" i="1"/>
  <c r="ER46" i="1" s="1"/>
  <c r="CI35" i="2" s="1"/>
  <c r="EX46" i="1"/>
  <c r="FB46" i="1" s="1"/>
  <c r="CN35" i="2" s="1"/>
  <c r="EY46" i="1"/>
  <c r="FD46" i="1" s="1"/>
  <c r="CP35" i="2" s="1"/>
  <c r="FJ46" i="1"/>
  <c r="FL46" i="1" s="1"/>
  <c r="FO46" i="1" s="1"/>
  <c r="CV35" i="2" s="1"/>
  <c r="FK46" i="1"/>
  <c r="FP46" i="1" s="1"/>
  <c r="CW35" i="2" s="1"/>
  <c r="FV46" i="1"/>
  <c r="FX46" i="1" s="1"/>
  <c r="GA46" i="1" s="1"/>
  <c r="DC35" i="2" s="1"/>
  <c r="FW46" i="1"/>
  <c r="GB46" i="1" s="1"/>
  <c r="DD35" i="2" s="1"/>
  <c r="GH46" i="1"/>
  <c r="GI46" i="1"/>
  <c r="GN46" i="1" s="1"/>
  <c r="DK35" i="2" s="1"/>
  <c r="J47" i="1"/>
  <c r="N47" i="1" s="1"/>
  <c r="Q36" i="2" s="1"/>
  <c r="K47" i="1"/>
  <c r="P47" i="1" s="1"/>
  <c r="S36" i="2" s="1"/>
  <c r="V47" i="1"/>
  <c r="Z47" i="1" s="1"/>
  <c r="W36" i="2" s="1"/>
  <c r="W47" i="1"/>
  <c r="AB47" i="1" s="1"/>
  <c r="Y36" i="2" s="1"/>
  <c r="X47" i="1"/>
  <c r="AA47" i="1" s="1"/>
  <c r="X36" i="2" s="1"/>
  <c r="AH47" i="1"/>
  <c r="AJ47" i="1" s="1"/>
  <c r="AM47" i="1" s="1"/>
  <c r="AD36" i="2" s="1"/>
  <c r="AI47" i="1"/>
  <c r="AN47" i="1" s="1"/>
  <c r="AE36" i="2" s="1"/>
  <c r="AT47" i="1"/>
  <c r="AU47" i="1"/>
  <c r="AZ47" i="1" s="1"/>
  <c r="AK36" i="2" s="1"/>
  <c r="BF47" i="1"/>
  <c r="BJ47" i="1" s="1"/>
  <c r="AO36" i="2" s="1"/>
  <c r="BG47" i="1"/>
  <c r="BL47" i="1" s="1"/>
  <c r="AQ36" i="2" s="1"/>
  <c r="BH47" i="1"/>
  <c r="BK47" i="1" s="1"/>
  <c r="AP36" i="2" s="1"/>
  <c r="BR47" i="1"/>
  <c r="BT47" i="1" s="1"/>
  <c r="BW47" i="1" s="1"/>
  <c r="AV36" i="2" s="1"/>
  <c r="BS47" i="1"/>
  <c r="BX47" i="1" s="1"/>
  <c r="AW36" i="2" s="1"/>
  <c r="CD47" i="1"/>
  <c r="CF47" i="1" s="1"/>
  <c r="CI47" i="1" s="1"/>
  <c r="BB36" i="2" s="1"/>
  <c r="CE47" i="1"/>
  <c r="CJ47" i="1" s="1"/>
  <c r="BC36" i="2" s="1"/>
  <c r="CP47" i="1"/>
  <c r="CT47" i="1" s="1"/>
  <c r="BG36" i="2" s="1"/>
  <c r="CQ47" i="1"/>
  <c r="CV47" i="1" s="1"/>
  <c r="BI36" i="2" s="1"/>
  <c r="DB47" i="1"/>
  <c r="DF47" i="1" s="1"/>
  <c r="BM36" i="2" s="1"/>
  <c r="DC47" i="1"/>
  <c r="DH47" i="1" s="1"/>
  <c r="BO36" i="2" s="1"/>
  <c r="DN47" i="1"/>
  <c r="DP47" i="1" s="1"/>
  <c r="DS47" i="1" s="1"/>
  <c r="BT36" i="2" s="1"/>
  <c r="DO47" i="1"/>
  <c r="DT47" i="1" s="1"/>
  <c r="BU36" i="2" s="1"/>
  <c r="DR47" i="1"/>
  <c r="BS36" i="2" s="1"/>
  <c r="DZ47" i="1"/>
  <c r="EB47" i="1" s="1"/>
  <c r="EE47" i="1" s="1"/>
  <c r="CA36" i="2" s="1"/>
  <c r="EA47" i="1"/>
  <c r="EF47" i="1" s="1"/>
  <c r="CB36" i="2" s="1"/>
  <c r="EL47" i="1"/>
  <c r="EP47" i="1" s="1"/>
  <c r="CG36" i="2" s="1"/>
  <c r="EM47" i="1"/>
  <c r="ER47" i="1" s="1"/>
  <c r="CI36" i="2" s="1"/>
  <c r="EX47" i="1"/>
  <c r="EZ47" i="1" s="1"/>
  <c r="FC47" i="1" s="1"/>
  <c r="CO36" i="2" s="1"/>
  <c r="EY47" i="1"/>
  <c r="FD47" i="1" s="1"/>
  <c r="CP36" i="2" s="1"/>
  <c r="FJ47" i="1"/>
  <c r="FL47" i="1" s="1"/>
  <c r="FO47" i="1" s="1"/>
  <c r="CV36" i="2" s="1"/>
  <c r="FK47" i="1"/>
  <c r="FP47" i="1" s="1"/>
  <c r="CW36" i="2" s="1"/>
  <c r="FV47" i="1"/>
  <c r="FX47" i="1" s="1"/>
  <c r="GA47" i="1" s="1"/>
  <c r="DC36" i="2" s="1"/>
  <c r="FW47" i="1"/>
  <c r="FY47" i="1" s="1"/>
  <c r="GC47" i="1" s="1"/>
  <c r="DE36" i="2" s="1"/>
  <c r="GH47" i="1"/>
  <c r="GJ47" i="1" s="1"/>
  <c r="GM47" i="1" s="1"/>
  <c r="DJ36" i="2" s="1"/>
  <c r="GI47" i="1"/>
  <c r="GK47" i="1" s="1"/>
  <c r="GO47" i="1" s="1"/>
  <c r="DL36" i="2" s="1"/>
  <c r="J48" i="1"/>
  <c r="N48" i="1" s="1"/>
  <c r="Q37" i="2" s="1"/>
  <c r="K48" i="1"/>
  <c r="P48" i="1" s="1"/>
  <c r="S37" i="2" s="1"/>
  <c r="V48" i="1"/>
  <c r="X48" i="1" s="1"/>
  <c r="AA48" i="1" s="1"/>
  <c r="X37" i="2" s="1"/>
  <c r="W48" i="1"/>
  <c r="AB48" i="1" s="1"/>
  <c r="Y37" i="2" s="1"/>
  <c r="AH48" i="1"/>
  <c r="AJ48" i="1" s="1"/>
  <c r="AM48" i="1" s="1"/>
  <c r="AD37" i="2" s="1"/>
  <c r="AI48" i="1"/>
  <c r="AK48" i="1" s="1"/>
  <c r="AO48" i="1" s="1"/>
  <c r="AF37" i="2" s="1"/>
  <c r="AL48" i="1"/>
  <c r="AC37" i="2" s="1"/>
  <c r="AT48" i="1"/>
  <c r="AX48" i="1" s="1"/>
  <c r="AI37" i="2" s="1"/>
  <c r="AU48" i="1"/>
  <c r="AW48" i="1" s="1"/>
  <c r="BA48" i="1" s="1"/>
  <c r="AL37" i="2" s="1"/>
  <c r="BF48" i="1"/>
  <c r="BJ48" i="1" s="1"/>
  <c r="AO37" i="2" s="1"/>
  <c r="BG48" i="1"/>
  <c r="BL48" i="1" s="1"/>
  <c r="AQ37" i="2" s="1"/>
  <c r="BR48" i="1"/>
  <c r="BV48" i="1" s="1"/>
  <c r="AU37" i="2" s="1"/>
  <c r="BS48" i="1"/>
  <c r="BX48" i="1" s="1"/>
  <c r="AW37" i="2" s="1"/>
  <c r="CD48" i="1"/>
  <c r="CH48" i="1" s="1"/>
  <c r="BA37" i="2" s="1"/>
  <c r="CE48" i="1"/>
  <c r="CG48" i="1" s="1"/>
  <c r="CK48" i="1" s="1"/>
  <c r="BD37" i="2" s="1"/>
  <c r="CP48" i="1"/>
  <c r="CR48" i="1" s="1"/>
  <c r="CU48" i="1" s="1"/>
  <c r="BH37" i="2" s="1"/>
  <c r="CQ48" i="1"/>
  <c r="CV48" i="1" s="1"/>
  <c r="BI37" i="2" s="1"/>
  <c r="DB48" i="1"/>
  <c r="DF48" i="1" s="1"/>
  <c r="BM37" i="2" s="1"/>
  <c r="DC48" i="1"/>
  <c r="DE48" i="1" s="1"/>
  <c r="DI48" i="1" s="1"/>
  <c r="BP37" i="2" s="1"/>
  <c r="DN48" i="1"/>
  <c r="DP48" i="1" s="1"/>
  <c r="DS48" i="1" s="1"/>
  <c r="BT37" i="2" s="1"/>
  <c r="DO48" i="1"/>
  <c r="DQ48" i="1" s="1"/>
  <c r="DU48" i="1" s="1"/>
  <c r="BV37" i="2" s="1"/>
  <c r="DZ48" i="1"/>
  <c r="EB48" i="1" s="1"/>
  <c r="EE48" i="1" s="1"/>
  <c r="CA37" i="2" s="1"/>
  <c r="EA48" i="1"/>
  <c r="EC48" i="1" s="1"/>
  <c r="EG48" i="1" s="1"/>
  <c r="CC37" i="2" s="1"/>
  <c r="EL48" i="1"/>
  <c r="EP48" i="1" s="1"/>
  <c r="CG37" i="2" s="1"/>
  <c r="EM48" i="1"/>
  <c r="EO48" i="1" s="1"/>
  <c r="ES48" i="1" s="1"/>
  <c r="CJ37" i="2" s="1"/>
  <c r="EX48" i="1"/>
  <c r="FB48" i="1" s="1"/>
  <c r="CN37" i="2" s="1"/>
  <c r="EY48" i="1"/>
  <c r="FD48" i="1" s="1"/>
  <c r="CP37" i="2" s="1"/>
  <c r="FJ48" i="1"/>
  <c r="FL48" i="1" s="1"/>
  <c r="FO48" i="1" s="1"/>
  <c r="CV37" i="2" s="1"/>
  <c r="FK48" i="1"/>
  <c r="FP48" i="1" s="1"/>
  <c r="CW37" i="2" s="1"/>
  <c r="FV48" i="1"/>
  <c r="FX48" i="1" s="1"/>
  <c r="GA48" i="1" s="1"/>
  <c r="DC37" i="2" s="1"/>
  <c r="FW48" i="1"/>
  <c r="FY48" i="1" s="1"/>
  <c r="GC48" i="1" s="1"/>
  <c r="DE37" i="2" s="1"/>
  <c r="GH48" i="1"/>
  <c r="GL48" i="1" s="1"/>
  <c r="DI37" i="2" s="1"/>
  <c r="GI48" i="1"/>
  <c r="GK48" i="1" s="1"/>
  <c r="GO48" i="1" s="1"/>
  <c r="DL37" i="2" s="1"/>
  <c r="J49" i="1"/>
  <c r="N49" i="1" s="1"/>
  <c r="Q38" i="2" s="1"/>
  <c r="K49" i="1"/>
  <c r="P49" i="1" s="1"/>
  <c r="S38" i="2" s="1"/>
  <c r="V49" i="1"/>
  <c r="X49" i="1" s="1"/>
  <c r="AA49" i="1" s="1"/>
  <c r="X38" i="2" s="1"/>
  <c r="W49" i="1"/>
  <c r="Y49" i="1" s="1"/>
  <c r="AC49" i="1" s="1"/>
  <c r="Z38" i="2" s="1"/>
  <c r="AH49" i="1"/>
  <c r="AJ49" i="1" s="1"/>
  <c r="AM49" i="1" s="1"/>
  <c r="AD38" i="2" s="1"/>
  <c r="AI49" i="1"/>
  <c r="AT49" i="1"/>
  <c r="AX49" i="1" s="1"/>
  <c r="AI38" i="2" s="1"/>
  <c r="AU49" i="1"/>
  <c r="AW49" i="1" s="1"/>
  <c r="BA49" i="1" s="1"/>
  <c r="AL38" i="2" s="1"/>
  <c r="BF49" i="1"/>
  <c r="BJ49" i="1" s="1"/>
  <c r="AO38" i="2" s="1"/>
  <c r="BG49" i="1"/>
  <c r="BL49" i="1" s="1"/>
  <c r="AQ38" i="2" s="1"/>
  <c r="BR49" i="1"/>
  <c r="BT49" i="1" s="1"/>
  <c r="BW49" i="1" s="1"/>
  <c r="AV38" i="2" s="1"/>
  <c r="BS49" i="1"/>
  <c r="BX49" i="1" s="1"/>
  <c r="AW38" i="2" s="1"/>
  <c r="CD49" i="1"/>
  <c r="CF49" i="1" s="1"/>
  <c r="CI49" i="1" s="1"/>
  <c r="BB38" i="2" s="1"/>
  <c r="CE49" i="1"/>
  <c r="CG49" i="1" s="1"/>
  <c r="CK49" i="1" s="1"/>
  <c r="BD38" i="2" s="1"/>
  <c r="CP49" i="1"/>
  <c r="CR49" i="1" s="1"/>
  <c r="CU49" i="1" s="1"/>
  <c r="BH38" i="2" s="1"/>
  <c r="CQ49" i="1"/>
  <c r="CS49" i="1" s="1"/>
  <c r="CW49" i="1" s="1"/>
  <c r="BJ38" i="2" s="1"/>
  <c r="DB49" i="1"/>
  <c r="DD49" i="1" s="1"/>
  <c r="DG49" i="1" s="1"/>
  <c r="BN38" i="2" s="1"/>
  <c r="DC49" i="1"/>
  <c r="DE49" i="1" s="1"/>
  <c r="DI49" i="1" s="1"/>
  <c r="BP38" i="2" s="1"/>
  <c r="DN49" i="1"/>
  <c r="DO49" i="1"/>
  <c r="DQ49" i="1" s="1"/>
  <c r="DU49" i="1" s="1"/>
  <c r="BV38" i="2" s="1"/>
  <c r="DZ49" i="1"/>
  <c r="EA49" i="1"/>
  <c r="EL49" i="1"/>
  <c r="EP49" i="1" s="1"/>
  <c r="CG38" i="2" s="1"/>
  <c r="EM49" i="1"/>
  <c r="EX49" i="1"/>
  <c r="FB49" i="1" s="1"/>
  <c r="CN38" i="2" s="1"/>
  <c r="EY49" i="1"/>
  <c r="FD49" i="1" s="1"/>
  <c r="CP38" i="2" s="1"/>
  <c r="FJ49" i="1"/>
  <c r="FL49" i="1" s="1"/>
  <c r="FO49" i="1" s="1"/>
  <c r="CV38" i="2" s="1"/>
  <c r="FK49" i="1"/>
  <c r="FP49" i="1" s="1"/>
  <c r="CW38" i="2" s="1"/>
  <c r="FV49" i="1"/>
  <c r="FX49" i="1" s="1"/>
  <c r="GA49" i="1" s="1"/>
  <c r="DC38" i="2" s="1"/>
  <c r="FW49" i="1"/>
  <c r="FY49" i="1" s="1"/>
  <c r="GC49" i="1" s="1"/>
  <c r="DE38" i="2" s="1"/>
  <c r="GH49" i="1"/>
  <c r="GL49" i="1" s="1"/>
  <c r="DI38" i="2" s="1"/>
  <c r="GI49" i="1"/>
  <c r="GK49" i="1" s="1"/>
  <c r="GO49" i="1" s="1"/>
  <c r="DL38" i="2" s="1"/>
  <c r="J50" i="1"/>
  <c r="L50" i="1" s="1"/>
  <c r="O50" i="1" s="1"/>
  <c r="R39" i="2" s="1"/>
  <c r="K50" i="1"/>
  <c r="P50" i="1" s="1"/>
  <c r="S39" i="2" s="1"/>
  <c r="V50" i="1"/>
  <c r="W50" i="1"/>
  <c r="AB50" i="1" s="1"/>
  <c r="Y39" i="2" s="1"/>
  <c r="AH50" i="1"/>
  <c r="AI50" i="1"/>
  <c r="AT50" i="1"/>
  <c r="AX50" i="1" s="1"/>
  <c r="AI39" i="2" s="1"/>
  <c r="AU50" i="1"/>
  <c r="BF50" i="1"/>
  <c r="BJ50" i="1" s="1"/>
  <c r="AO39" i="2" s="1"/>
  <c r="BG50" i="1"/>
  <c r="BL50" i="1" s="1"/>
  <c r="AQ39" i="2" s="1"/>
  <c r="BH50" i="1"/>
  <c r="BK50" i="1" s="1"/>
  <c r="AP39" i="2" s="1"/>
  <c r="BR50" i="1"/>
  <c r="BV50" i="1" s="1"/>
  <c r="AU39" i="2" s="1"/>
  <c r="BS50" i="1"/>
  <c r="BX50" i="1" s="1"/>
  <c r="AW39" i="2" s="1"/>
  <c r="CD50" i="1"/>
  <c r="CF50" i="1" s="1"/>
  <c r="CI50" i="1" s="1"/>
  <c r="BB39" i="2" s="1"/>
  <c r="CE50" i="1"/>
  <c r="CG50" i="1" s="1"/>
  <c r="CK50" i="1" s="1"/>
  <c r="BD39" i="2" s="1"/>
  <c r="CP50" i="1"/>
  <c r="CR50" i="1" s="1"/>
  <c r="CU50" i="1" s="1"/>
  <c r="BH39" i="2" s="1"/>
  <c r="CQ50" i="1"/>
  <c r="CS50" i="1" s="1"/>
  <c r="CW50" i="1" s="1"/>
  <c r="BJ39" i="2" s="1"/>
  <c r="DB50" i="1"/>
  <c r="DF50" i="1" s="1"/>
  <c r="BM39" i="2" s="1"/>
  <c r="DC50" i="1"/>
  <c r="DH50" i="1" s="1"/>
  <c r="BO39" i="2" s="1"/>
  <c r="DN50" i="1"/>
  <c r="DO50" i="1"/>
  <c r="DQ50" i="1" s="1"/>
  <c r="DU50" i="1" s="1"/>
  <c r="BV39" i="2" s="1"/>
  <c r="DZ50" i="1"/>
  <c r="EB50" i="1" s="1"/>
  <c r="EE50" i="1" s="1"/>
  <c r="CA39" i="2" s="1"/>
  <c r="EA50" i="1"/>
  <c r="EL50" i="1"/>
  <c r="EP50" i="1" s="1"/>
  <c r="CG39" i="2" s="1"/>
  <c r="EM50" i="1"/>
  <c r="EO50" i="1" s="1"/>
  <c r="ES50" i="1" s="1"/>
  <c r="CJ39" i="2" s="1"/>
  <c r="EX50" i="1"/>
  <c r="FB50" i="1" s="1"/>
  <c r="CN39" i="2" s="1"/>
  <c r="EY50" i="1"/>
  <c r="FD50" i="1" s="1"/>
  <c r="CP39" i="2" s="1"/>
  <c r="FJ50" i="1"/>
  <c r="FN50" i="1" s="1"/>
  <c r="CU39" i="2" s="1"/>
  <c r="FK50" i="1"/>
  <c r="FP50" i="1" s="1"/>
  <c r="CW39" i="2" s="1"/>
  <c r="FV50" i="1"/>
  <c r="FX50" i="1" s="1"/>
  <c r="GA50" i="1" s="1"/>
  <c r="DC39" i="2" s="1"/>
  <c r="FW50" i="1"/>
  <c r="GB50" i="1" s="1"/>
  <c r="DD39" i="2" s="1"/>
  <c r="GH50" i="1"/>
  <c r="GL50" i="1" s="1"/>
  <c r="DI39" i="2" s="1"/>
  <c r="GI50" i="1"/>
  <c r="GK50" i="1" s="1"/>
  <c r="GO50" i="1" s="1"/>
  <c r="DL39" i="2" s="1"/>
  <c r="J51" i="1"/>
  <c r="L51" i="1" s="1"/>
  <c r="O51" i="1" s="1"/>
  <c r="R40" i="2" s="1"/>
  <c r="K51" i="1"/>
  <c r="P51" i="1" s="1"/>
  <c r="S40" i="2" s="1"/>
  <c r="V51" i="1"/>
  <c r="W51" i="1"/>
  <c r="AB51" i="1" s="1"/>
  <c r="Y40" i="2" s="1"/>
  <c r="AH51" i="1"/>
  <c r="AJ51" i="1" s="1"/>
  <c r="AM51" i="1" s="1"/>
  <c r="AD40" i="2" s="1"/>
  <c r="AI51" i="1"/>
  <c r="AT51" i="1"/>
  <c r="AX51" i="1" s="1"/>
  <c r="AI40" i="2" s="1"/>
  <c r="AU51" i="1"/>
  <c r="AW51" i="1" s="1"/>
  <c r="BA51" i="1" s="1"/>
  <c r="AL40" i="2" s="1"/>
  <c r="BF51" i="1"/>
  <c r="BJ51" i="1" s="1"/>
  <c r="AO40" i="2" s="1"/>
  <c r="BG51" i="1"/>
  <c r="BL51" i="1" s="1"/>
  <c r="AQ40" i="2" s="1"/>
  <c r="BR51" i="1"/>
  <c r="BV51" i="1" s="1"/>
  <c r="AU40" i="2" s="1"/>
  <c r="BS51" i="1"/>
  <c r="BX51" i="1" s="1"/>
  <c r="AW40" i="2" s="1"/>
  <c r="CD51" i="1"/>
  <c r="CH51" i="1" s="1"/>
  <c r="BA40" i="2" s="1"/>
  <c r="CE51" i="1"/>
  <c r="CJ51" i="1" s="1"/>
  <c r="BC40" i="2" s="1"/>
  <c r="CG51" i="1"/>
  <c r="CK51" i="1" s="1"/>
  <c r="BD40" i="2" s="1"/>
  <c r="CP51" i="1"/>
  <c r="CT51" i="1" s="1"/>
  <c r="BG40" i="2" s="1"/>
  <c r="CQ51" i="1"/>
  <c r="CV51" i="1" s="1"/>
  <c r="BI40" i="2" s="1"/>
  <c r="DB51" i="1"/>
  <c r="DD51" i="1" s="1"/>
  <c r="DG51" i="1" s="1"/>
  <c r="BN40" i="2" s="1"/>
  <c r="DC51" i="1"/>
  <c r="DE51" i="1" s="1"/>
  <c r="DI51" i="1" s="1"/>
  <c r="BP40" i="2" s="1"/>
  <c r="DN51" i="1"/>
  <c r="DO51" i="1"/>
  <c r="DQ51" i="1" s="1"/>
  <c r="DU51" i="1" s="1"/>
  <c r="BV40" i="2" s="1"/>
  <c r="DZ51" i="1"/>
  <c r="EB51" i="1" s="1"/>
  <c r="EE51" i="1" s="1"/>
  <c r="CA40" i="2" s="1"/>
  <c r="EA51" i="1"/>
  <c r="EL51" i="1"/>
  <c r="EP51" i="1" s="1"/>
  <c r="CG40" i="2" s="1"/>
  <c r="EM51" i="1"/>
  <c r="EO51" i="1" s="1"/>
  <c r="ES51" i="1" s="1"/>
  <c r="CJ40" i="2" s="1"/>
  <c r="EX51" i="1"/>
  <c r="FB51" i="1" s="1"/>
  <c r="CN40" i="2" s="1"/>
  <c r="EY51" i="1"/>
  <c r="FD51" i="1" s="1"/>
  <c r="CP40" i="2" s="1"/>
  <c r="FJ51" i="1"/>
  <c r="FL51" i="1" s="1"/>
  <c r="FO51" i="1" s="1"/>
  <c r="CV40" i="2" s="1"/>
  <c r="FK51" i="1"/>
  <c r="FP51" i="1" s="1"/>
  <c r="CW40" i="2" s="1"/>
  <c r="FV51" i="1"/>
  <c r="FX51" i="1" s="1"/>
  <c r="GA51" i="1" s="1"/>
  <c r="DC40" i="2" s="1"/>
  <c r="FW51" i="1"/>
  <c r="FY51" i="1" s="1"/>
  <c r="GC51" i="1" s="1"/>
  <c r="DE40" i="2" s="1"/>
  <c r="GH51" i="1"/>
  <c r="GL51" i="1" s="1"/>
  <c r="DI40" i="2" s="1"/>
  <c r="GI51" i="1"/>
  <c r="GK51" i="1" s="1"/>
  <c r="GO51" i="1" s="1"/>
  <c r="DL40" i="2" s="1"/>
  <c r="J52" i="1"/>
  <c r="L52" i="1" s="1"/>
  <c r="O52" i="1" s="1"/>
  <c r="R41" i="2" s="1"/>
  <c r="K52" i="1"/>
  <c r="P52" i="1" s="1"/>
  <c r="S41" i="2" s="1"/>
  <c r="V52" i="1"/>
  <c r="W52" i="1"/>
  <c r="Y52" i="1" s="1"/>
  <c r="AC52" i="1" s="1"/>
  <c r="Z41" i="2" s="1"/>
  <c r="AH52" i="1"/>
  <c r="AJ52" i="1" s="1"/>
  <c r="AM52" i="1" s="1"/>
  <c r="AD41" i="2" s="1"/>
  <c r="AI52" i="1"/>
  <c r="AT52" i="1"/>
  <c r="AX52" i="1" s="1"/>
  <c r="AI41" i="2" s="1"/>
  <c r="AU52" i="1"/>
  <c r="AW52" i="1" s="1"/>
  <c r="BA52" i="1" s="1"/>
  <c r="AL41" i="2" s="1"/>
  <c r="AZ52" i="1"/>
  <c r="AK41" i="2" s="1"/>
  <c r="BF52" i="1"/>
  <c r="BJ52" i="1" s="1"/>
  <c r="AO41" i="2" s="1"/>
  <c r="BG52" i="1"/>
  <c r="BL52" i="1" s="1"/>
  <c r="AQ41" i="2" s="1"/>
  <c r="BR52" i="1"/>
  <c r="BT52" i="1" s="1"/>
  <c r="BW52" i="1" s="1"/>
  <c r="AV41" i="2" s="1"/>
  <c r="BS52" i="1"/>
  <c r="BX52" i="1" s="1"/>
  <c r="AW41" i="2" s="1"/>
  <c r="CD52" i="1"/>
  <c r="CF52" i="1" s="1"/>
  <c r="CI52" i="1" s="1"/>
  <c r="BB41" i="2" s="1"/>
  <c r="CE52" i="1"/>
  <c r="CG52" i="1" s="1"/>
  <c r="CK52" i="1" s="1"/>
  <c r="BD41" i="2" s="1"/>
  <c r="CP52" i="1"/>
  <c r="CT52" i="1" s="1"/>
  <c r="BG41" i="2" s="1"/>
  <c r="CQ52" i="1"/>
  <c r="CS52" i="1" s="1"/>
  <c r="CW52" i="1" s="1"/>
  <c r="BJ41" i="2" s="1"/>
  <c r="DB52" i="1"/>
  <c r="DD52" i="1" s="1"/>
  <c r="DG52" i="1" s="1"/>
  <c r="BN41" i="2" s="1"/>
  <c r="DC52" i="1"/>
  <c r="DE52" i="1" s="1"/>
  <c r="DI52" i="1" s="1"/>
  <c r="BP41" i="2" s="1"/>
  <c r="DN52" i="1"/>
  <c r="DO52" i="1"/>
  <c r="DQ52" i="1" s="1"/>
  <c r="DU52" i="1" s="1"/>
  <c r="BV41" i="2" s="1"/>
  <c r="DZ52" i="1"/>
  <c r="EB52" i="1" s="1"/>
  <c r="EE52" i="1" s="1"/>
  <c r="CA41" i="2" s="1"/>
  <c r="EA52" i="1"/>
  <c r="EL52" i="1"/>
  <c r="EP52" i="1" s="1"/>
  <c r="CG41" i="2" s="1"/>
  <c r="EM52" i="1"/>
  <c r="EX52" i="1"/>
  <c r="EZ52" i="1" s="1"/>
  <c r="FC52" i="1" s="1"/>
  <c r="CO41" i="2" s="1"/>
  <c r="EY52" i="1"/>
  <c r="FD52" i="1" s="1"/>
  <c r="CP41" i="2" s="1"/>
  <c r="FJ52" i="1"/>
  <c r="FL52" i="1" s="1"/>
  <c r="FO52" i="1" s="1"/>
  <c r="CV41" i="2" s="1"/>
  <c r="FK52" i="1"/>
  <c r="FM52" i="1" s="1"/>
  <c r="FQ52" i="1" s="1"/>
  <c r="CX41" i="2" s="1"/>
  <c r="FV52" i="1"/>
  <c r="FW52" i="1"/>
  <c r="FY52" i="1" s="1"/>
  <c r="GC52" i="1" s="1"/>
  <c r="DE41" i="2" s="1"/>
  <c r="GH52" i="1"/>
  <c r="GJ52" i="1" s="1"/>
  <c r="GM52" i="1" s="1"/>
  <c r="DJ41" i="2" s="1"/>
  <c r="GI52" i="1"/>
  <c r="J53" i="1"/>
  <c r="N53" i="1" s="1"/>
  <c r="Q42" i="2" s="1"/>
  <c r="K53" i="1"/>
  <c r="M53" i="1" s="1"/>
  <c r="Q53" i="1" s="1"/>
  <c r="T42" i="2" s="1"/>
  <c r="L53" i="1"/>
  <c r="O53" i="1" s="1"/>
  <c r="R42" i="2" s="1"/>
  <c r="V53" i="1"/>
  <c r="W53" i="1"/>
  <c r="Y53" i="1" s="1"/>
  <c r="AC53" i="1" s="1"/>
  <c r="Z42" i="2" s="1"/>
  <c r="AH53" i="1"/>
  <c r="AJ53" i="1" s="1"/>
  <c r="AM53" i="1" s="1"/>
  <c r="AD42" i="2" s="1"/>
  <c r="AI53" i="1"/>
  <c r="AT53" i="1"/>
  <c r="AX53" i="1" s="1"/>
  <c r="AI42" i="2" s="1"/>
  <c r="AU53" i="1"/>
  <c r="BF53" i="1"/>
  <c r="BH53" i="1" s="1"/>
  <c r="BK53" i="1" s="1"/>
  <c r="AP42" i="2" s="1"/>
  <c r="BG53" i="1"/>
  <c r="BR53" i="1"/>
  <c r="BT53" i="1" s="1"/>
  <c r="BW53" i="1" s="1"/>
  <c r="AV42" i="2" s="1"/>
  <c r="BS53" i="1"/>
  <c r="BX53" i="1" s="1"/>
  <c r="AW42" i="2" s="1"/>
  <c r="CD53" i="1"/>
  <c r="CE53" i="1"/>
  <c r="CJ53" i="1" s="1"/>
  <c r="BC42" i="2" s="1"/>
  <c r="CP53" i="1"/>
  <c r="CT53" i="1" s="1"/>
  <c r="BG42" i="2" s="1"/>
  <c r="CQ53" i="1"/>
  <c r="DB53" i="1"/>
  <c r="DD53" i="1" s="1"/>
  <c r="DG53" i="1" s="1"/>
  <c r="BN42" i="2" s="1"/>
  <c r="DC53" i="1"/>
  <c r="DE53" i="1" s="1"/>
  <c r="DI53" i="1" s="1"/>
  <c r="BP42" i="2" s="1"/>
  <c r="DN53" i="1"/>
  <c r="DO53" i="1"/>
  <c r="DQ53" i="1" s="1"/>
  <c r="DU53" i="1" s="1"/>
  <c r="BV42" i="2" s="1"/>
  <c r="DZ53" i="1"/>
  <c r="EB53" i="1" s="1"/>
  <c r="EE53" i="1" s="1"/>
  <c r="CA42" i="2" s="1"/>
  <c r="EA53" i="1"/>
  <c r="EL53" i="1"/>
  <c r="EP53" i="1" s="1"/>
  <c r="CG42" i="2" s="1"/>
  <c r="EM53" i="1"/>
  <c r="EX53" i="1"/>
  <c r="EZ53" i="1" s="1"/>
  <c r="FC53" i="1" s="1"/>
  <c r="CO42" i="2" s="1"/>
  <c r="EY53" i="1"/>
  <c r="FJ53" i="1"/>
  <c r="FN53" i="1" s="1"/>
  <c r="CU42" i="2" s="1"/>
  <c r="FK53" i="1"/>
  <c r="FP53" i="1" s="1"/>
  <c r="CW42" i="2" s="1"/>
  <c r="FL53" i="1"/>
  <c r="FO53" i="1" s="1"/>
  <c r="CV42" i="2" s="1"/>
  <c r="FV53" i="1"/>
  <c r="FW53" i="1"/>
  <c r="GB53" i="1" s="1"/>
  <c r="DD42" i="2" s="1"/>
  <c r="GH53" i="1"/>
  <c r="GL53" i="1" s="1"/>
  <c r="DI42" i="2" s="1"/>
  <c r="GI53" i="1"/>
  <c r="J54" i="1"/>
  <c r="N54" i="1" s="1"/>
  <c r="Q43" i="2" s="1"/>
  <c r="K54" i="1"/>
  <c r="P54" i="1" s="1"/>
  <c r="S43" i="2" s="1"/>
  <c r="V54" i="1"/>
  <c r="W54" i="1"/>
  <c r="Y54" i="1" s="1"/>
  <c r="AC54" i="1" s="1"/>
  <c r="Z43" i="2" s="1"/>
  <c r="AH54" i="1"/>
  <c r="AJ54" i="1" s="1"/>
  <c r="AM54" i="1" s="1"/>
  <c r="AD43" i="2" s="1"/>
  <c r="AI54" i="1"/>
  <c r="AT54" i="1"/>
  <c r="AX54" i="1" s="1"/>
  <c r="AI43" i="2" s="1"/>
  <c r="AU54" i="1"/>
  <c r="BF54" i="1"/>
  <c r="BH54" i="1" s="1"/>
  <c r="BK54" i="1" s="1"/>
  <c r="AP43" i="2" s="1"/>
  <c r="BG54" i="1"/>
  <c r="BR54" i="1"/>
  <c r="BT54" i="1" s="1"/>
  <c r="BW54" i="1" s="1"/>
  <c r="AV43" i="2" s="1"/>
  <c r="BS54" i="1"/>
  <c r="BX54" i="1" s="1"/>
  <c r="AW43" i="2" s="1"/>
  <c r="CD54" i="1"/>
  <c r="CE54" i="1"/>
  <c r="CG54" i="1" s="1"/>
  <c r="CK54" i="1" s="1"/>
  <c r="BD43" i="2" s="1"/>
  <c r="CP54" i="1"/>
  <c r="CR54" i="1" s="1"/>
  <c r="CU54" i="1" s="1"/>
  <c r="BH43" i="2" s="1"/>
  <c r="CQ54" i="1"/>
  <c r="DB54" i="1"/>
  <c r="DF54" i="1" s="1"/>
  <c r="BM43" i="2" s="1"/>
  <c r="DC54" i="1"/>
  <c r="DH54" i="1" s="1"/>
  <c r="BO43" i="2" s="1"/>
  <c r="DN54" i="1"/>
  <c r="DO54" i="1"/>
  <c r="DQ54" i="1" s="1"/>
  <c r="DU54" i="1" s="1"/>
  <c r="BV43" i="2" s="1"/>
  <c r="DZ54" i="1"/>
  <c r="EB54" i="1" s="1"/>
  <c r="EE54" i="1" s="1"/>
  <c r="CA43" i="2" s="1"/>
  <c r="EA54" i="1"/>
  <c r="EL54" i="1"/>
  <c r="EP54" i="1" s="1"/>
  <c r="CG43" i="2" s="1"/>
  <c r="EM54" i="1"/>
  <c r="EX54" i="1"/>
  <c r="EY54" i="1"/>
  <c r="FD54" i="1" s="1"/>
  <c r="CP43" i="2" s="1"/>
  <c r="FJ54" i="1"/>
  <c r="FN54" i="1" s="1"/>
  <c r="CU43" i="2" s="1"/>
  <c r="FK54" i="1"/>
  <c r="FP54" i="1" s="1"/>
  <c r="CW43" i="2" s="1"/>
  <c r="FV54" i="1"/>
  <c r="FW54" i="1"/>
  <c r="GB54" i="1" s="1"/>
  <c r="DD43" i="2" s="1"/>
  <c r="GH54" i="1"/>
  <c r="GL54" i="1" s="1"/>
  <c r="DI43" i="2" s="1"/>
  <c r="GI54" i="1"/>
  <c r="J55" i="1"/>
  <c r="K55" i="1"/>
  <c r="P55" i="1" s="1"/>
  <c r="S44" i="2" s="1"/>
  <c r="V55" i="1"/>
  <c r="Z55" i="1" s="1"/>
  <c r="W44" i="2" s="1"/>
  <c r="W55" i="1"/>
  <c r="AB55" i="1" s="1"/>
  <c r="Y44" i="2" s="1"/>
  <c r="AH55" i="1"/>
  <c r="AI55" i="1"/>
  <c r="AN55" i="1" s="1"/>
  <c r="AE44" i="2" s="1"/>
  <c r="AT55" i="1"/>
  <c r="AX55" i="1" s="1"/>
  <c r="AI44" i="2" s="1"/>
  <c r="AU55" i="1"/>
  <c r="BF55" i="1"/>
  <c r="BG55" i="1"/>
  <c r="BL55" i="1" s="1"/>
  <c r="AQ44" i="2" s="1"/>
  <c r="BR55" i="1"/>
  <c r="BV55" i="1" s="1"/>
  <c r="AU44" i="2" s="1"/>
  <c r="BS55" i="1"/>
  <c r="BX55" i="1" s="1"/>
  <c r="AW44" i="2" s="1"/>
  <c r="CD55" i="1"/>
  <c r="CE55" i="1"/>
  <c r="CJ55" i="1" s="1"/>
  <c r="BC44" i="2" s="1"/>
  <c r="CP55" i="1"/>
  <c r="CT55" i="1" s="1"/>
  <c r="BG44" i="2" s="1"/>
  <c r="CQ55" i="1"/>
  <c r="DB55" i="1"/>
  <c r="DC55" i="1"/>
  <c r="DH55" i="1" s="1"/>
  <c r="BO44" i="2" s="1"/>
  <c r="DN55" i="1"/>
  <c r="DR55" i="1" s="1"/>
  <c r="BS44" i="2" s="1"/>
  <c r="DO55" i="1"/>
  <c r="DT55" i="1" s="1"/>
  <c r="BU44" i="2" s="1"/>
  <c r="DZ55" i="1"/>
  <c r="EA55" i="1"/>
  <c r="EF55" i="1" s="1"/>
  <c r="CB44" i="2" s="1"/>
  <c r="EL55" i="1"/>
  <c r="EP55" i="1" s="1"/>
  <c r="CG44" i="2" s="1"/>
  <c r="EM55" i="1"/>
  <c r="ER55" i="1" s="1"/>
  <c r="CI44" i="2" s="1"/>
  <c r="EX55" i="1"/>
  <c r="EY55" i="1"/>
  <c r="FD55" i="1" s="1"/>
  <c r="CP44" i="2" s="1"/>
  <c r="FJ55" i="1"/>
  <c r="FN55" i="1" s="1"/>
  <c r="CU44" i="2" s="1"/>
  <c r="FK55" i="1"/>
  <c r="FP55" i="1" s="1"/>
  <c r="CW44" i="2" s="1"/>
  <c r="FV55" i="1"/>
  <c r="FW55" i="1"/>
  <c r="GH55" i="1"/>
  <c r="GL55" i="1" s="1"/>
  <c r="DI44" i="2" s="1"/>
  <c r="GI55" i="1"/>
  <c r="GN55" i="1" s="1"/>
  <c r="DK44" i="2" s="1"/>
  <c r="J56" i="1"/>
  <c r="K56" i="1"/>
  <c r="P56" i="1" s="1"/>
  <c r="S45" i="2" s="1"/>
  <c r="V56" i="1"/>
  <c r="Z56" i="1" s="1"/>
  <c r="W45" i="2" s="1"/>
  <c r="W56" i="1"/>
  <c r="AB56" i="1" s="1"/>
  <c r="Y45" i="2" s="1"/>
  <c r="AH56" i="1"/>
  <c r="AI56" i="1"/>
  <c r="AT56" i="1"/>
  <c r="AX56" i="1" s="1"/>
  <c r="AI45" i="2" s="1"/>
  <c r="AU56" i="1"/>
  <c r="AZ56" i="1" s="1"/>
  <c r="AK45" i="2" s="1"/>
  <c r="BF56" i="1"/>
  <c r="BG56" i="1"/>
  <c r="BL56" i="1" s="1"/>
  <c r="AQ45" i="2" s="1"/>
  <c r="BR56" i="1"/>
  <c r="BV56" i="1" s="1"/>
  <c r="AU45" i="2" s="1"/>
  <c r="BS56" i="1"/>
  <c r="BX56" i="1" s="1"/>
  <c r="AW45" i="2" s="1"/>
  <c r="CD56" i="1"/>
  <c r="CE56" i="1"/>
  <c r="CJ56" i="1" s="1"/>
  <c r="BC45" i="2" s="1"/>
  <c r="CP56" i="1"/>
  <c r="CQ56" i="1"/>
  <c r="DB56" i="1"/>
  <c r="DF56" i="1" s="1"/>
  <c r="BM45" i="2" s="1"/>
  <c r="DC56" i="1"/>
  <c r="DE56" i="1" s="1"/>
  <c r="DI56" i="1" s="1"/>
  <c r="BP45" i="2" s="1"/>
  <c r="DN56" i="1"/>
  <c r="DR56" i="1" s="1"/>
  <c r="BS45" i="2" s="1"/>
  <c r="DO56" i="1"/>
  <c r="DT56" i="1" s="1"/>
  <c r="BU45" i="2" s="1"/>
  <c r="DZ56" i="1"/>
  <c r="ED56" i="1" s="1"/>
  <c r="BZ45" i="2" s="1"/>
  <c r="EA56" i="1"/>
  <c r="EF56" i="1" s="1"/>
  <c r="CB45" i="2" s="1"/>
  <c r="EL56" i="1"/>
  <c r="EM56" i="1"/>
  <c r="ER56" i="1" s="1"/>
  <c r="CI45" i="2" s="1"/>
  <c r="EX56" i="1"/>
  <c r="FB56" i="1" s="1"/>
  <c r="CN45" i="2" s="1"/>
  <c r="EY56" i="1"/>
  <c r="FA56" i="1" s="1"/>
  <c r="FE56" i="1" s="1"/>
  <c r="CQ45" i="2" s="1"/>
  <c r="FJ56" i="1"/>
  <c r="FN56" i="1" s="1"/>
  <c r="CU45" i="2" s="1"/>
  <c r="FK56" i="1"/>
  <c r="FM56" i="1" s="1"/>
  <c r="FQ56" i="1" s="1"/>
  <c r="CX45" i="2" s="1"/>
  <c r="FV56" i="1"/>
  <c r="FW56" i="1"/>
  <c r="GB56" i="1" s="1"/>
  <c r="DD45" i="2" s="1"/>
  <c r="GH56" i="1"/>
  <c r="GI56" i="1"/>
  <c r="J57" i="1"/>
  <c r="N57" i="1" s="1"/>
  <c r="Q46" i="2" s="1"/>
  <c r="K57" i="1"/>
  <c r="M57" i="1" s="1"/>
  <c r="Q57" i="1" s="1"/>
  <c r="T46" i="2" s="1"/>
  <c r="V57" i="1"/>
  <c r="Z57" i="1" s="1"/>
  <c r="W46" i="2" s="1"/>
  <c r="W57" i="1"/>
  <c r="AB57" i="1" s="1"/>
  <c r="Y46" i="2" s="1"/>
  <c r="AH57" i="1"/>
  <c r="AL57" i="1" s="1"/>
  <c r="AC46" i="2" s="1"/>
  <c r="AI57" i="1"/>
  <c r="AK57" i="1" s="1"/>
  <c r="AO57" i="1" s="1"/>
  <c r="AF46" i="2" s="1"/>
  <c r="AT57" i="1"/>
  <c r="AU57" i="1"/>
  <c r="AW57" i="1" s="1"/>
  <c r="BA57" i="1" s="1"/>
  <c r="AL46" i="2" s="1"/>
  <c r="BF57" i="1"/>
  <c r="BJ57" i="1" s="1"/>
  <c r="AO46" i="2" s="1"/>
  <c r="BG57" i="1"/>
  <c r="BI57" i="1" s="1"/>
  <c r="BM57" i="1" s="1"/>
  <c r="AR46" i="2" s="1"/>
  <c r="BR57" i="1"/>
  <c r="BV57" i="1" s="1"/>
  <c r="AU46" i="2" s="1"/>
  <c r="BS57" i="1"/>
  <c r="BX57" i="1" s="1"/>
  <c r="AW46" i="2" s="1"/>
  <c r="CD57" i="1"/>
  <c r="CE57" i="1"/>
  <c r="CJ57" i="1" s="1"/>
  <c r="BC46" i="2" s="1"/>
  <c r="CP57" i="1"/>
  <c r="CQ57" i="1"/>
  <c r="CS57" i="1" s="1"/>
  <c r="CW57" i="1" s="1"/>
  <c r="BJ46" i="2" s="1"/>
  <c r="DB57" i="1"/>
  <c r="DF57" i="1" s="1"/>
  <c r="BM46" i="2" s="1"/>
  <c r="DC57" i="1"/>
  <c r="DE57" i="1" s="1"/>
  <c r="DI57" i="1" s="1"/>
  <c r="BP46" i="2" s="1"/>
  <c r="DN57" i="1"/>
  <c r="DR57" i="1" s="1"/>
  <c r="BS46" i="2" s="1"/>
  <c r="DO57" i="1"/>
  <c r="DT57" i="1" s="1"/>
  <c r="BU46" i="2" s="1"/>
  <c r="DZ57" i="1"/>
  <c r="ED57" i="1" s="1"/>
  <c r="BZ46" i="2" s="1"/>
  <c r="EA57" i="1"/>
  <c r="EF57" i="1" s="1"/>
  <c r="CB46" i="2" s="1"/>
  <c r="EL57" i="1"/>
  <c r="EM57" i="1"/>
  <c r="EO57" i="1" s="1"/>
  <c r="ES57" i="1" s="1"/>
  <c r="CJ46" i="2" s="1"/>
  <c r="EX57" i="1"/>
  <c r="FB57" i="1" s="1"/>
  <c r="CN46" i="2" s="1"/>
  <c r="EY57" i="1"/>
  <c r="FA57" i="1" s="1"/>
  <c r="FE57" i="1" s="1"/>
  <c r="CQ46" i="2" s="1"/>
  <c r="FJ57" i="1"/>
  <c r="FN57" i="1" s="1"/>
  <c r="CU46" i="2" s="1"/>
  <c r="FK57" i="1"/>
  <c r="FP57" i="1" s="1"/>
  <c r="CW46" i="2" s="1"/>
  <c r="FV57" i="1"/>
  <c r="FW57" i="1"/>
  <c r="GB57" i="1" s="1"/>
  <c r="DD46" i="2" s="1"/>
  <c r="GH57" i="1"/>
  <c r="GI57" i="1"/>
  <c r="GK57" i="1" s="1"/>
  <c r="GO57" i="1" s="1"/>
  <c r="DL46" i="2" s="1"/>
  <c r="J58" i="1"/>
  <c r="N58" i="1" s="1"/>
  <c r="Q47" i="2" s="1"/>
  <c r="K58" i="1"/>
  <c r="M58" i="1" s="1"/>
  <c r="Q58" i="1" s="1"/>
  <c r="T47" i="2" s="1"/>
  <c r="V58" i="1"/>
  <c r="Z58" i="1" s="1"/>
  <c r="W47" i="2" s="1"/>
  <c r="W58" i="1"/>
  <c r="AB58" i="1" s="1"/>
  <c r="Y47" i="2" s="1"/>
  <c r="AH58" i="1"/>
  <c r="AL58" i="1" s="1"/>
  <c r="AC47" i="2" s="1"/>
  <c r="AI58" i="1"/>
  <c r="AK58" i="1" s="1"/>
  <c r="AO58" i="1" s="1"/>
  <c r="AF47" i="2" s="1"/>
  <c r="AT58" i="1"/>
  <c r="AU58" i="1"/>
  <c r="AW58" i="1" s="1"/>
  <c r="BA58" i="1" s="1"/>
  <c r="AL47" i="2" s="1"/>
  <c r="BF58" i="1"/>
  <c r="BJ58" i="1" s="1"/>
  <c r="AO47" i="2" s="1"/>
  <c r="BG58" i="1"/>
  <c r="BI58" i="1" s="1"/>
  <c r="BM58" i="1"/>
  <c r="AR47" i="2" s="1"/>
  <c r="BR58" i="1"/>
  <c r="BV58" i="1" s="1"/>
  <c r="AU47" i="2" s="1"/>
  <c r="BS58" i="1"/>
  <c r="BU58" i="1" s="1"/>
  <c r="BY58" i="1" s="1"/>
  <c r="AX47" i="2" s="1"/>
  <c r="CD58" i="1"/>
  <c r="CE58" i="1"/>
  <c r="CJ58" i="1" s="1"/>
  <c r="BC47" i="2" s="1"/>
  <c r="CP58" i="1"/>
  <c r="CQ58" i="1"/>
  <c r="CS58" i="1" s="1"/>
  <c r="CW58" i="1" s="1"/>
  <c r="BJ47" i="2" s="1"/>
  <c r="DB58" i="1"/>
  <c r="DF58" i="1" s="1"/>
  <c r="BM47" i="2" s="1"/>
  <c r="DC58" i="1"/>
  <c r="DE58" i="1" s="1"/>
  <c r="DI58" i="1" s="1"/>
  <c r="BP47" i="2" s="1"/>
  <c r="DN58" i="1"/>
  <c r="DR58" i="1" s="1"/>
  <c r="BS47" i="2" s="1"/>
  <c r="DO58" i="1"/>
  <c r="DT58" i="1" s="1"/>
  <c r="BU47" i="2" s="1"/>
  <c r="DZ58" i="1"/>
  <c r="ED58" i="1" s="1"/>
  <c r="BZ47" i="2" s="1"/>
  <c r="EA58" i="1"/>
  <c r="EF58" i="1" s="1"/>
  <c r="CB47" i="2" s="1"/>
  <c r="EL58" i="1"/>
  <c r="EM58" i="1"/>
  <c r="ER58" i="1" s="1"/>
  <c r="CI47" i="2" s="1"/>
  <c r="EX58" i="1"/>
  <c r="FB58" i="1" s="1"/>
  <c r="CN47" i="2" s="1"/>
  <c r="EY58" i="1"/>
  <c r="FA58" i="1" s="1"/>
  <c r="FE58" i="1" s="1"/>
  <c r="CQ47" i="2" s="1"/>
  <c r="FJ58" i="1"/>
  <c r="FN58" i="1" s="1"/>
  <c r="CU47" i="2" s="1"/>
  <c r="FK58" i="1"/>
  <c r="FP58" i="1" s="1"/>
  <c r="CW47" i="2" s="1"/>
  <c r="FV58" i="1"/>
  <c r="FW58" i="1"/>
  <c r="GB58" i="1" s="1"/>
  <c r="DD47" i="2" s="1"/>
  <c r="GH58" i="1"/>
  <c r="GI58" i="1"/>
  <c r="GK58" i="1" s="1"/>
  <c r="GO58" i="1" s="1"/>
  <c r="DL47" i="2" s="1"/>
  <c r="J59" i="1"/>
  <c r="N59" i="1" s="1"/>
  <c r="Q48" i="2" s="1"/>
  <c r="K59" i="1"/>
  <c r="M59" i="1" s="1"/>
  <c r="Q59" i="1" s="1"/>
  <c r="T48" i="2" s="1"/>
  <c r="V59" i="1"/>
  <c r="Z59" i="1" s="1"/>
  <c r="W48" i="2" s="1"/>
  <c r="W59" i="1"/>
  <c r="AB59" i="1" s="1"/>
  <c r="Y48" i="2" s="1"/>
  <c r="AH59" i="1"/>
  <c r="AL59" i="1" s="1"/>
  <c r="AC48" i="2" s="1"/>
  <c r="AI59" i="1"/>
  <c r="AK59" i="1" s="1"/>
  <c r="AO59" i="1" s="1"/>
  <c r="AF48" i="2" s="1"/>
  <c r="AT59" i="1"/>
  <c r="AU59" i="1"/>
  <c r="AW59" i="1" s="1"/>
  <c r="BA59" i="1" s="1"/>
  <c r="AL48" i="2" s="1"/>
  <c r="BF59" i="1"/>
  <c r="BJ59" i="1" s="1"/>
  <c r="AO48" i="2" s="1"/>
  <c r="BG59" i="1"/>
  <c r="BI59" i="1" s="1"/>
  <c r="BM59" i="1" s="1"/>
  <c r="AR48" i="2" s="1"/>
  <c r="BR59" i="1"/>
  <c r="BV59" i="1" s="1"/>
  <c r="AU48" i="2" s="1"/>
  <c r="BS59" i="1"/>
  <c r="BU59" i="1" s="1"/>
  <c r="BY59" i="1" s="1"/>
  <c r="AX48" i="2" s="1"/>
  <c r="CD59" i="1"/>
  <c r="CE59" i="1"/>
  <c r="CJ59" i="1" s="1"/>
  <c r="BC48" i="2" s="1"/>
  <c r="CP59" i="1"/>
  <c r="CT59" i="1" s="1"/>
  <c r="BG48" i="2" s="1"/>
  <c r="CQ59" i="1"/>
  <c r="CS59" i="1" s="1"/>
  <c r="CW59" i="1" s="1"/>
  <c r="BJ48" i="2" s="1"/>
  <c r="DB59" i="1"/>
  <c r="DF59" i="1" s="1"/>
  <c r="BM48" i="2" s="1"/>
  <c r="DC59" i="1"/>
  <c r="DH59" i="1" s="1"/>
  <c r="BO48" i="2" s="1"/>
  <c r="DN59" i="1"/>
  <c r="DR59" i="1" s="1"/>
  <c r="BS48" i="2" s="1"/>
  <c r="DO59" i="1"/>
  <c r="DT59" i="1" s="1"/>
  <c r="BU48" i="2" s="1"/>
  <c r="DZ59" i="1"/>
  <c r="ED59" i="1" s="1"/>
  <c r="BZ48" i="2" s="1"/>
  <c r="EA59" i="1"/>
  <c r="EF59" i="1" s="1"/>
  <c r="CB48" i="2" s="1"/>
  <c r="EL59" i="1"/>
  <c r="EM59" i="1"/>
  <c r="ER59" i="1" s="1"/>
  <c r="CI48" i="2" s="1"/>
  <c r="EX59" i="1"/>
  <c r="FB59" i="1" s="1"/>
  <c r="CN48" i="2" s="1"/>
  <c r="EY59" i="1"/>
  <c r="FA59" i="1" s="1"/>
  <c r="FE59" i="1" s="1"/>
  <c r="CQ48" i="2" s="1"/>
  <c r="EZ59" i="1"/>
  <c r="FC59" i="1" s="1"/>
  <c r="CO48" i="2" s="1"/>
  <c r="FJ59" i="1"/>
  <c r="FN59" i="1" s="1"/>
  <c r="CU48" i="2" s="1"/>
  <c r="FK59" i="1"/>
  <c r="FM59" i="1" s="1"/>
  <c r="FQ59" i="1" s="1"/>
  <c r="CX48" i="2" s="1"/>
  <c r="FV59" i="1"/>
  <c r="FW59" i="1"/>
  <c r="GB59" i="1" s="1"/>
  <c r="DD48" i="2" s="1"/>
  <c r="GH59" i="1"/>
  <c r="GL59" i="1" s="1"/>
  <c r="DI48" i="2" s="1"/>
  <c r="GI59" i="1"/>
  <c r="GK59" i="1" s="1"/>
  <c r="GO59" i="1" s="1"/>
  <c r="DL48" i="2" s="1"/>
  <c r="J60" i="1"/>
  <c r="N60" i="1" s="1"/>
  <c r="Q49" i="2" s="1"/>
  <c r="K60" i="1"/>
  <c r="M60" i="1" s="1"/>
  <c r="Q60" i="1" s="1"/>
  <c r="T49" i="2" s="1"/>
  <c r="V60" i="1"/>
  <c r="Z60" i="1" s="1"/>
  <c r="W49" i="2" s="1"/>
  <c r="W60" i="1"/>
  <c r="AB60" i="1" s="1"/>
  <c r="Y49" i="2" s="1"/>
  <c r="X60" i="1"/>
  <c r="AA60" i="1" s="1"/>
  <c r="X49" i="2" s="1"/>
  <c r="AH60" i="1"/>
  <c r="AL60" i="1" s="1"/>
  <c r="AC49" i="2" s="1"/>
  <c r="AI60" i="1"/>
  <c r="AN60" i="1" s="1"/>
  <c r="AE49" i="2" s="1"/>
  <c r="AT60" i="1"/>
  <c r="AU60" i="1"/>
  <c r="AW60" i="1" s="1"/>
  <c r="BA60" i="1" s="1"/>
  <c r="AL49" i="2" s="1"/>
  <c r="BF60" i="1"/>
  <c r="BJ60" i="1" s="1"/>
  <c r="AO49" i="2" s="1"/>
  <c r="BG60" i="1"/>
  <c r="BI60" i="1" s="1"/>
  <c r="BM60" i="1" s="1"/>
  <c r="AR49" i="2" s="1"/>
  <c r="BR60" i="1"/>
  <c r="BV60" i="1" s="1"/>
  <c r="AU49" i="2" s="1"/>
  <c r="BS60" i="1"/>
  <c r="BX60" i="1" s="1"/>
  <c r="AW49" i="2" s="1"/>
  <c r="CD60" i="1"/>
  <c r="CE60" i="1"/>
  <c r="CJ60" i="1" s="1"/>
  <c r="BC49" i="2" s="1"/>
  <c r="CP60" i="1"/>
  <c r="CT60" i="1" s="1"/>
  <c r="BG49" i="2" s="1"/>
  <c r="CQ60" i="1"/>
  <c r="CS60" i="1" s="1"/>
  <c r="CW60" i="1" s="1"/>
  <c r="BJ49" i="2" s="1"/>
  <c r="DB60" i="1"/>
  <c r="DF60" i="1" s="1"/>
  <c r="BM49" i="2" s="1"/>
  <c r="DC60" i="1"/>
  <c r="DE60" i="1" s="1"/>
  <c r="DI60" i="1" s="1"/>
  <c r="BP49" i="2" s="1"/>
  <c r="DN60" i="1"/>
  <c r="DR60" i="1" s="1"/>
  <c r="BS49" i="2" s="1"/>
  <c r="DO60" i="1"/>
  <c r="DT60" i="1" s="1"/>
  <c r="BU49" i="2" s="1"/>
  <c r="DZ60" i="1"/>
  <c r="ED60" i="1" s="1"/>
  <c r="BZ49" i="2" s="1"/>
  <c r="EA60" i="1"/>
  <c r="EC60" i="1" s="1"/>
  <c r="EG60" i="1" s="1"/>
  <c r="CC49" i="2" s="1"/>
  <c r="EL60" i="1"/>
  <c r="EM60" i="1"/>
  <c r="EO60" i="1" s="1"/>
  <c r="ES60" i="1" s="1"/>
  <c r="CJ49" i="2" s="1"/>
  <c r="EX60" i="1"/>
  <c r="FB60" i="1" s="1"/>
  <c r="CN49" i="2" s="1"/>
  <c r="EY60" i="1"/>
  <c r="FA60" i="1" s="1"/>
  <c r="FE60" i="1" s="1"/>
  <c r="CQ49" i="2" s="1"/>
  <c r="FJ60" i="1"/>
  <c r="FN60" i="1" s="1"/>
  <c r="CU49" i="2" s="1"/>
  <c r="FK60" i="1"/>
  <c r="FM60" i="1" s="1"/>
  <c r="FQ60" i="1" s="1"/>
  <c r="CX49" i="2" s="1"/>
  <c r="FV60" i="1"/>
  <c r="FW60" i="1"/>
  <c r="GB60" i="1" s="1"/>
  <c r="DD49" i="2" s="1"/>
  <c r="GH60" i="1"/>
  <c r="GL60" i="1" s="1"/>
  <c r="DI49" i="2" s="1"/>
  <c r="GI60" i="1"/>
  <c r="GK60" i="1" s="1"/>
  <c r="GO60" i="1" s="1"/>
  <c r="DL49" i="2" s="1"/>
  <c r="J61" i="1"/>
  <c r="N61" i="1" s="1"/>
  <c r="Q50" i="2" s="1"/>
  <c r="K61" i="1"/>
  <c r="P61" i="1" s="1"/>
  <c r="S50" i="2" s="1"/>
  <c r="V61" i="1"/>
  <c r="Z61" i="1" s="1"/>
  <c r="W50" i="2" s="1"/>
  <c r="W61" i="1"/>
  <c r="AB61" i="1" s="1"/>
  <c r="Y50" i="2" s="1"/>
  <c r="AH61" i="1"/>
  <c r="AL61" i="1" s="1"/>
  <c r="AC50" i="2" s="1"/>
  <c r="AI61" i="1"/>
  <c r="AN61" i="1" s="1"/>
  <c r="AE50" i="2" s="1"/>
  <c r="AT61" i="1"/>
  <c r="AU61" i="1"/>
  <c r="AW61" i="1" s="1"/>
  <c r="BA61" i="1" s="1"/>
  <c r="AL50" i="2" s="1"/>
  <c r="BF61" i="1"/>
  <c r="BJ61" i="1" s="1"/>
  <c r="AO50" i="2" s="1"/>
  <c r="BG61" i="1"/>
  <c r="BI61" i="1" s="1"/>
  <c r="BM61" i="1" s="1"/>
  <c r="AR50" i="2" s="1"/>
  <c r="BR61" i="1"/>
  <c r="BV61" i="1" s="1"/>
  <c r="AU50" i="2" s="1"/>
  <c r="BS61" i="1"/>
  <c r="BU61" i="1" s="1"/>
  <c r="BY61" i="1" s="1"/>
  <c r="AX50" i="2" s="1"/>
  <c r="CD61" i="1"/>
  <c r="CH61" i="1" s="1"/>
  <c r="BA50" i="2" s="1"/>
  <c r="CE61" i="1"/>
  <c r="CJ61" i="1" s="1"/>
  <c r="BC50" i="2" s="1"/>
  <c r="CP61" i="1"/>
  <c r="CT61" i="1" s="1"/>
  <c r="BG50" i="2" s="1"/>
  <c r="CQ61" i="1"/>
  <c r="CS61" i="1" s="1"/>
  <c r="CW61" i="1" s="1"/>
  <c r="BJ50" i="2" s="1"/>
  <c r="DB61" i="1"/>
  <c r="DF61" i="1" s="1"/>
  <c r="BM50" i="2" s="1"/>
  <c r="DC61" i="1"/>
  <c r="DH61" i="1" s="1"/>
  <c r="BO50" i="2" s="1"/>
  <c r="DN61" i="1"/>
  <c r="DR61" i="1" s="1"/>
  <c r="BS50" i="2" s="1"/>
  <c r="DO61" i="1"/>
  <c r="DQ61" i="1" s="1"/>
  <c r="DU61" i="1" s="1"/>
  <c r="BV50" i="2" s="1"/>
  <c r="DZ61" i="1"/>
  <c r="ED61" i="1" s="1"/>
  <c r="BZ50" i="2" s="1"/>
  <c r="EA61" i="1"/>
  <c r="EF61" i="1" s="1"/>
  <c r="CB50" i="2" s="1"/>
  <c r="EL61" i="1"/>
  <c r="EM61" i="1"/>
  <c r="EO61" i="1" s="1"/>
  <c r="ES61" i="1" s="1"/>
  <c r="CJ50" i="2" s="1"/>
  <c r="EX61" i="1"/>
  <c r="FB61" i="1" s="1"/>
  <c r="CN50" i="2" s="1"/>
  <c r="EY61" i="1"/>
  <c r="FA61" i="1" s="1"/>
  <c r="FE61" i="1" s="1"/>
  <c r="CQ50" i="2" s="1"/>
  <c r="FJ61" i="1"/>
  <c r="FN61" i="1" s="1"/>
  <c r="CU50" i="2" s="1"/>
  <c r="FK61" i="1"/>
  <c r="FM61" i="1" s="1"/>
  <c r="FQ61" i="1" s="1"/>
  <c r="CX50" i="2" s="1"/>
  <c r="FL61" i="1"/>
  <c r="FO61" i="1" s="1"/>
  <c r="CV50" i="2" s="1"/>
  <c r="FV61" i="1"/>
  <c r="FZ61" i="1" s="1"/>
  <c r="DB50" i="2" s="1"/>
  <c r="FW61" i="1"/>
  <c r="GB61" i="1" s="1"/>
  <c r="DD50" i="2" s="1"/>
  <c r="GH61" i="1"/>
  <c r="GL61" i="1" s="1"/>
  <c r="DI50" i="2" s="1"/>
  <c r="GI61" i="1"/>
  <c r="GK61" i="1" s="1"/>
  <c r="GO61" i="1" s="1"/>
  <c r="DL50" i="2" s="1"/>
  <c r="J62" i="1"/>
  <c r="N62" i="1" s="1"/>
  <c r="Q51" i="2" s="1"/>
  <c r="K62" i="1"/>
  <c r="M62" i="1" s="1"/>
  <c r="Q62" i="1" s="1"/>
  <c r="T51" i="2" s="1"/>
  <c r="V62" i="1"/>
  <c r="Z62" i="1" s="1"/>
  <c r="W51" i="2" s="1"/>
  <c r="W62" i="1"/>
  <c r="Y62" i="1" s="1"/>
  <c r="AC62" i="1" s="1"/>
  <c r="Z51" i="2" s="1"/>
  <c r="AH62" i="1"/>
  <c r="AL62" i="1" s="1"/>
  <c r="AC51" i="2" s="1"/>
  <c r="AI62" i="1"/>
  <c r="AK62" i="1" s="1"/>
  <c r="AO62" i="1" s="1"/>
  <c r="AF51" i="2" s="1"/>
  <c r="AT62" i="1"/>
  <c r="AX62" i="1" s="1"/>
  <c r="AI51" i="2" s="1"/>
  <c r="AU62" i="1"/>
  <c r="AW62" i="1" s="1"/>
  <c r="BA62" i="1" s="1"/>
  <c r="AL51" i="2" s="1"/>
  <c r="BF62" i="1"/>
  <c r="BJ62" i="1" s="1"/>
  <c r="AO51" i="2" s="1"/>
  <c r="BG62" i="1"/>
  <c r="BL62" i="1" s="1"/>
  <c r="AQ51" i="2" s="1"/>
  <c r="BR62" i="1"/>
  <c r="BV62" i="1" s="1"/>
  <c r="AU51" i="2" s="1"/>
  <c r="BS62" i="1"/>
  <c r="BU62" i="1" s="1"/>
  <c r="BY62" i="1" s="1"/>
  <c r="AX51" i="2" s="1"/>
  <c r="CD62" i="1"/>
  <c r="CH62" i="1" s="1"/>
  <c r="BA51" i="2" s="1"/>
  <c r="CE62" i="1"/>
  <c r="CG62" i="1" s="1"/>
  <c r="CK62" i="1" s="1"/>
  <c r="BD51" i="2" s="1"/>
  <c r="CP62" i="1"/>
  <c r="CT62" i="1" s="1"/>
  <c r="BG51" i="2" s="1"/>
  <c r="CQ62" i="1"/>
  <c r="CS62" i="1" s="1"/>
  <c r="CW62" i="1" s="1"/>
  <c r="BJ51" i="2" s="1"/>
  <c r="DB62" i="1"/>
  <c r="DF62" i="1" s="1"/>
  <c r="BM51" i="2" s="1"/>
  <c r="DC62" i="1"/>
  <c r="DE62" i="1" s="1"/>
  <c r="DI62" i="1" s="1"/>
  <c r="BP51" i="2" s="1"/>
  <c r="DD62" i="1"/>
  <c r="DG62" i="1" s="1"/>
  <c r="BN51" i="2" s="1"/>
  <c r="DN62" i="1"/>
  <c r="DR62" i="1" s="1"/>
  <c r="BS51" i="2" s="1"/>
  <c r="DO62" i="1"/>
  <c r="DT62" i="1" s="1"/>
  <c r="BU51" i="2" s="1"/>
  <c r="DZ62" i="1"/>
  <c r="ED62" i="1" s="1"/>
  <c r="BZ51" i="2" s="1"/>
  <c r="EA62" i="1"/>
  <c r="EC62" i="1" s="1"/>
  <c r="EG62" i="1" s="1"/>
  <c r="CC51" i="2" s="1"/>
  <c r="EL62" i="1"/>
  <c r="EP62" i="1" s="1"/>
  <c r="CG51" i="2" s="1"/>
  <c r="EM62" i="1"/>
  <c r="EO62" i="1" s="1"/>
  <c r="ES62" i="1" s="1"/>
  <c r="CJ51" i="2" s="1"/>
  <c r="EX62" i="1"/>
  <c r="FB62" i="1" s="1"/>
  <c r="CN51" i="2" s="1"/>
  <c r="EY62" i="1"/>
  <c r="FD62" i="1" s="1"/>
  <c r="CP51" i="2" s="1"/>
  <c r="FJ62" i="1"/>
  <c r="FN62" i="1" s="1"/>
  <c r="CU51" i="2" s="1"/>
  <c r="FK62" i="1"/>
  <c r="FM62" i="1" s="1"/>
  <c r="FQ62" i="1" s="1"/>
  <c r="CX51" i="2" s="1"/>
  <c r="FV62" i="1"/>
  <c r="FZ62" i="1" s="1"/>
  <c r="DB51" i="2" s="1"/>
  <c r="FW62" i="1"/>
  <c r="GB62" i="1" s="1"/>
  <c r="DD51" i="2" s="1"/>
  <c r="GH62" i="1"/>
  <c r="GL62" i="1" s="1"/>
  <c r="DI51" i="2" s="1"/>
  <c r="GI62" i="1"/>
  <c r="GN62" i="1" s="1"/>
  <c r="DK51" i="2" s="1"/>
  <c r="GI13" i="1"/>
  <c r="GN13" i="1" s="1"/>
  <c r="GH13" i="1"/>
  <c r="GL13" i="1" s="1"/>
  <c r="FW13" i="1"/>
  <c r="FY13" i="1" s="1"/>
  <c r="GC13" i="1" s="1"/>
  <c r="FV13" i="1"/>
  <c r="FZ13" i="1" s="1"/>
  <c r="FK13" i="1"/>
  <c r="FM13" i="1" s="1"/>
  <c r="FQ13" i="1" s="1"/>
  <c r="FJ13" i="1"/>
  <c r="FN13" i="1" s="1"/>
  <c r="EY13" i="1"/>
  <c r="FA13" i="1" s="1"/>
  <c r="FE13" i="1" s="1"/>
  <c r="EX13" i="1"/>
  <c r="FB13" i="1" s="1"/>
  <c r="EM13" i="1"/>
  <c r="ER13" i="1" s="1"/>
  <c r="EL13" i="1"/>
  <c r="EP13" i="1" s="1"/>
  <c r="EA13" i="1"/>
  <c r="EF13" i="1" s="1"/>
  <c r="DZ13" i="1"/>
  <c r="ED13" i="1" s="1"/>
  <c r="DO13" i="1"/>
  <c r="DQ13" i="1" s="1"/>
  <c r="DU13" i="1" s="1"/>
  <c r="DN13" i="1"/>
  <c r="DR13" i="1" s="1"/>
  <c r="DD13" i="1"/>
  <c r="DG13" i="1" s="1"/>
  <c r="DC13" i="1"/>
  <c r="DE13" i="1" s="1"/>
  <c r="DI13" i="1" s="1"/>
  <c r="DB13" i="1"/>
  <c r="DF13" i="1" s="1"/>
  <c r="CQ13" i="1"/>
  <c r="CS13" i="1" s="1"/>
  <c r="CW13" i="1" s="1"/>
  <c r="CP13" i="1"/>
  <c r="CT13" i="1" s="1"/>
  <c r="CE13" i="1"/>
  <c r="CG13" i="1" s="1"/>
  <c r="CK13" i="1" s="1"/>
  <c r="CD13" i="1"/>
  <c r="CH13" i="1" s="1"/>
  <c r="BS13" i="1"/>
  <c r="BU13" i="1" s="1"/>
  <c r="BY13" i="1" s="1"/>
  <c r="BR13" i="1"/>
  <c r="BV13" i="1" s="1"/>
  <c r="BG13" i="1"/>
  <c r="BL13" i="1" s="1"/>
  <c r="BF13" i="1"/>
  <c r="BJ13" i="1" s="1"/>
  <c r="AU13" i="1"/>
  <c r="AZ13" i="1" s="1"/>
  <c r="AT13" i="1"/>
  <c r="AX13" i="1" s="1"/>
  <c r="AI13" i="1"/>
  <c r="AK13" i="1" s="1"/>
  <c r="AO13" i="1" s="1"/>
  <c r="AH13" i="1"/>
  <c r="AL13" i="1" s="1"/>
  <c r="W13" i="1"/>
  <c r="Y13" i="1" s="1"/>
  <c r="AC13" i="1" s="1"/>
  <c r="V13" i="1"/>
  <c r="Z13" i="1" s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J49" i="1"/>
  <c r="IM49" i="1"/>
  <c r="IP49" i="1"/>
  <c r="IS49" i="1"/>
  <c r="IV49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J50" i="1"/>
  <c r="IM50" i="1"/>
  <c r="IP50" i="1"/>
  <c r="IS50" i="1"/>
  <c r="IV50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J51" i="1"/>
  <c r="IM51" i="1"/>
  <c r="IP51" i="1"/>
  <c r="IS51" i="1"/>
  <c r="IV51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J52" i="1"/>
  <c r="IM52" i="1"/>
  <c r="IP52" i="1"/>
  <c r="IS52" i="1"/>
  <c r="IV52" i="1"/>
  <c r="GP53" i="1"/>
  <c r="GQ53" i="1"/>
  <c r="GR53" i="1"/>
  <c r="GS53" i="1"/>
  <c r="GT53" i="1"/>
  <c r="GU53" i="1"/>
  <c r="GV53" i="1"/>
  <c r="GW53" i="1"/>
  <c r="GX53" i="1"/>
  <c r="GY53" i="1"/>
  <c r="GZ53" i="1"/>
  <c r="HA53" i="1"/>
  <c r="HB53" i="1"/>
  <c r="HC53" i="1"/>
  <c r="HD53" i="1"/>
  <c r="HE53" i="1"/>
  <c r="HL53" i="1"/>
  <c r="HM53" i="1"/>
  <c r="HN53" i="1"/>
  <c r="HO53" i="1"/>
  <c r="HP53" i="1"/>
  <c r="HQ53" i="1"/>
  <c r="HR53" i="1"/>
  <c r="HS53" i="1"/>
  <c r="HT53" i="1"/>
  <c r="HU53" i="1"/>
  <c r="HV53" i="1"/>
  <c r="HW53" i="1"/>
  <c r="HX53" i="1"/>
  <c r="HY53" i="1"/>
  <c r="HZ53" i="1"/>
  <c r="IA53" i="1"/>
  <c r="IJ53" i="1"/>
  <c r="IM53" i="1"/>
  <c r="IP53" i="1"/>
  <c r="IS53" i="1"/>
  <c r="IV53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J54" i="1"/>
  <c r="IM54" i="1"/>
  <c r="IP54" i="1"/>
  <c r="IS54" i="1"/>
  <c r="IV54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J55" i="1"/>
  <c r="IM55" i="1"/>
  <c r="IP55" i="1"/>
  <c r="IS55" i="1"/>
  <c r="IV55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B56" i="1"/>
  <c r="HC56" i="1"/>
  <c r="HD56" i="1"/>
  <c r="HE56" i="1"/>
  <c r="HL56" i="1"/>
  <c r="HM56" i="1"/>
  <c r="HN56" i="1"/>
  <c r="HO56" i="1"/>
  <c r="HP56" i="1"/>
  <c r="HQ56" i="1"/>
  <c r="HR56" i="1"/>
  <c r="HS56" i="1"/>
  <c r="HT56" i="1"/>
  <c r="HU56" i="1"/>
  <c r="HV56" i="1"/>
  <c r="HW56" i="1"/>
  <c r="HX56" i="1"/>
  <c r="HY56" i="1"/>
  <c r="HZ56" i="1"/>
  <c r="IA56" i="1"/>
  <c r="IJ56" i="1"/>
  <c r="IM56" i="1"/>
  <c r="IP56" i="1"/>
  <c r="IS56" i="1"/>
  <c r="IV56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J57" i="1"/>
  <c r="IM57" i="1"/>
  <c r="IP57" i="1"/>
  <c r="IS57" i="1"/>
  <c r="IV57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J58" i="1"/>
  <c r="IM58" i="1"/>
  <c r="IP58" i="1"/>
  <c r="IS58" i="1"/>
  <c r="IV58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L59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IJ59" i="1"/>
  <c r="IM59" i="1"/>
  <c r="IP59" i="1"/>
  <c r="IS59" i="1"/>
  <c r="IV59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J60" i="1"/>
  <c r="IM60" i="1"/>
  <c r="IP60" i="1"/>
  <c r="IS60" i="1"/>
  <c r="IV60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J61" i="1"/>
  <c r="IM61" i="1"/>
  <c r="IP61" i="1"/>
  <c r="IS61" i="1"/>
  <c r="IV61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B62" i="1"/>
  <c r="HC62" i="1"/>
  <c r="HD62" i="1"/>
  <c r="HE62" i="1"/>
  <c r="HL62" i="1"/>
  <c r="HM62" i="1"/>
  <c r="HN62" i="1"/>
  <c r="HO62" i="1"/>
  <c r="HP62" i="1"/>
  <c r="HQ62" i="1"/>
  <c r="HR62" i="1"/>
  <c r="HS62" i="1"/>
  <c r="HT62" i="1"/>
  <c r="HU62" i="1"/>
  <c r="HV62" i="1"/>
  <c r="HW62" i="1"/>
  <c r="HX62" i="1"/>
  <c r="HY62" i="1"/>
  <c r="HZ62" i="1"/>
  <c r="IA62" i="1"/>
  <c r="IJ62" i="1"/>
  <c r="IM62" i="1"/>
  <c r="IP62" i="1"/>
  <c r="IS62" i="1"/>
  <c r="IV62" i="1"/>
  <c r="DP55" i="1" l="1"/>
  <c r="DS55" i="1" s="1"/>
  <c r="BT44" i="2" s="1"/>
  <c r="M52" i="1"/>
  <c r="Q52" i="1" s="1"/>
  <c r="T41" i="2" s="1"/>
  <c r="L46" i="1"/>
  <c r="O46" i="1" s="1"/>
  <c r="R35" i="2" s="1"/>
  <c r="BJ39" i="1"/>
  <c r="AO28" i="2" s="1"/>
  <c r="AB31" i="1"/>
  <c r="Y20" i="2" s="1"/>
  <c r="BT25" i="1"/>
  <c r="BW25" i="1" s="1"/>
  <c r="AV14" i="2" s="1"/>
  <c r="CF20" i="1"/>
  <c r="CI20" i="1" s="1"/>
  <c r="BB9" i="2" s="1"/>
  <c r="EP19" i="1"/>
  <c r="CG8" i="2" s="1"/>
  <c r="FD13" i="1"/>
  <c r="ED26" i="1"/>
  <c r="BZ15" i="2" s="1"/>
  <c r="AJ24" i="1"/>
  <c r="AM24" i="1" s="1"/>
  <c r="AD13" i="2" s="1"/>
  <c r="FY62" i="1"/>
  <c r="GC62" i="1" s="1"/>
  <c r="DE51" i="2" s="1"/>
  <c r="M61" i="1"/>
  <c r="Q61" i="1" s="1"/>
  <c r="T50" i="2" s="1"/>
  <c r="AJ57" i="1"/>
  <c r="AM57" i="1" s="1"/>
  <c r="AD46" i="2" s="1"/>
  <c r="L54" i="1"/>
  <c r="O54" i="1" s="1"/>
  <c r="R43" i="2" s="1"/>
  <c r="M50" i="1"/>
  <c r="Q50" i="1" s="1"/>
  <c r="T39" i="2" s="1"/>
  <c r="BT48" i="1"/>
  <c r="BW48" i="1" s="1"/>
  <c r="AV37" i="2" s="1"/>
  <c r="BT46" i="1"/>
  <c r="BW46" i="1" s="1"/>
  <c r="AV35" i="2" s="1"/>
  <c r="CG32" i="1"/>
  <c r="CK32" i="1" s="1"/>
  <c r="BD21" i="2" s="1"/>
  <c r="FL26" i="1"/>
  <c r="FO26" i="1" s="1"/>
  <c r="CV15" i="2" s="1"/>
  <c r="CF26" i="1"/>
  <c r="CI26" i="1" s="1"/>
  <c r="BB15" i="2" s="1"/>
  <c r="FX62" i="1"/>
  <c r="GA62" i="1" s="1"/>
  <c r="DC51" i="2" s="1"/>
  <c r="CR55" i="1"/>
  <c r="CU55" i="1" s="1"/>
  <c r="BH44" i="2" s="1"/>
  <c r="GB51" i="1"/>
  <c r="DD40" i="2" s="1"/>
  <c r="CH47" i="1"/>
  <c r="BA36" i="2" s="1"/>
  <c r="AW47" i="1"/>
  <c r="BA47" i="1" s="1"/>
  <c r="AL36" i="2" s="1"/>
  <c r="EO30" i="1"/>
  <c r="ES30" i="1" s="1"/>
  <c r="CJ19" i="2" s="1"/>
  <c r="BT56" i="1"/>
  <c r="BW56" i="1" s="1"/>
  <c r="AV45" i="2" s="1"/>
  <c r="GJ48" i="1"/>
  <c r="GM48" i="1" s="1"/>
  <c r="DJ37" i="2" s="1"/>
  <c r="FL45" i="1"/>
  <c r="FO45" i="1" s="1"/>
  <c r="CV34" i="2" s="1"/>
  <c r="AV20" i="1"/>
  <c r="AY20" i="1" s="1"/>
  <c r="AJ9" i="2" s="1"/>
  <c r="DD19" i="1"/>
  <c r="DG19" i="1" s="1"/>
  <c r="BN8" i="2" s="1"/>
  <c r="CF13" i="1"/>
  <c r="CI13" i="1" s="1"/>
  <c r="P62" i="1"/>
  <c r="S51" i="2" s="1"/>
  <c r="BT57" i="1"/>
  <c r="BW57" i="1" s="1"/>
  <c r="AV46" i="2" s="1"/>
  <c r="AN57" i="1"/>
  <c r="AE46" i="2" s="1"/>
  <c r="DD56" i="1"/>
  <c r="DG56" i="1" s="1"/>
  <c r="BN45" i="2" s="1"/>
  <c r="EN54" i="1"/>
  <c r="EQ54" i="1" s="1"/>
  <c r="CH43" i="2" s="1"/>
  <c r="BJ54" i="1"/>
  <c r="AO43" i="2" s="1"/>
  <c r="DD50" i="1"/>
  <c r="DG50" i="1" s="1"/>
  <c r="BN39" i="2" s="1"/>
  <c r="FZ49" i="1"/>
  <c r="DB38" i="2" s="1"/>
  <c r="P41" i="1"/>
  <c r="S30" i="2" s="1"/>
  <c r="CV36" i="1"/>
  <c r="BI25" i="2" s="1"/>
  <c r="BJ36" i="1"/>
  <c r="AO25" i="2" s="1"/>
  <c r="CS29" i="1"/>
  <c r="CW29" i="1" s="1"/>
  <c r="BJ18" i="2" s="1"/>
  <c r="N23" i="1"/>
  <c r="Q12" i="2" s="1"/>
  <c r="BJ21" i="1"/>
  <c r="AO10" i="2" s="1"/>
  <c r="CJ20" i="1"/>
  <c r="BC9" i="2" s="1"/>
  <c r="AL23" i="1"/>
  <c r="AC12" i="2" s="1"/>
  <c r="BH57" i="1"/>
  <c r="BK57" i="1" s="1"/>
  <c r="AP46" i="2" s="1"/>
  <c r="EB56" i="1"/>
  <c r="EE56" i="1" s="1"/>
  <c r="CA45" i="2" s="1"/>
  <c r="FL54" i="1"/>
  <c r="FO54" i="1" s="1"/>
  <c r="CV43" i="2" s="1"/>
  <c r="CT50" i="1"/>
  <c r="BG39" i="2" s="1"/>
  <c r="FN49" i="1"/>
  <c r="CU38" i="2" s="1"/>
  <c r="N36" i="1"/>
  <c r="Q25" i="2" s="1"/>
  <c r="N27" i="1"/>
  <c r="Q16" i="2" s="1"/>
  <c r="AV24" i="1"/>
  <c r="AY24" i="1" s="1"/>
  <c r="AJ13" i="2" s="1"/>
  <c r="FB23" i="1"/>
  <c r="CN12" i="2" s="1"/>
  <c r="GL22" i="1"/>
  <c r="DI11" i="2" s="1"/>
  <c r="EO20" i="1"/>
  <c r="ES20" i="1" s="1"/>
  <c r="CJ9" i="2" s="1"/>
  <c r="BI19" i="1"/>
  <c r="BM19" i="1" s="1"/>
  <c r="AR8" i="2" s="1"/>
  <c r="X19" i="1"/>
  <c r="AA19" i="1" s="1"/>
  <c r="X8" i="2" s="1"/>
  <c r="EO13" i="1"/>
  <c r="ES13" i="1" s="1"/>
  <c r="FP56" i="1"/>
  <c r="CW45" i="2" s="1"/>
  <c r="AW56" i="1"/>
  <c r="BA56" i="1" s="1"/>
  <c r="AL45" i="2" s="1"/>
  <c r="GJ53" i="1"/>
  <c r="GM53" i="1" s="1"/>
  <c r="DJ42" i="2" s="1"/>
  <c r="FB53" i="1"/>
  <c r="CN42" i="2" s="1"/>
  <c r="DH51" i="1"/>
  <c r="BO40" i="2" s="1"/>
  <c r="DD47" i="1"/>
  <c r="DG47" i="1" s="1"/>
  <c r="BN36" i="2" s="1"/>
  <c r="BV47" i="1"/>
  <c r="AU36" i="2" s="1"/>
  <c r="CS46" i="1"/>
  <c r="CW46" i="1" s="1"/>
  <c r="BJ35" i="2" s="1"/>
  <c r="EO44" i="1"/>
  <c r="ES44" i="1" s="1"/>
  <c r="CJ33" i="2" s="1"/>
  <c r="AZ36" i="1"/>
  <c r="AK25" i="2" s="1"/>
  <c r="P35" i="1"/>
  <c r="S24" i="2" s="1"/>
  <c r="FP32" i="1"/>
  <c r="CW21" i="2" s="1"/>
  <c r="CF28" i="1"/>
  <c r="CI28" i="1" s="1"/>
  <c r="BB17" i="2" s="1"/>
  <c r="AZ25" i="1"/>
  <c r="AK14" i="2" s="1"/>
  <c r="EF24" i="1"/>
  <c r="CB13" i="2" s="1"/>
  <c r="FB22" i="1"/>
  <c r="CN11" i="2" s="1"/>
  <c r="DR21" i="1"/>
  <c r="BS10" i="2" s="1"/>
  <c r="EN20" i="1"/>
  <c r="EQ20" i="1" s="1"/>
  <c r="CH9" i="2" s="1"/>
  <c r="BU20" i="1"/>
  <c r="BY20" i="1" s="1"/>
  <c r="AX9" i="2" s="1"/>
  <c r="CV19" i="1"/>
  <c r="BI8" i="2" s="1"/>
  <c r="BH19" i="1"/>
  <c r="BK19" i="1" s="1"/>
  <c r="AP8" i="2" s="1"/>
  <c r="P60" i="1"/>
  <c r="S49" i="2" s="1"/>
  <c r="BT59" i="1"/>
  <c r="BW59" i="1" s="1"/>
  <c r="AV48" i="2" s="1"/>
  <c r="BV54" i="1"/>
  <c r="AU43" i="2" s="1"/>
  <c r="P53" i="1"/>
  <c r="S42" i="2" s="1"/>
  <c r="AL52" i="1"/>
  <c r="AC41" i="2" s="1"/>
  <c r="FL50" i="1"/>
  <c r="FO50" i="1" s="1"/>
  <c r="CV39" i="2" s="1"/>
  <c r="AB49" i="1"/>
  <c r="Y38" i="2" s="1"/>
  <c r="AZ40" i="1"/>
  <c r="AK29" i="2" s="1"/>
  <c r="N37" i="1"/>
  <c r="Q26" i="2" s="1"/>
  <c r="CR31" i="1"/>
  <c r="CU31" i="1" s="1"/>
  <c r="BH20" i="2" s="1"/>
  <c r="N25" i="1"/>
  <c r="Q14" i="2" s="1"/>
  <c r="N22" i="1"/>
  <c r="Q11" i="2" s="1"/>
  <c r="BT21" i="1"/>
  <c r="BW21" i="1" s="1"/>
  <c r="AV10" i="2" s="1"/>
  <c r="CR20" i="1"/>
  <c r="CU20" i="1" s="1"/>
  <c r="BH9" i="2" s="1"/>
  <c r="FA62" i="1"/>
  <c r="FE62" i="1" s="1"/>
  <c r="CQ51" i="2" s="1"/>
  <c r="EC61" i="1"/>
  <c r="EG61" i="1" s="1"/>
  <c r="CC50" i="2" s="1"/>
  <c r="BX58" i="1"/>
  <c r="AW47" i="2" s="1"/>
  <c r="M51" i="1"/>
  <c r="Q51" i="1" s="1"/>
  <c r="T40" i="2" s="1"/>
  <c r="DH49" i="1"/>
  <c r="BO38" i="2" s="1"/>
  <c r="CV37" i="1"/>
  <c r="BI26" i="2" s="1"/>
  <c r="AL27" i="1"/>
  <c r="AC16" i="2" s="1"/>
  <c r="BI18" i="1"/>
  <c r="BM18" i="1" s="1"/>
  <c r="AR7" i="2" s="1"/>
  <c r="BH13" i="1"/>
  <c r="BK13" i="1" s="1"/>
  <c r="EZ58" i="1"/>
  <c r="FC58" i="1" s="1"/>
  <c r="CO47" i="2" s="1"/>
  <c r="FY57" i="1"/>
  <c r="GC57" i="1" s="1"/>
  <c r="DE46" i="2" s="1"/>
  <c r="BU56" i="1"/>
  <c r="BY56" i="1" s="1"/>
  <c r="AX45" i="2" s="1"/>
  <c r="GK55" i="1"/>
  <c r="GO55" i="1" s="1"/>
  <c r="DL44" i="2" s="1"/>
  <c r="FA55" i="1"/>
  <c r="FE55" i="1" s="1"/>
  <c r="CQ44" i="2" s="1"/>
  <c r="M54" i="1"/>
  <c r="Q54" i="1" s="1"/>
  <c r="T43" i="2" s="1"/>
  <c r="DE50" i="1"/>
  <c r="DI50" i="1" s="1"/>
  <c r="BP39" i="2" s="1"/>
  <c r="FM49" i="1"/>
  <c r="FQ49" i="1" s="1"/>
  <c r="CX38" i="2" s="1"/>
  <c r="CT49" i="1"/>
  <c r="BG38" i="2" s="1"/>
  <c r="BH49" i="1"/>
  <c r="BK49" i="1" s="1"/>
  <c r="AP38" i="2" s="1"/>
  <c r="CH46" i="1"/>
  <c r="BA35" i="2" s="1"/>
  <c r="AL43" i="1"/>
  <c r="AC32" i="2" s="1"/>
  <c r="AW42" i="1"/>
  <c r="BA42" i="1" s="1"/>
  <c r="AL31" i="2" s="1"/>
  <c r="DE41" i="1"/>
  <c r="DI41" i="1" s="1"/>
  <c r="BP30" i="2" s="1"/>
  <c r="CV40" i="1"/>
  <c r="BI29" i="2" s="1"/>
  <c r="P38" i="1"/>
  <c r="S27" i="2" s="1"/>
  <c r="CJ36" i="1"/>
  <c r="BC25" i="2" s="1"/>
  <c r="CT35" i="1"/>
  <c r="BG24" i="2" s="1"/>
  <c r="N35" i="1"/>
  <c r="Q24" i="2" s="1"/>
  <c r="FN34" i="1"/>
  <c r="CU23" i="2" s="1"/>
  <c r="GN33" i="1"/>
  <c r="DK22" i="2" s="1"/>
  <c r="N33" i="1"/>
  <c r="Q22" i="2" s="1"/>
  <c r="AV28" i="1"/>
  <c r="AY28" i="1" s="1"/>
  <c r="AJ17" i="2" s="1"/>
  <c r="M28" i="1"/>
  <c r="Q28" i="1" s="1"/>
  <c r="T17" i="2" s="1"/>
  <c r="DP27" i="1"/>
  <c r="DS27" i="1" s="1"/>
  <c r="BT16" i="2" s="1"/>
  <c r="DR25" i="1"/>
  <c r="BS14" i="2" s="1"/>
  <c r="GB24" i="1"/>
  <c r="DD13" i="2" s="1"/>
  <c r="GL23" i="1"/>
  <c r="DI12" i="2" s="1"/>
  <c r="BT22" i="1"/>
  <c r="BW22" i="1" s="1"/>
  <c r="AV11" i="2" s="1"/>
  <c r="AL22" i="1"/>
  <c r="AC11" i="2" s="1"/>
  <c r="BL20" i="1"/>
  <c r="AQ9" i="2" s="1"/>
  <c r="GB19" i="1"/>
  <c r="DD8" i="2" s="1"/>
  <c r="DE19" i="1"/>
  <c r="DI19" i="1" s="1"/>
  <c r="BP8" i="2" s="1"/>
  <c r="CJ19" i="1"/>
  <c r="BC8" i="2" s="1"/>
  <c r="BI17" i="1"/>
  <c r="BM17" i="1" s="1"/>
  <c r="AR6" i="2" s="1"/>
  <c r="Y17" i="1"/>
  <c r="AC17" i="1" s="1"/>
  <c r="Z6" i="2" s="1"/>
  <c r="CF15" i="1"/>
  <c r="CI15" i="1" s="1"/>
  <c r="BB4" i="2" s="1"/>
  <c r="CS14" i="1"/>
  <c r="CW14" i="1" s="1"/>
  <c r="BJ3" i="2" s="1"/>
  <c r="BI14" i="1"/>
  <c r="BM14" i="1" s="1"/>
  <c r="AR3" i="2" s="1"/>
  <c r="FP59" i="1"/>
  <c r="CW48" i="2" s="1"/>
  <c r="GN58" i="1"/>
  <c r="DK47" i="2" s="1"/>
  <c r="FY56" i="1"/>
  <c r="GC56" i="1" s="1"/>
  <c r="DE45" i="2" s="1"/>
  <c r="DT49" i="1"/>
  <c r="BU38" i="2" s="1"/>
  <c r="CT48" i="1"/>
  <c r="BG37" i="2" s="1"/>
  <c r="AW46" i="1"/>
  <c r="BA46" i="1" s="1"/>
  <c r="AL35" i="2" s="1"/>
  <c r="EC45" i="1"/>
  <c r="EG45" i="1" s="1"/>
  <c r="CC34" i="2" s="1"/>
  <c r="FP37" i="1"/>
  <c r="CW26" i="2" s="1"/>
  <c r="EC32" i="1"/>
  <c r="EG32" i="1" s="1"/>
  <c r="CC21" i="2" s="1"/>
  <c r="FM31" i="1"/>
  <c r="FQ31" i="1" s="1"/>
  <c r="CX20" i="2" s="1"/>
  <c r="DE30" i="1"/>
  <c r="DI30" i="1" s="1"/>
  <c r="BP19" i="2" s="1"/>
  <c r="AB29" i="1"/>
  <c r="Y18" i="2" s="1"/>
  <c r="CS22" i="1"/>
  <c r="CW22" i="1" s="1"/>
  <c r="BJ11" i="2" s="1"/>
  <c r="CS17" i="1"/>
  <c r="CW17" i="1" s="1"/>
  <c r="BJ6" i="2" s="1"/>
  <c r="BX61" i="1"/>
  <c r="AW50" i="2" s="1"/>
  <c r="L60" i="1"/>
  <c r="O60" i="1" s="1"/>
  <c r="R49" i="2" s="1"/>
  <c r="ED48" i="1"/>
  <c r="BZ37" i="2" s="1"/>
  <c r="P40" i="1"/>
  <c r="S29" i="2" s="1"/>
  <c r="EN30" i="1"/>
  <c r="EQ30" i="1" s="1"/>
  <c r="CH19" i="2" s="1"/>
  <c r="EB57" i="1"/>
  <c r="EE57" i="1" s="1"/>
  <c r="CA46" i="2" s="1"/>
  <c r="X57" i="1"/>
  <c r="AA57" i="1" s="1"/>
  <c r="X46" i="2" s="1"/>
  <c r="FZ51" i="1"/>
  <c r="DB40" i="2" s="1"/>
  <c r="BT50" i="1"/>
  <c r="BW50" i="1" s="1"/>
  <c r="AV39" i="2" s="1"/>
  <c r="AJ13" i="1"/>
  <c r="AM13" i="1" s="1"/>
  <c r="GK62" i="1"/>
  <c r="GO62" i="1" s="1"/>
  <c r="DL51" i="2" s="1"/>
  <c r="DQ62" i="1"/>
  <c r="DU62" i="1" s="1"/>
  <c r="BV51" i="2" s="1"/>
  <c r="DE61" i="1"/>
  <c r="DI61" i="1" s="1"/>
  <c r="BP50" i="2" s="1"/>
  <c r="AK60" i="1"/>
  <c r="AO60" i="1" s="1"/>
  <c r="AF49" i="2" s="1"/>
  <c r="L58" i="1"/>
  <c r="O58" i="1" s="1"/>
  <c r="R47" i="2" s="1"/>
  <c r="FL57" i="1"/>
  <c r="FO57" i="1" s="1"/>
  <c r="CV46" i="2" s="1"/>
  <c r="N51" i="1"/>
  <c r="Q40" i="2" s="1"/>
  <c r="ED50" i="1"/>
  <c r="BZ39" i="2" s="1"/>
  <c r="CJ49" i="1"/>
  <c r="BC38" i="2" s="1"/>
  <c r="L49" i="1"/>
  <c r="O49" i="1" s="1"/>
  <c r="R38" i="2" s="1"/>
  <c r="FY44" i="1"/>
  <c r="GC44" i="1" s="1"/>
  <c r="DE33" i="2" s="1"/>
  <c r="DT39" i="1"/>
  <c r="BU28" i="2" s="1"/>
  <c r="AX39" i="1"/>
  <c r="AI28" i="2" s="1"/>
  <c r="P39" i="1"/>
  <c r="S28" i="2" s="1"/>
  <c r="BX38" i="1"/>
  <c r="AW27" i="2" s="1"/>
  <c r="P36" i="1"/>
  <c r="S25" i="2" s="1"/>
  <c r="GL34" i="1"/>
  <c r="DI23" i="2" s="1"/>
  <c r="DF34" i="1"/>
  <c r="BM23" i="2" s="1"/>
  <c r="EF33" i="1"/>
  <c r="CB22" i="2" s="1"/>
  <c r="FD32" i="1"/>
  <c r="CP21" i="2" s="1"/>
  <c r="AW32" i="1"/>
  <c r="BA32" i="1" s="1"/>
  <c r="AL21" i="2" s="1"/>
  <c r="BU31" i="1"/>
  <c r="BY31" i="1" s="1"/>
  <c r="AX20" i="2" s="1"/>
  <c r="ER27" i="1"/>
  <c r="CI16" i="2" s="1"/>
  <c r="DD27" i="1"/>
  <c r="DG27" i="1" s="1"/>
  <c r="BN16" i="2" s="1"/>
  <c r="BV27" i="1"/>
  <c r="AU16" i="2" s="1"/>
  <c r="AL26" i="1"/>
  <c r="AC15" i="2" s="1"/>
  <c r="P24" i="1"/>
  <c r="S13" i="2" s="1"/>
  <c r="BH22" i="1"/>
  <c r="BK22" i="1" s="1"/>
  <c r="AP11" i="2" s="1"/>
  <c r="X22" i="1"/>
  <c r="AA22" i="1" s="1"/>
  <c r="X11" i="2" s="1"/>
  <c r="ED21" i="1"/>
  <c r="BZ10" i="2" s="1"/>
  <c r="CS21" i="1"/>
  <c r="CW21" i="1" s="1"/>
  <c r="BJ10" i="2" s="1"/>
  <c r="Z21" i="1"/>
  <c r="W10" i="2" s="1"/>
  <c r="N20" i="1"/>
  <c r="Q9" i="2" s="1"/>
  <c r="BT19" i="1"/>
  <c r="BW19" i="1" s="1"/>
  <c r="AV8" i="2" s="1"/>
  <c r="DQ17" i="1"/>
  <c r="DU17" i="1" s="1"/>
  <c r="BV6" i="2" s="1"/>
  <c r="EZ15" i="1"/>
  <c r="FC15" i="1" s="1"/>
  <c r="CO4" i="2" s="1"/>
  <c r="CF14" i="1"/>
  <c r="CI14" i="1" s="1"/>
  <c r="BB3" i="2" s="1"/>
  <c r="DH26" i="1"/>
  <c r="BO15" i="2" s="1"/>
  <c r="BT26" i="1"/>
  <c r="BW26" i="1" s="1"/>
  <c r="AV15" i="2" s="1"/>
  <c r="GJ24" i="1"/>
  <c r="GM24" i="1" s="1"/>
  <c r="DJ13" i="2" s="1"/>
  <c r="N24" i="1"/>
  <c r="Q13" i="2" s="1"/>
  <c r="CH22" i="1"/>
  <c r="BA11" i="2" s="1"/>
  <c r="BV20" i="1"/>
  <c r="AU9" i="2" s="1"/>
  <c r="DR19" i="1"/>
  <c r="BS8" i="2" s="1"/>
  <c r="DD59" i="1"/>
  <c r="DG59" i="1" s="1"/>
  <c r="BN48" i="2" s="1"/>
  <c r="DP57" i="1"/>
  <c r="DS57" i="1" s="1"/>
  <c r="BT46" i="2" s="1"/>
  <c r="M56" i="1"/>
  <c r="Q56" i="1" s="1"/>
  <c r="T45" i="2" s="1"/>
  <c r="FM55" i="1"/>
  <c r="FQ55" i="1" s="1"/>
  <c r="CX44" i="2" s="1"/>
  <c r="DD54" i="1"/>
  <c r="DG54" i="1" s="1"/>
  <c r="BN43" i="2" s="1"/>
  <c r="BI50" i="1"/>
  <c r="BM50" i="1" s="1"/>
  <c r="AR39" i="2" s="1"/>
  <c r="DF49" i="1"/>
  <c r="BM38" i="2" s="1"/>
  <c r="EZ48" i="1"/>
  <c r="FC48" i="1" s="1"/>
  <c r="CO37" i="2" s="1"/>
  <c r="ED44" i="1"/>
  <c r="BZ33" i="2" s="1"/>
  <c r="DH40" i="1"/>
  <c r="BO29" i="2" s="1"/>
  <c r="AL40" i="1"/>
  <c r="AC29" i="2" s="1"/>
  <c r="X28" i="1"/>
  <c r="AA28" i="1" s="1"/>
  <c r="X17" i="2" s="1"/>
  <c r="BH25" i="1"/>
  <c r="BK25" i="1" s="1"/>
  <c r="AP14" i="2" s="1"/>
  <c r="AN24" i="1"/>
  <c r="AE13" i="2" s="1"/>
  <c r="CR23" i="1"/>
  <c r="CU23" i="1" s="1"/>
  <c r="BH12" i="2" s="1"/>
  <c r="EB20" i="1"/>
  <c r="EE20" i="1" s="1"/>
  <c r="CA9" i="2" s="1"/>
  <c r="CT19" i="1"/>
  <c r="BG8" i="2" s="1"/>
  <c r="CF18" i="1"/>
  <c r="CI18" i="1" s="1"/>
  <c r="BB7" i="2" s="1"/>
  <c r="EO45" i="1"/>
  <c r="ES45" i="1" s="1"/>
  <c r="CJ34" i="2" s="1"/>
  <c r="ER38" i="1"/>
  <c r="CI27" i="2" s="1"/>
  <c r="AB37" i="1"/>
  <c r="Y26" i="2" s="1"/>
  <c r="AN36" i="1"/>
  <c r="AE25" i="2" s="1"/>
  <c r="CG21" i="1"/>
  <c r="CK21" i="1" s="1"/>
  <c r="BD10" i="2" s="1"/>
  <c r="FA20" i="1"/>
  <c r="FE20" i="1" s="1"/>
  <c r="CQ9" i="2" s="1"/>
  <c r="CV62" i="1"/>
  <c r="BI51" i="2" s="1"/>
  <c r="BI62" i="1"/>
  <c r="BM62" i="1" s="1"/>
  <c r="AR51" i="2" s="1"/>
  <c r="EB60" i="1"/>
  <c r="EE60" i="1" s="1"/>
  <c r="CA49" i="2" s="1"/>
  <c r="BL60" i="1"/>
  <c r="AQ49" i="2" s="1"/>
  <c r="GJ59" i="1"/>
  <c r="GM59" i="1" s="1"/>
  <c r="DJ48" i="2" s="1"/>
  <c r="FD59" i="1"/>
  <c r="CP48" i="2" s="1"/>
  <c r="EC59" i="1"/>
  <c r="EG59" i="1" s="1"/>
  <c r="CC48" i="2" s="1"/>
  <c r="EZ57" i="1"/>
  <c r="FC57" i="1" s="1"/>
  <c r="CO46" i="2" s="1"/>
  <c r="EC57" i="1"/>
  <c r="EG57" i="1" s="1"/>
  <c r="CC46" i="2" s="1"/>
  <c r="BU57" i="1"/>
  <c r="BY57" i="1" s="1"/>
  <c r="AX46" i="2" s="1"/>
  <c r="P57" i="1"/>
  <c r="S46" i="2" s="1"/>
  <c r="EO56" i="1"/>
  <c r="ES56" i="1" s="1"/>
  <c r="CJ45" i="2" s="1"/>
  <c r="CG56" i="1"/>
  <c r="CK56" i="1" s="1"/>
  <c r="BD45" i="2" s="1"/>
  <c r="X55" i="1"/>
  <c r="AA55" i="1" s="1"/>
  <c r="X44" i="2" s="1"/>
  <c r="DE54" i="1"/>
  <c r="DI54" i="1" s="1"/>
  <c r="BP43" i="2" s="1"/>
  <c r="DF52" i="1"/>
  <c r="BM41" i="2" s="1"/>
  <c r="EZ51" i="1"/>
  <c r="FC51" i="1" s="1"/>
  <c r="CO40" i="2" s="1"/>
  <c r="GJ50" i="1"/>
  <c r="GM50" i="1" s="1"/>
  <c r="DJ39" i="2" s="1"/>
  <c r="EZ50" i="1"/>
  <c r="FC50" i="1" s="1"/>
  <c r="CO39" i="2" s="1"/>
  <c r="DT50" i="1"/>
  <c r="BU39" i="2" s="1"/>
  <c r="BU50" i="1"/>
  <c r="BY50" i="1" s="1"/>
  <c r="AX39" i="2" s="1"/>
  <c r="M49" i="1"/>
  <c r="Q49" i="1" s="1"/>
  <c r="T38" i="2" s="1"/>
  <c r="L48" i="1"/>
  <c r="O48" i="1" s="1"/>
  <c r="R37" i="2" s="1"/>
  <c r="AL47" i="1"/>
  <c r="AC36" i="2" s="1"/>
  <c r="DP46" i="1"/>
  <c r="DS46" i="1" s="1"/>
  <c r="BT35" i="2" s="1"/>
  <c r="DR45" i="1"/>
  <c r="BS34" i="2" s="1"/>
  <c r="X45" i="1"/>
  <c r="AA45" i="1" s="1"/>
  <c r="X34" i="2" s="1"/>
  <c r="AW44" i="1"/>
  <c r="BA44" i="1" s="1"/>
  <c r="AL33" i="2" s="1"/>
  <c r="ED43" i="1"/>
  <c r="BZ32" i="2" s="1"/>
  <c r="X43" i="1"/>
  <c r="AA43" i="1" s="1"/>
  <c r="X32" i="2" s="1"/>
  <c r="EC42" i="1"/>
  <c r="EG42" i="1" s="1"/>
  <c r="CC31" i="2" s="1"/>
  <c r="X42" i="1"/>
  <c r="AA42" i="1" s="1"/>
  <c r="X31" i="2" s="1"/>
  <c r="ED41" i="1"/>
  <c r="BZ30" i="2" s="1"/>
  <c r="CS41" i="1"/>
  <c r="CW41" i="1" s="1"/>
  <c r="BJ30" i="2" s="1"/>
  <c r="GN35" i="1"/>
  <c r="DK24" i="2" s="1"/>
  <c r="BX33" i="1"/>
  <c r="AW22" i="2" s="1"/>
  <c r="EO29" i="1"/>
  <c r="ES29" i="1" s="1"/>
  <c r="CJ18" i="2" s="1"/>
  <c r="Y20" i="1"/>
  <c r="AC20" i="1" s="1"/>
  <c r="Z9" i="2" s="1"/>
  <c r="EO19" i="1"/>
  <c r="ES19" i="1" s="1"/>
  <c r="CJ8" i="2" s="1"/>
  <c r="N52" i="1"/>
  <c r="Q41" i="2" s="1"/>
  <c r="N50" i="1"/>
  <c r="Q39" i="2" s="1"/>
  <c r="Y46" i="1"/>
  <c r="AC46" i="1" s="1"/>
  <c r="Z35" i="2" s="1"/>
  <c r="AW45" i="1"/>
  <c r="BA45" i="1" s="1"/>
  <c r="AL34" i="2" s="1"/>
  <c r="DQ18" i="1"/>
  <c r="DU18" i="1" s="1"/>
  <c r="BV7" i="2" s="1"/>
  <c r="DP16" i="1"/>
  <c r="DS16" i="1" s="1"/>
  <c r="BT5" i="2" s="1"/>
  <c r="CH49" i="1"/>
  <c r="BA38" i="2" s="1"/>
  <c r="BV45" i="1"/>
  <c r="AU34" i="2" s="1"/>
  <c r="BV44" i="1"/>
  <c r="AU33" i="2" s="1"/>
  <c r="CH43" i="1"/>
  <c r="BA32" i="2" s="1"/>
  <c r="CH42" i="1"/>
  <c r="BA31" i="2" s="1"/>
  <c r="CT40" i="1"/>
  <c r="BG29" i="2" s="1"/>
  <c r="BJ40" i="1"/>
  <c r="AO29" i="2" s="1"/>
  <c r="N40" i="1"/>
  <c r="Q29" i="2" s="1"/>
  <c r="AL38" i="1"/>
  <c r="AC27" i="2" s="1"/>
  <c r="N38" i="1"/>
  <c r="Q27" i="2" s="1"/>
  <c r="BL37" i="1"/>
  <c r="AQ26" i="2" s="1"/>
  <c r="AL37" i="1"/>
  <c r="AC26" i="2" s="1"/>
  <c r="P37" i="1"/>
  <c r="S26" i="2" s="1"/>
  <c r="BV36" i="1"/>
  <c r="AU25" i="2" s="1"/>
  <c r="AX36" i="1"/>
  <c r="AI25" i="2" s="1"/>
  <c r="EP35" i="1"/>
  <c r="CG24" i="2" s="1"/>
  <c r="EP34" i="1"/>
  <c r="CG23" i="2" s="1"/>
  <c r="P34" i="1"/>
  <c r="S23" i="2" s="1"/>
  <c r="CT33" i="1"/>
  <c r="BG22" i="2" s="1"/>
  <c r="BH32" i="1"/>
  <c r="BK32" i="1" s="1"/>
  <c r="AP21" i="2" s="1"/>
  <c r="DD30" i="1"/>
  <c r="DG30" i="1" s="1"/>
  <c r="BN19" i="2" s="1"/>
  <c r="ER28" i="1"/>
  <c r="CI17" i="2" s="1"/>
  <c r="AZ28" i="1"/>
  <c r="AK17" i="2" s="1"/>
  <c r="ED25" i="1"/>
  <c r="BZ14" i="2" s="1"/>
  <c r="FX24" i="1"/>
  <c r="GA24" i="1" s="1"/>
  <c r="DC13" i="2" s="1"/>
  <c r="ER24" i="1"/>
  <c r="CI13" i="2" s="1"/>
  <c r="DF24" i="1"/>
  <c r="BM13" i="2" s="1"/>
  <c r="AZ24" i="1"/>
  <c r="AK13" i="2" s="1"/>
  <c r="FN23" i="1"/>
  <c r="CU12" i="2" s="1"/>
  <c r="BV23" i="1"/>
  <c r="AU12" i="2" s="1"/>
  <c r="P23" i="1"/>
  <c r="S12" i="2" s="1"/>
  <c r="FN21" i="1"/>
  <c r="CU10" i="2" s="1"/>
  <c r="CR21" i="1"/>
  <c r="CU21" i="1" s="1"/>
  <c r="BH10" i="2" s="1"/>
  <c r="AK21" i="1"/>
  <c r="AO21" i="1" s="1"/>
  <c r="AF10" i="2" s="1"/>
  <c r="N21" i="1"/>
  <c r="Q10" i="2" s="1"/>
  <c r="FM20" i="1"/>
  <c r="FQ20" i="1" s="1"/>
  <c r="CX9" i="2" s="1"/>
  <c r="BJ20" i="1"/>
  <c r="AO9" i="2" s="1"/>
  <c r="GN19" i="1"/>
  <c r="DK8" i="2" s="1"/>
  <c r="L19" i="1"/>
  <c r="O19" i="1" s="1"/>
  <c r="R8" i="2" s="1"/>
  <c r="CF62" i="1"/>
  <c r="CI62" i="1" s="1"/>
  <c r="BB51" i="2" s="1"/>
  <c r="L62" i="1"/>
  <c r="O62" i="1" s="1"/>
  <c r="R51" i="2" s="1"/>
  <c r="EB61" i="1"/>
  <c r="EE61" i="1" s="1"/>
  <c r="CA50" i="2" s="1"/>
  <c r="BT61" i="1"/>
  <c r="BW61" i="1" s="1"/>
  <c r="AV50" i="2" s="1"/>
  <c r="AK61" i="1"/>
  <c r="AO61" i="1" s="1"/>
  <c r="AF50" i="2" s="1"/>
  <c r="DP60" i="1"/>
  <c r="DS60" i="1" s="1"/>
  <c r="BT49" i="2" s="1"/>
  <c r="DH58" i="1"/>
  <c r="BO47" i="2" s="1"/>
  <c r="AN58" i="1"/>
  <c r="AE47" i="2" s="1"/>
  <c r="P58" i="1"/>
  <c r="S47" i="2" s="1"/>
  <c r="ER57" i="1"/>
  <c r="CI46" i="2" s="1"/>
  <c r="EC56" i="1"/>
  <c r="EG56" i="1" s="1"/>
  <c r="CC45" i="2" s="1"/>
  <c r="AV56" i="1"/>
  <c r="AY56" i="1" s="1"/>
  <c r="AJ45" i="2" s="1"/>
  <c r="AV55" i="1"/>
  <c r="AY55" i="1" s="1"/>
  <c r="AJ44" i="2" s="1"/>
  <c r="M55" i="1"/>
  <c r="Q55" i="1" s="1"/>
  <c r="T44" i="2" s="1"/>
  <c r="FM54" i="1"/>
  <c r="FQ54" i="1" s="1"/>
  <c r="CX43" i="2" s="1"/>
  <c r="CR52" i="1"/>
  <c r="CU52" i="1" s="1"/>
  <c r="BH41" i="2" s="1"/>
  <c r="DF51" i="1"/>
  <c r="BM40" i="2" s="1"/>
  <c r="CF51" i="1"/>
  <c r="CI51" i="1" s="1"/>
  <c r="BB40" i="2" s="1"/>
  <c r="GL47" i="1"/>
  <c r="DI36" i="2" s="1"/>
  <c r="Y47" i="1"/>
  <c r="AC47" i="1" s="1"/>
  <c r="Z36" i="2" s="1"/>
  <c r="AL44" i="1"/>
  <c r="AC33" i="2" s="1"/>
  <c r="CG42" i="1"/>
  <c r="CK42" i="1" s="1"/>
  <c r="BD31" i="2" s="1"/>
  <c r="N41" i="1"/>
  <c r="Q30" i="2" s="1"/>
  <c r="CV38" i="1"/>
  <c r="BI27" i="2" s="1"/>
  <c r="FN36" i="1"/>
  <c r="CU25" i="2" s="1"/>
  <c r="BX34" i="1"/>
  <c r="AW23" i="2" s="1"/>
  <c r="AN34" i="1"/>
  <c r="AE23" i="2" s="1"/>
  <c r="N34" i="1"/>
  <c r="Q23" i="2" s="1"/>
  <c r="BL33" i="1"/>
  <c r="AQ22" i="2" s="1"/>
  <c r="GL32" i="1"/>
  <c r="DI21" i="2" s="1"/>
  <c r="EO31" i="1"/>
  <c r="ES31" i="1" s="1"/>
  <c r="CJ20" i="2" s="1"/>
  <c r="BL30" i="1"/>
  <c r="AQ19" i="2" s="1"/>
  <c r="EB29" i="1"/>
  <c r="EE29" i="1" s="1"/>
  <c r="CA18" i="2" s="1"/>
  <c r="AV29" i="1"/>
  <c r="AY29" i="1" s="1"/>
  <c r="AJ18" i="2" s="1"/>
  <c r="DE27" i="1"/>
  <c r="DI27" i="1" s="1"/>
  <c r="BP16" i="2" s="1"/>
  <c r="FZ26" i="1"/>
  <c r="DB15" i="2" s="1"/>
  <c r="BJ26" i="1"/>
  <c r="AO15" i="2" s="1"/>
  <c r="AN20" i="1"/>
  <c r="AE9" i="2" s="1"/>
  <c r="P20" i="1"/>
  <c r="S9" i="2" s="1"/>
  <c r="FB19" i="1"/>
  <c r="CN8" i="2" s="1"/>
  <c r="EC19" i="1"/>
  <c r="EG19" i="1" s="1"/>
  <c r="CC8" i="2" s="1"/>
  <c r="BU19" i="1"/>
  <c r="BY19" i="1" s="1"/>
  <c r="AX8" i="2" s="1"/>
  <c r="GK16" i="1"/>
  <c r="GO16" i="1" s="1"/>
  <c r="DL5" i="2" s="1"/>
  <c r="FX15" i="1"/>
  <c r="GA15" i="1" s="1"/>
  <c r="DC4" i="2" s="1"/>
  <c r="Y15" i="1"/>
  <c r="AC15" i="1" s="1"/>
  <c r="Z4" i="2" s="1"/>
  <c r="FX14" i="1"/>
  <c r="GA14" i="1" s="1"/>
  <c r="DC3" i="2" s="1"/>
  <c r="Y14" i="1"/>
  <c r="AC14" i="1" s="1"/>
  <c r="Z3" i="2" s="1"/>
  <c r="BU60" i="1"/>
  <c r="BY60" i="1" s="1"/>
  <c r="AX49" i="2" s="1"/>
  <c r="EO59" i="1"/>
  <c r="ES59" i="1" s="1"/>
  <c r="CJ48" i="2" s="1"/>
  <c r="CG57" i="1"/>
  <c r="CK57" i="1" s="1"/>
  <c r="BD46" i="2" s="1"/>
  <c r="DT52" i="1"/>
  <c r="BU41" i="2" s="1"/>
  <c r="AB52" i="1"/>
  <c r="Y41" i="2" s="1"/>
  <c r="CJ50" i="1"/>
  <c r="BC39" i="2" s="1"/>
  <c r="Y50" i="1"/>
  <c r="AC50" i="1" s="1"/>
  <c r="Z39" i="2" s="1"/>
  <c r="Y48" i="1"/>
  <c r="AC48" i="1" s="1"/>
  <c r="Z37" i="2" s="1"/>
  <c r="EC46" i="1"/>
  <c r="EG46" i="1" s="1"/>
  <c r="CC35" i="2" s="1"/>
  <c r="AK45" i="1"/>
  <c r="AO45" i="1" s="1"/>
  <c r="AF34" i="2" s="1"/>
  <c r="AB40" i="1"/>
  <c r="Y29" i="2" s="1"/>
  <c r="CV34" i="1"/>
  <c r="BI23" i="2" s="1"/>
  <c r="EF30" i="1"/>
  <c r="CB19" i="2" s="1"/>
  <c r="M29" i="1"/>
  <c r="Q29" i="1" s="1"/>
  <c r="T18" i="2" s="1"/>
  <c r="DE28" i="1"/>
  <c r="DI28" i="1" s="1"/>
  <c r="BP17" i="2" s="1"/>
  <c r="BH16" i="1"/>
  <c r="BK16" i="1" s="1"/>
  <c r="AP5" i="2" s="1"/>
  <c r="Y16" i="1"/>
  <c r="AC16" i="1" s="1"/>
  <c r="Z5" i="2" s="1"/>
  <c r="CS15" i="1"/>
  <c r="CW15" i="1" s="1"/>
  <c r="BJ4" i="2" s="1"/>
  <c r="BH61" i="1"/>
  <c r="BK61" i="1" s="1"/>
  <c r="AP50" i="2" s="1"/>
  <c r="Y61" i="1"/>
  <c r="AC61" i="1" s="1"/>
  <c r="Z50" i="2" s="1"/>
  <c r="BH58" i="1"/>
  <c r="BK58" i="1" s="1"/>
  <c r="AP47" i="2" s="1"/>
  <c r="GJ54" i="1"/>
  <c r="GM54" i="1" s="1"/>
  <c r="DJ43" i="2" s="1"/>
  <c r="CJ54" i="1"/>
  <c r="BC43" i="2" s="1"/>
  <c r="DF53" i="1"/>
  <c r="BM42" i="2" s="1"/>
  <c r="BV53" i="1"/>
  <c r="AU42" i="2" s="1"/>
  <c r="CJ52" i="1"/>
  <c r="BC41" i="2" s="1"/>
  <c r="GJ51" i="1"/>
  <c r="GM51" i="1" s="1"/>
  <c r="DJ40" i="2" s="1"/>
  <c r="CR51" i="1"/>
  <c r="CU51" i="1" s="1"/>
  <c r="BH40" i="2" s="1"/>
  <c r="BT51" i="1"/>
  <c r="BW51" i="1" s="1"/>
  <c r="AV40" i="2" s="1"/>
  <c r="GJ49" i="1"/>
  <c r="GM49" i="1" s="1"/>
  <c r="DJ38" i="2" s="1"/>
  <c r="BV49" i="1"/>
  <c r="AU38" i="2" s="1"/>
  <c r="CJ48" i="1"/>
  <c r="BC37" i="2" s="1"/>
  <c r="GB47" i="1"/>
  <c r="DD36" i="2" s="1"/>
  <c r="BU47" i="1"/>
  <c r="BY47" i="1" s="1"/>
  <c r="AX36" i="2" s="1"/>
  <c r="AL46" i="1"/>
  <c r="AC35" i="2" s="1"/>
  <c r="BH45" i="1"/>
  <c r="BK45" i="1" s="1"/>
  <c r="AP34" i="2" s="1"/>
  <c r="CH44" i="1"/>
  <c r="BA33" i="2" s="1"/>
  <c r="Z44" i="1"/>
  <c r="W33" i="2" s="1"/>
  <c r="FZ43" i="1"/>
  <c r="DB32" i="2" s="1"/>
  <c r="CH38" i="1"/>
  <c r="BA27" i="2" s="1"/>
  <c r="DF37" i="1"/>
  <c r="BM26" i="2" s="1"/>
  <c r="AZ37" i="1"/>
  <c r="AK26" i="2" s="1"/>
  <c r="DH33" i="1"/>
  <c r="BO22" i="2" s="1"/>
  <c r="AV30" i="1"/>
  <c r="AY30" i="1" s="1"/>
  <c r="AJ19" i="2" s="1"/>
  <c r="AJ29" i="1"/>
  <c r="AM29" i="1" s="1"/>
  <c r="AD18" i="2" s="1"/>
  <c r="FD28" i="1"/>
  <c r="CP17" i="2" s="1"/>
  <c r="EB28" i="1"/>
  <c r="EE28" i="1" s="1"/>
  <c r="CA17" i="2" s="1"/>
  <c r="BL28" i="1"/>
  <c r="AQ17" i="2" s="1"/>
  <c r="L28" i="1"/>
  <c r="O28" i="1" s="1"/>
  <c r="R17" i="2" s="1"/>
  <c r="DF26" i="1"/>
  <c r="BM15" i="2" s="1"/>
  <c r="N26" i="1"/>
  <c r="Q15" i="2" s="1"/>
  <c r="FZ25" i="1"/>
  <c r="DB14" i="2" s="1"/>
  <c r="EP25" i="1"/>
  <c r="CG14" i="2" s="1"/>
  <c r="CT24" i="1"/>
  <c r="BG13" i="2" s="1"/>
  <c r="BJ24" i="1"/>
  <c r="AO13" i="2" s="1"/>
  <c r="BJ23" i="1"/>
  <c r="AO12" i="2" s="1"/>
  <c r="DT19" i="1"/>
  <c r="BU8" i="2" s="1"/>
  <c r="BH18" i="1"/>
  <c r="BK18" i="1" s="1"/>
  <c r="AP7" i="2" s="1"/>
  <c r="BH17" i="1"/>
  <c r="BK17" i="1" s="1"/>
  <c r="AP6" i="2" s="1"/>
  <c r="FX16" i="1"/>
  <c r="GA16" i="1" s="1"/>
  <c r="DC5" i="2" s="1"/>
  <c r="DP14" i="1"/>
  <c r="DS14" i="1" s="1"/>
  <c r="BT3" i="2" s="1"/>
  <c r="DH13" i="1"/>
  <c r="DP61" i="1"/>
  <c r="DS61" i="1" s="1"/>
  <c r="BT50" i="2" s="1"/>
  <c r="X61" i="1"/>
  <c r="AA61" i="1" s="1"/>
  <c r="X50" i="2" s="1"/>
  <c r="FY60" i="1"/>
  <c r="GC60" i="1" s="1"/>
  <c r="DE49" i="2" s="1"/>
  <c r="BH59" i="1"/>
  <c r="BK59" i="1" s="1"/>
  <c r="AP48" i="2" s="1"/>
  <c r="FL58" i="1"/>
  <c r="FO58" i="1" s="1"/>
  <c r="CV47" i="2" s="1"/>
  <c r="X58" i="1"/>
  <c r="AA58" i="1" s="1"/>
  <c r="X47" i="2" s="1"/>
  <c r="DD57" i="1"/>
  <c r="DG57" i="1" s="1"/>
  <c r="BN46" i="2" s="1"/>
  <c r="DQ56" i="1"/>
  <c r="DU56" i="1" s="1"/>
  <c r="BV45" i="2" s="1"/>
  <c r="DE55" i="1"/>
  <c r="DI55" i="1" s="1"/>
  <c r="BP44" i="2" s="1"/>
  <c r="DH52" i="1"/>
  <c r="BO41" i="2" s="1"/>
  <c r="FA51" i="1"/>
  <c r="FE51" i="1" s="1"/>
  <c r="CQ40" i="2" s="1"/>
  <c r="DT51" i="1"/>
  <c r="BU40" i="2" s="1"/>
  <c r="GB48" i="1"/>
  <c r="DD37" i="2" s="1"/>
  <c r="EN48" i="1"/>
  <c r="EQ48" i="1" s="1"/>
  <c r="CH37" i="2" s="1"/>
  <c r="EZ46" i="1"/>
  <c r="FC46" i="1" s="1"/>
  <c r="CO35" i="2" s="1"/>
  <c r="GK45" i="1"/>
  <c r="GO45" i="1" s="1"/>
  <c r="DL34" i="2" s="1"/>
  <c r="CH45" i="1"/>
  <c r="BA34" i="2" s="1"/>
  <c r="GK44" i="1"/>
  <c r="GO44" i="1" s="1"/>
  <c r="DL33" i="2" s="1"/>
  <c r="DP44" i="1"/>
  <c r="DS44" i="1" s="1"/>
  <c r="BT33" i="2" s="1"/>
  <c r="CG44" i="1"/>
  <c r="CK44" i="1" s="1"/>
  <c r="BD33" i="2" s="1"/>
  <c r="CS43" i="1"/>
  <c r="CW43" i="1" s="1"/>
  <c r="BJ32" i="2" s="1"/>
  <c r="CS42" i="1"/>
  <c r="CW42" i="1" s="1"/>
  <c r="BJ31" i="2" s="1"/>
  <c r="CV39" i="1"/>
  <c r="BI28" i="2" s="1"/>
  <c r="BL39" i="1"/>
  <c r="AQ28" i="2" s="1"/>
  <c r="N39" i="1"/>
  <c r="Q28" i="2" s="1"/>
  <c r="DH36" i="1"/>
  <c r="BO25" i="2" s="1"/>
  <c r="FB35" i="1"/>
  <c r="CN24" i="2" s="1"/>
  <c r="CJ34" i="1"/>
  <c r="BC23" i="2" s="1"/>
  <c r="DF33" i="1"/>
  <c r="BM22" i="2" s="1"/>
  <c r="AZ33" i="1"/>
  <c r="AK22" i="2" s="1"/>
  <c r="P33" i="1"/>
  <c r="S22" i="2" s="1"/>
  <c r="L32" i="1"/>
  <c r="O32" i="1" s="1"/>
  <c r="R21" i="2" s="1"/>
  <c r="GK28" i="1"/>
  <c r="GO28" i="1" s="1"/>
  <c r="DL17" i="2" s="1"/>
  <c r="CR27" i="1"/>
  <c r="CU27" i="1" s="1"/>
  <c r="BH16" i="2" s="1"/>
  <c r="FP26" i="1"/>
  <c r="CW15" i="2" s="1"/>
  <c r="FX23" i="1"/>
  <c r="GA23" i="1" s="1"/>
  <c r="DC12" i="2" s="1"/>
  <c r="EN22" i="1"/>
  <c r="EQ22" i="1" s="1"/>
  <c r="CH11" i="2" s="1"/>
  <c r="FX21" i="1"/>
  <c r="GA21" i="1" s="1"/>
  <c r="DC10" i="2" s="1"/>
  <c r="AX21" i="1"/>
  <c r="AI10" i="2" s="1"/>
  <c r="DR20" i="1"/>
  <c r="BS9" i="2" s="1"/>
  <c r="AW20" i="1"/>
  <c r="BA20" i="1" s="1"/>
  <c r="AL9" i="2" s="1"/>
  <c r="CF19" i="1"/>
  <c r="CI19" i="1" s="1"/>
  <c r="BB8" i="2" s="1"/>
  <c r="GJ55" i="1"/>
  <c r="GM55" i="1" s="1"/>
  <c r="DJ44" i="2" s="1"/>
  <c r="GN47" i="1"/>
  <c r="DK36" i="2" s="1"/>
  <c r="GK41" i="1"/>
  <c r="GO41" i="1" s="1"/>
  <c r="DL30" i="2" s="1"/>
  <c r="GL35" i="1"/>
  <c r="DI24" i="2" s="1"/>
  <c r="GN34" i="1"/>
  <c r="DK23" i="2" s="1"/>
  <c r="GL33" i="1"/>
  <c r="DI22" i="2" s="1"/>
  <c r="GL25" i="1"/>
  <c r="DI14" i="2" s="1"/>
  <c r="GL20" i="1"/>
  <c r="DI9" i="2" s="1"/>
  <c r="GN37" i="1"/>
  <c r="DK26" i="2" s="1"/>
  <c r="GK27" i="1"/>
  <c r="GO27" i="1" s="1"/>
  <c r="DL16" i="2" s="1"/>
  <c r="GK20" i="1"/>
  <c r="GO20" i="1" s="1"/>
  <c r="DL9" i="2" s="1"/>
  <c r="GL19" i="1"/>
  <c r="DI8" i="2" s="1"/>
  <c r="GJ27" i="1"/>
  <c r="GM27" i="1" s="1"/>
  <c r="DJ16" i="2" s="1"/>
  <c r="GK30" i="1"/>
  <c r="GO30" i="1" s="1"/>
  <c r="DL19" i="2" s="1"/>
  <c r="GL26" i="1"/>
  <c r="DI15" i="2" s="1"/>
  <c r="GL21" i="1"/>
  <c r="DI10" i="2" s="1"/>
  <c r="GN61" i="1"/>
  <c r="DK50" i="2" s="1"/>
  <c r="GL52" i="1"/>
  <c r="DI41" i="2" s="1"/>
  <c r="GN51" i="1"/>
  <c r="DK40" i="2" s="1"/>
  <c r="GN36" i="1"/>
  <c r="DK25" i="2" s="1"/>
  <c r="GJ30" i="1"/>
  <c r="GM30" i="1" s="1"/>
  <c r="DJ19" i="2" s="1"/>
  <c r="GK21" i="1"/>
  <c r="GO21" i="1" s="1"/>
  <c r="DL10" i="2" s="1"/>
  <c r="GN60" i="1"/>
  <c r="DK49" i="2" s="1"/>
  <c r="GK43" i="1"/>
  <c r="GO43" i="1" s="1"/>
  <c r="DL32" i="2" s="1"/>
  <c r="GL36" i="1"/>
  <c r="DI25" i="2" s="1"/>
  <c r="GN32" i="1"/>
  <c r="DK21" i="2" s="1"/>
  <c r="GJ31" i="1"/>
  <c r="GM31" i="1" s="1"/>
  <c r="DJ20" i="2" s="1"/>
  <c r="GK29" i="1"/>
  <c r="GO29" i="1" s="1"/>
  <c r="DL18" i="2" s="1"/>
  <c r="GK17" i="1"/>
  <c r="GO17" i="1" s="1"/>
  <c r="DL6" i="2" s="1"/>
  <c r="GK15" i="1"/>
  <c r="GO15" i="1" s="1"/>
  <c r="DL4" i="2" s="1"/>
  <c r="GN49" i="1"/>
  <c r="DK38" i="2" s="1"/>
  <c r="GN48" i="1"/>
  <c r="DK37" i="2" s="1"/>
  <c r="GB13" i="1"/>
  <c r="FX61" i="1"/>
  <c r="GA61" i="1" s="1"/>
  <c r="DC50" i="2" s="1"/>
  <c r="FY58" i="1"/>
  <c r="GC58" i="1" s="1"/>
  <c r="DE47" i="2" s="1"/>
  <c r="FY53" i="1"/>
  <c r="GC53" i="1" s="1"/>
  <c r="DE42" i="2" s="1"/>
  <c r="FY50" i="1"/>
  <c r="GC50" i="1" s="1"/>
  <c r="DE39" i="2" s="1"/>
  <c r="FZ44" i="1"/>
  <c r="DB33" i="2" s="1"/>
  <c r="GB35" i="1"/>
  <c r="DD24" i="2" s="1"/>
  <c r="FX29" i="1"/>
  <c r="GA29" i="1" s="1"/>
  <c r="DC18" i="2" s="1"/>
  <c r="FX20" i="1"/>
  <c r="GA20" i="1" s="1"/>
  <c r="DC9" i="2" s="1"/>
  <c r="FZ42" i="1"/>
  <c r="DB31" i="2" s="1"/>
  <c r="FX27" i="1"/>
  <c r="GA27" i="1" s="1"/>
  <c r="DC16" i="2" s="1"/>
  <c r="GB49" i="1"/>
  <c r="DD38" i="2" s="1"/>
  <c r="FZ47" i="1"/>
  <c r="DB36" i="2" s="1"/>
  <c r="FZ41" i="1"/>
  <c r="DB30" i="2" s="1"/>
  <c r="GB36" i="1"/>
  <c r="DD25" i="2" s="1"/>
  <c r="GB34" i="1"/>
  <c r="DD23" i="2" s="1"/>
  <c r="GB28" i="1"/>
  <c r="DD17" i="2" s="1"/>
  <c r="GB25" i="1"/>
  <c r="DD14" i="2" s="1"/>
  <c r="GB33" i="1"/>
  <c r="DD22" i="2" s="1"/>
  <c r="GB32" i="1"/>
  <c r="DD21" i="2" s="1"/>
  <c r="FX28" i="1"/>
  <c r="GA28" i="1" s="1"/>
  <c r="DC17" i="2" s="1"/>
  <c r="FZ19" i="1"/>
  <c r="DB8" i="2" s="1"/>
  <c r="FZ37" i="1"/>
  <c r="DB26" i="2" s="1"/>
  <c r="GB52" i="1"/>
  <c r="DD41" i="2" s="1"/>
  <c r="FZ48" i="1"/>
  <c r="DB37" i="2" s="1"/>
  <c r="GB22" i="1"/>
  <c r="DD11" i="2" s="1"/>
  <c r="FZ46" i="1"/>
  <c r="DB35" i="2" s="1"/>
  <c r="FZ45" i="1"/>
  <c r="DB34" i="2" s="1"/>
  <c r="GB29" i="1"/>
  <c r="DD18" i="2" s="1"/>
  <c r="FX17" i="1"/>
  <c r="GA17" i="1" s="1"/>
  <c r="DC6" i="2" s="1"/>
  <c r="FP13" i="1"/>
  <c r="FM58" i="1"/>
  <c r="FQ58" i="1" s="1"/>
  <c r="CX47" i="2" s="1"/>
  <c r="FM57" i="1"/>
  <c r="FQ57" i="1" s="1"/>
  <c r="CX46" i="2" s="1"/>
  <c r="FM53" i="1"/>
  <c r="FQ53" i="1" s="1"/>
  <c r="CX42" i="2" s="1"/>
  <c r="FP52" i="1"/>
  <c r="CW41" i="2" s="1"/>
  <c r="FM50" i="1"/>
  <c r="FQ50" i="1" s="1"/>
  <c r="CX39" i="2" s="1"/>
  <c r="FP38" i="1"/>
  <c r="CW27" i="2" s="1"/>
  <c r="FP34" i="1"/>
  <c r="CW23" i="2" s="1"/>
  <c r="FL27" i="1"/>
  <c r="FO27" i="1" s="1"/>
  <c r="CV16" i="2" s="1"/>
  <c r="FP25" i="1"/>
  <c r="CW14" i="2" s="1"/>
  <c r="FN20" i="1"/>
  <c r="CU9" i="2" s="1"/>
  <c r="FP19" i="1"/>
  <c r="CW8" i="2" s="1"/>
  <c r="FL18" i="1"/>
  <c r="FO18" i="1" s="1"/>
  <c r="CV7" i="2" s="1"/>
  <c r="FN52" i="1"/>
  <c r="CU41" i="2" s="1"/>
  <c r="FN51" i="1"/>
  <c r="CU40" i="2" s="1"/>
  <c r="FN48" i="1"/>
  <c r="CU37" i="2" s="1"/>
  <c r="FN47" i="1"/>
  <c r="CU36" i="2" s="1"/>
  <c r="FN46" i="1"/>
  <c r="CU35" i="2" s="1"/>
  <c r="FN25" i="1"/>
  <c r="CU14" i="2" s="1"/>
  <c r="FL62" i="1"/>
  <c r="FO62" i="1" s="1"/>
  <c r="CV51" i="2" s="1"/>
  <c r="FP60" i="1"/>
  <c r="CW49" i="2" s="1"/>
  <c r="FL55" i="1"/>
  <c r="FO55" i="1" s="1"/>
  <c r="CV44" i="2" s="1"/>
  <c r="FM48" i="1"/>
  <c r="FQ48" i="1" s="1"/>
  <c r="CX37" i="2" s="1"/>
  <c r="FM47" i="1"/>
  <c r="FQ47" i="1" s="1"/>
  <c r="CX36" i="2" s="1"/>
  <c r="FM46" i="1"/>
  <c r="FQ46" i="1" s="1"/>
  <c r="CX35" i="2" s="1"/>
  <c r="FN42" i="1"/>
  <c r="CU31" i="2" s="1"/>
  <c r="FP40" i="1"/>
  <c r="CW29" i="2" s="1"/>
  <c r="FP39" i="1"/>
  <c r="CW28" i="2" s="1"/>
  <c r="FL32" i="1"/>
  <c r="FO32" i="1" s="1"/>
  <c r="CV21" i="2" s="1"/>
  <c r="FN24" i="1"/>
  <c r="CU13" i="2" s="1"/>
  <c r="FN19" i="1"/>
  <c r="CU8" i="2" s="1"/>
  <c r="FL59" i="1"/>
  <c r="FO59" i="1" s="1"/>
  <c r="CV48" i="2" s="1"/>
  <c r="FN35" i="1"/>
  <c r="CU24" i="2" s="1"/>
  <c r="FP33" i="1"/>
  <c r="CW22" i="2" s="1"/>
  <c r="FP22" i="1"/>
  <c r="CW11" i="2" s="1"/>
  <c r="FN33" i="1"/>
  <c r="CU22" i="2" s="1"/>
  <c r="FN44" i="1"/>
  <c r="CU33" i="2" s="1"/>
  <c r="FN43" i="1"/>
  <c r="CU32" i="2" s="1"/>
  <c r="FN41" i="1"/>
  <c r="CU30" i="2" s="1"/>
  <c r="FL56" i="1"/>
  <c r="FO56" i="1" s="1"/>
  <c r="CV45" i="2" s="1"/>
  <c r="FM21" i="1"/>
  <c r="FQ21" i="1" s="1"/>
  <c r="CX10" i="2" s="1"/>
  <c r="FM18" i="1"/>
  <c r="FQ18" i="1" s="1"/>
  <c r="CX7" i="2" s="1"/>
  <c r="FA48" i="1"/>
  <c r="FE48" i="1" s="1"/>
  <c r="CQ37" i="2" s="1"/>
  <c r="FD40" i="1"/>
  <c r="CP29" i="2" s="1"/>
  <c r="FD37" i="1"/>
  <c r="CP26" i="2" s="1"/>
  <c r="FD29" i="1"/>
  <c r="CP18" i="2" s="1"/>
  <c r="FA27" i="1"/>
  <c r="FE27" i="1" s="1"/>
  <c r="CQ16" i="2" s="1"/>
  <c r="EZ20" i="1"/>
  <c r="FC20" i="1" s="1"/>
  <c r="CO9" i="2" s="1"/>
  <c r="FB36" i="1"/>
  <c r="CN25" i="2" s="1"/>
  <c r="FD30" i="1"/>
  <c r="CP19" i="2" s="1"/>
  <c r="EZ27" i="1"/>
  <c r="FC27" i="1" s="1"/>
  <c r="CO16" i="2" s="1"/>
  <c r="FB25" i="1"/>
  <c r="CN14" i="2" s="1"/>
  <c r="FB21" i="1"/>
  <c r="CN10" i="2" s="1"/>
  <c r="EZ60" i="1"/>
  <c r="FC60" i="1" s="1"/>
  <c r="CO49" i="2" s="1"/>
  <c r="FA54" i="1"/>
  <c r="FE54" i="1" s="1"/>
  <c r="CQ43" i="2" s="1"/>
  <c r="FB52" i="1"/>
  <c r="CN41" i="2" s="1"/>
  <c r="FA49" i="1"/>
  <c r="FE49" i="1" s="1"/>
  <c r="CQ38" i="2" s="1"/>
  <c r="FB47" i="1"/>
  <c r="CN36" i="2" s="1"/>
  <c r="FB40" i="1"/>
  <c r="CN29" i="2" s="1"/>
  <c r="FB37" i="1"/>
  <c r="CN26" i="2" s="1"/>
  <c r="FD33" i="1"/>
  <c r="CP22" i="2" s="1"/>
  <c r="FD19" i="1"/>
  <c r="CP8" i="2" s="1"/>
  <c r="FA18" i="1"/>
  <c r="FE18" i="1" s="1"/>
  <c r="CQ7" i="2" s="1"/>
  <c r="FA16" i="1"/>
  <c r="FE16" i="1" s="1"/>
  <c r="CQ5" i="2" s="1"/>
  <c r="EZ56" i="1"/>
  <c r="FC56" i="1" s="1"/>
  <c r="CO45" i="2" s="1"/>
  <c r="FA50" i="1"/>
  <c r="FE50" i="1" s="1"/>
  <c r="CQ39" i="2" s="1"/>
  <c r="EZ49" i="1"/>
  <c r="FC49" i="1" s="1"/>
  <c r="CO38" i="2" s="1"/>
  <c r="EZ44" i="1"/>
  <c r="FC44" i="1" s="1"/>
  <c r="CO33" i="2" s="1"/>
  <c r="FD39" i="1"/>
  <c r="CP28" i="2" s="1"/>
  <c r="FB33" i="1"/>
  <c r="CN22" i="2" s="1"/>
  <c r="FD26" i="1"/>
  <c r="CP15" i="2" s="1"/>
  <c r="EZ18" i="1"/>
  <c r="FC18" i="1" s="1"/>
  <c r="CO7" i="2" s="1"/>
  <c r="EZ16" i="1"/>
  <c r="FC16" i="1" s="1"/>
  <c r="CO5" i="2" s="1"/>
  <c r="FA15" i="1"/>
  <c r="FE15" i="1" s="1"/>
  <c r="CQ4" i="2" s="1"/>
  <c r="FB39" i="1"/>
  <c r="CN28" i="2" s="1"/>
  <c r="FD38" i="1"/>
  <c r="CP27" i="2" s="1"/>
  <c r="FB26" i="1"/>
  <c r="CN15" i="2" s="1"/>
  <c r="FB24" i="1"/>
  <c r="CN13" i="2" s="1"/>
  <c r="FA17" i="1"/>
  <c r="FE17" i="1" s="1"/>
  <c r="CQ6" i="2" s="1"/>
  <c r="FA14" i="1"/>
  <c r="FE14" i="1" s="1"/>
  <c r="CQ3" i="2" s="1"/>
  <c r="FB34" i="1"/>
  <c r="CN23" i="2" s="1"/>
  <c r="EZ17" i="1"/>
  <c r="FC17" i="1" s="1"/>
  <c r="CO6" i="2" s="1"/>
  <c r="EZ14" i="1"/>
  <c r="FC14" i="1" s="1"/>
  <c r="CO3" i="2" s="1"/>
  <c r="EZ45" i="1"/>
  <c r="FC45" i="1" s="1"/>
  <c r="CO34" i="2" s="1"/>
  <c r="FB38" i="1"/>
  <c r="CN27" i="2" s="1"/>
  <c r="EO46" i="1"/>
  <c r="ES46" i="1" s="1"/>
  <c r="CJ35" i="2" s="1"/>
  <c r="EO43" i="1"/>
  <c r="ES43" i="1" s="1"/>
  <c r="CJ32" i="2" s="1"/>
  <c r="EN32" i="1"/>
  <c r="EQ32" i="1" s="1"/>
  <c r="CH21" i="2" s="1"/>
  <c r="EN21" i="1"/>
  <c r="EQ21" i="1" s="1"/>
  <c r="CH10" i="2" s="1"/>
  <c r="ER60" i="1"/>
  <c r="CI49" i="2" s="1"/>
  <c r="EN55" i="1"/>
  <c r="EQ55" i="1" s="1"/>
  <c r="CH44" i="2" s="1"/>
  <c r="EN51" i="1"/>
  <c r="EQ51" i="1" s="1"/>
  <c r="CH40" i="2" s="1"/>
  <c r="ER50" i="1"/>
  <c r="CI39" i="2" s="1"/>
  <c r="EO41" i="1"/>
  <c r="ES41" i="1" s="1"/>
  <c r="CJ30" i="2" s="1"/>
  <c r="EN62" i="1"/>
  <c r="EQ62" i="1" s="1"/>
  <c r="CH51" i="2" s="1"/>
  <c r="ER61" i="1"/>
  <c r="CI50" i="2" s="1"/>
  <c r="EN53" i="1"/>
  <c r="EQ53" i="1" s="1"/>
  <c r="CH42" i="2" s="1"/>
  <c r="EN50" i="1"/>
  <c r="EQ50" i="1" s="1"/>
  <c r="CH39" i="2" s="1"/>
  <c r="EN49" i="1"/>
  <c r="EQ49" i="1" s="1"/>
  <c r="CH38" i="2" s="1"/>
  <c r="ER36" i="1"/>
  <c r="CI25" i="2" s="1"/>
  <c r="EP24" i="1"/>
  <c r="CG13" i="2" s="1"/>
  <c r="EO47" i="1"/>
  <c r="ES47" i="1" s="1"/>
  <c r="CJ36" i="2" s="1"/>
  <c r="EO42" i="1"/>
  <c r="ES42" i="1" s="1"/>
  <c r="CJ31" i="2" s="1"/>
  <c r="ER39" i="1"/>
  <c r="CI28" i="2" s="1"/>
  <c r="EP36" i="1"/>
  <c r="CG25" i="2" s="1"/>
  <c r="ER33" i="1"/>
  <c r="CI22" i="2" s="1"/>
  <c r="EN29" i="1"/>
  <c r="EQ29" i="1" s="1"/>
  <c r="CH18" i="2" s="1"/>
  <c r="EN28" i="1"/>
  <c r="EQ28" i="1" s="1"/>
  <c r="CH17" i="2" s="1"/>
  <c r="ER26" i="1"/>
  <c r="CI15" i="2" s="1"/>
  <c r="ER25" i="1"/>
  <c r="CI14" i="2" s="1"/>
  <c r="ER23" i="1"/>
  <c r="CI12" i="2" s="1"/>
  <c r="EO58" i="1"/>
  <c r="ES58" i="1" s="1"/>
  <c r="CJ47" i="2" s="1"/>
  <c r="EN47" i="1"/>
  <c r="EQ47" i="1" s="1"/>
  <c r="CH36" i="2" s="1"/>
  <c r="ER35" i="1"/>
  <c r="CI24" i="2" s="1"/>
  <c r="ER34" i="1"/>
  <c r="CI23" i="2" s="1"/>
  <c r="EP33" i="1"/>
  <c r="CG22" i="2" s="1"/>
  <c r="EP26" i="1"/>
  <c r="CG15" i="2" s="1"/>
  <c r="ER22" i="1"/>
  <c r="CI11" i="2" s="1"/>
  <c r="EN52" i="1"/>
  <c r="EQ52" i="1" s="1"/>
  <c r="CH41" i="2" s="1"/>
  <c r="EO32" i="1"/>
  <c r="ES32" i="1" s="1"/>
  <c r="CJ21" i="2" s="1"/>
  <c r="EN31" i="1"/>
  <c r="EQ31" i="1" s="1"/>
  <c r="CH20" i="2" s="1"/>
  <c r="EN27" i="1"/>
  <c r="EQ27" i="1" s="1"/>
  <c r="CH16" i="2" s="1"/>
  <c r="EO21" i="1"/>
  <c r="ES21" i="1" s="1"/>
  <c r="CJ10" i="2" s="1"/>
  <c r="EC58" i="1"/>
  <c r="EG58" i="1" s="1"/>
  <c r="CC47" i="2" s="1"/>
  <c r="EC29" i="1"/>
  <c r="EG29" i="1" s="1"/>
  <c r="CC18" i="2" s="1"/>
  <c r="EF22" i="1"/>
  <c r="CB11" i="2" s="1"/>
  <c r="EC20" i="1"/>
  <c r="EG20" i="1" s="1"/>
  <c r="CC9" i="2" s="1"/>
  <c r="EF60" i="1"/>
  <c r="CB49" i="2" s="1"/>
  <c r="ED53" i="1"/>
  <c r="BZ42" i="2" s="1"/>
  <c r="ED46" i="1"/>
  <c r="BZ35" i="2" s="1"/>
  <c r="ED42" i="1"/>
  <c r="BZ31" i="2" s="1"/>
  <c r="EC41" i="1"/>
  <c r="EG41" i="1" s="1"/>
  <c r="CC30" i="2" s="1"/>
  <c r="ED37" i="1"/>
  <c r="BZ26" i="2" s="1"/>
  <c r="EF35" i="1"/>
  <c r="CB24" i="2" s="1"/>
  <c r="EB32" i="1"/>
  <c r="EE32" i="1" s="1"/>
  <c r="CA21" i="2" s="1"/>
  <c r="EF23" i="1"/>
  <c r="CB12" i="2" s="1"/>
  <c r="ED22" i="1"/>
  <c r="BZ11" i="2" s="1"/>
  <c r="ED54" i="1"/>
  <c r="BZ43" i="2" s="1"/>
  <c r="ED51" i="1"/>
  <c r="BZ40" i="2" s="1"/>
  <c r="EF34" i="1"/>
  <c r="CB23" i="2" s="1"/>
  <c r="EC44" i="1"/>
  <c r="EG44" i="1" s="1"/>
  <c r="CC33" i="2" s="1"/>
  <c r="ED34" i="1"/>
  <c r="BZ23" i="2" s="1"/>
  <c r="EB27" i="1"/>
  <c r="EE27" i="1" s="1"/>
  <c r="CA16" i="2" s="1"/>
  <c r="ED19" i="1"/>
  <c r="BZ8" i="2" s="1"/>
  <c r="ED45" i="1"/>
  <c r="BZ34" i="2" s="1"/>
  <c r="EC43" i="1"/>
  <c r="EG43" i="1" s="1"/>
  <c r="CC32" i="2" s="1"/>
  <c r="EF36" i="1"/>
  <c r="CB25" i="2" s="1"/>
  <c r="ED33" i="1"/>
  <c r="BZ22" i="2" s="1"/>
  <c r="EB30" i="1"/>
  <c r="EE30" i="1" s="1"/>
  <c r="CA19" i="2" s="1"/>
  <c r="ED24" i="1"/>
  <c r="BZ13" i="2" s="1"/>
  <c r="ED52" i="1"/>
  <c r="BZ41" i="2" s="1"/>
  <c r="DT33" i="1"/>
  <c r="BU22" i="2" s="1"/>
  <c r="DP29" i="1"/>
  <c r="DS29" i="1" s="1"/>
  <c r="BT18" i="2" s="1"/>
  <c r="DP26" i="1"/>
  <c r="DS26" i="1" s="1"/>
  <c r="BT15" i="2" s="1"/>
  <c r="DT22" i="1"/>
  <c r="BU11" i="2" s="1"/>
  <c r="DP15" i="1"/>
  <c r="DS15" i="1" s="1"/>
  <c r="BT4" i="2" s="1"/>
  <c r="DP59" i="1"/>
  <c r="DS59" i="1" s="1"/>
  <c r="BT48" i="2" s="1"/>
  <c r="DQ58" i="1"/>
  <c r="DU58" i="1" s="1"/>
  <c r="BV47" i="2" s="1"/>
  <c r="DP56" i="1"/>
  <c r="DS56" i="1" s="1"/>
  <c r="BT45" i="2" s="1"/>
  <c r="DT54" i="1"/>
  <c r="BU43" i="2" s="1"/>
  <c r="DT53" i="1"/>
  <c r="BU42" i="2" s="1"/>
  <c r="DT48" i="1"/>
  <c r="BU37" i="2" s="1"/>
  <c r="DQ45" i="1"/>
  <c r="DU45" i="1" s="1"/>
  <c r="BV34" i="2" s="1"/>
  <c r="DR42" i="1"/>
  <c r="BS31" i="2" s="1"/>
  <c r="DT25" i="1"/>
  <c r="BU14" i="2" s="1"/>
  <c r="DR22" i="1"/>
  <c r="BS11" i="2" s="1"/>
  <c r="DP18" i="1"/>
  <c r="DS18" i="1" s="1"/>
  <c r="BT7" i="2" s="1"/>
  <c r="DQ60" i="1"/>
  <c r="DU60" i="1" s="1"/>
  <c r="BV49" i="2" s="1"/>
  <c r="DP58" i="1"/>
  <c r="DS58" i="1" s="1"/>
  <c r="BT47" i="2" s="1"/>
  <c r="DR43" i="1"/>
  <c r="BS32" i="2" s="1"/>
  <c r="DR41" i="1"/>
  <c r="BS30" i="2" s="1"/>
  <c r="DT40" i="1"/>
  <c r="BU29" i="2" s="1"/>
  <c r="DT37" i="1"/>
  <c r="BU26" i="2" s="1"/>
  <c r="DT31" i="1"/>
  <c r="BU20" i="2" s="1"/>
  <c r="DT30" i="1"/>
  <c r="BU19" i="2" s="1"/>
  <c r="DQ55" i="1"/>
  <c r="DU55" i="1" s="1"/>
  <c r="BV44" i="2" s="1"/>
  <c r="DQ16" i="1"/>
  <c r="DU16" i="1" s="1"/>
  <c r="BV5" i="2" s="1"/>
  <c r="DQ14" i="1"/>
  <c r="DU14" i="1" s="1"/>
  <c r="BV3" i="2" s="1"/>
  <c r="DT38" i="1"/>
  <c r="BU27" i="2" s="1"/>
  <c r="DR24" i="1"/>
  <c r="BS13" i="2" s="1"/>
  <c r="DR23" i="1"/>
  <c r="BS12" i="2" s="1"/>
  <c r="DT13" i="1"/>
  <c r="DQ21" i="1"/>
  <c r="DU21" i="1" s="1"/>
  <c r="BV10" i="2" s="1"/>
  <c r="DQ20" i="1"/>
  <c r="DU20" i="1" s="1"/>
  <c r="BV9" i="2" s="1"/>
  <c r="DP17" i="1"/>
  <c r="DS17" i="1" s="1"/>
  <c r="BT6" i="2" s="1"/>
  <c r="DQ15" i="1"/>
  <c r="DU15" i="1" s="1"/>
  <c r="BV4" i="2" s="1"/>
  <c r="DH53" i="1"/>
  <c r="BO42" i="2" s="1"/>
  <c r="DE59" i="1"/>
  <c r="DI59" i="1" s="1"/>
  <c r="BP48" i="2" s="1"/>
  <c r="DD48" i="1"/>
  <c r="DG48" i="1" s="1"/>
  <c r="BN37" i="2" s="1"/>
  <c r="DE47" i="1"/>
  <c r="DI47" i="1" s="1"/>
  <c r="BP36" i="2" s="1"/>
  <c r="DD46" i="1"/>
  <c r="DG46" i="1" s="1"/>
  <c r="BN35" i="2" s="1"/>
  <c r="DF35" i="1"/>
  <c r="BM24" i="2" s="1"/>
  <c r="DD20" i="1"/>
  <c r="DG20" i="1" s="1"/>
  <c r="BN9" i="2" s="1"/>
  <c r="DH25" i="1"/>
  <c r="BO14" i="2" s="1"/>
  <c r="DH23" i="1"/>
  <c r="BO12" i="2" s="1"/>
  <c r="DH22" i="1"/>
  <c r="BO11" i="2" s="1"/>
  <c r="DH39" i="1"/>
  <c r="BO28" i="2" s="1"/>
  <c r="DH38" i="1"/>
  <c r="BO27" i="2" s="1"/>
  <c r="DF40" i="1"/>
  <c r="BM29" i="2" s="1"/>
  <c r="DF36" i="1"/>
  <c r="BM25" i="2" s="1"/>
  <c r="DF25" i="1"/>
  <c r="BM14" i="2" s="1"/>
  <c r="DF23" i="1"/>
  <c r="BM12" i="2" s="1"/>
  <c r="DF22" i="1"/>
  <c r="BM11" i="2" s="1"/>
  <c r="DF21" i="1"/>
  <c r="BM10" i="2" s="1"/>
  <c r="DH62" i="1"/>
  <c r="BO51" i="2" s="1"/>
  <c r="DF39" i="1"/>
  <c r="BM28" i="2" s="1"/>
  <c r="DF38" i="1"/>
  <c r="BM27" i="2" s="1"/>
  <c r="DH37" i="1"/>
  <c r="BO26" i="2" s="1"/>
  <c r="DH34" i="1"/>
  <c r="BO23" i="2" s="1"/>
  <c r="DH48" i="1"/>
  <c r="BO37" i="2" s="1"/>
  <c r="DD45" i="1"/>
  <c r="DG45" i="1" s="1"/>
  <c r="BN34" i="2" s="1"/>
  <c r="DH35" i="1"/>
  <c r="BO24" i="2" s="1"/>
  <c r="DH24" i="1"/>
  <c r="BO13" i="2" s="1"/>
  <c r="DE20" i="1"/>
  <c r="DI20" i="1" s="1"/>
  <c r="BP9" i="2" s="1"/>
  <c r="CV60" i="1"/>
  <c r="BI49" i="2" s="1"/>
  <c r="CR53" i="1"/>
  <c r="CU53" i="1" s="1"/>
  <c r="BH42" i="2" s="1"/>
  <c r="CS51" i="1"/>
  <c r="CW51" i="1" s="1"/>
  <c r="BJ40" i="2" s="1"/>
  <c r="CV50" i="1"/>
  <c r="BI39" i="2" s="1"/>
  <c r="CS45" i="1"/>
  <c r="CW45" i="1" s="1"/>
  <c r="BJ34" i="2" s="1"/>
  <c r="CS44" i="1"/>
  <c r="CW44" i="1" s="1"/>
  <c r="BJ33" i="2" s="1"/>
  <c r="CV35" i="1"/>
  <c r="BI24" i="2" s="1"/>
  <c r="CV32" i="1"/>
  <c r="BI21" i="2" s="1"/>
  <c r="CS31" i="1"/>
  <c r="CW31" i="1" s="1"/>
  <c r="BJ20" i="2" s="1"/>
  <c r="CS28" i="1"/>
  <c r="CW28" i="1" s="1"/>
  <c r="BJ17" i="2" s="1"/>
  <c r="CV27" i="1"/>
  <c r="BI16" i="2" s="1"/>
  <c r="CT22" i="1"/>
  <c r="BG11" i="2" s="1"/>
  <c r="CV20" i="1"/>
  <c r="BI9" i="2" s="1"/>
  <c r="CS16" i="1"/>
  <c r="CW16" i="1" s="1"/>
  <c r="BJ5" i="2" s="1"/>
  <c r="CT26" i="1"/>
  <c r="BG15" i="2" s="1"/>
  <c r="CT54" i="1"/>
  <c r="BG43" i="2" s="1"/>
  <c r="CV13" i="1"/>
  <c r="CR59" i="1"/>
  <c r="CU59" i="1" s="1"/>
  <c r="BH48" i="2" s="1"/>
  <c r="CT39" i="1"/>
  <c r="BG28" i="2" s="1"/>
  <c r="CT36" i="1"/>
  <c r="BG25" i="2" s="1"/>
  <c r="CT25" i="1"/>
  <c r="BG14" i="2" s="1"/>
  <c r="CV57" i="1"/>
  <c r="BI46" i="2" s="1"/>
  <c r="CV49" i="1"/>
  <c r="BI38" i="2" s="1"/>
  <c r="CV33" i="1"/>
  <c r="BI22" i="2" s="1"/>
  <c r="CS18" i="1"/>
  <c r="CW18" i="1" s="1"/>
  <c r="BJ7" i="2" s="1"/>
  <c r="CT34" i="1"/>
  <c r="BG23" i="2" s="1"/>
  <c r="CF61" i="1"/>
  <c r="CI61" i="1" s="1"/>
  <c r="BB50" i="2" s="1"/>
  <c r="CG60" i="1"/>
  <c r="CK60" i="1" s="1"/>
  <c r="BD49" i="2" s="1"/>
  <c r="CG58" i="1"/>
  <c r="CK58" i="1" s="1"/>
  <c r="BD47" i="2" s="1"/>
  <c r="CG53" i="1"/>
  <c r="CK53" i="1" s="1"/>
  <c r="BD42" i="2" s="1"/>
  <c r="CH41" i="1"/>
  <c r="BA30" i="2" s="1"/>
  <c r="CH37" i="1"/>
  <c r="BA26" i="2" s="1"/>
  <c r="CF29" i="1"/>
  <c r="CI29" i="1" s="1"/>
  <c r="BB18" i="2" s="1"/>
  <c r="CG45" i="1"/>
  <c r="CK45" i="1" s="1"/>
  <c r="BD34" i="2" s="1"/>
  <c r="CH21" i="1"/>
  <c r="BA10" i="2" s="1"/>
  <c r="CJ27" i="1"/>
  <c r="BC16" i="2" s="1"/>
  <c r="CH23" i="1"/>
  <c r="BA12" i="2" s="1"/>
  <c r="CJ62" i="1"/>
  <c r="BC51" i="2" s="1"/>
  <c r="CH27" i="1"/>
  <c r="BA16" i="2" s="1"/>
  <c r="CJ26" i="1"/>
  <c r="BC15" i="2" s="1"/>
  <c r="CH24" i="1"/>
  <c r="BA13" i="2" s="1"/>
  <c r="CF16" i="1"/>
  <c r="CI16" i="1" s="1"/>
  <c r="BB5" i="2" s="1"/>
  <c r="CJ33" i="1"/>
  <c r="BC22" i="2" s="1"/>
  <c r="CF30" i="1"/>
  <c r="CI30" i="1" s="1"/>
  <c r="BB19" i="2" s="1"/>
  <c r="CF17" i="1"/>
  <c r="CI17" i="1" s="1"/>
  <c r="BB6" i="2" s="1"/>
  <c r="CG59" i="1"/>
  <c r="CK59" i="1" s="1"/>
  <c r="BD48" i="2" s="1"/>
  <c r="CJ35" i="1"/>
  <c r="BC24" i="2" s="1"/>
  <c r="CH25" i="1"/>
  <c r="BA14" i="2" s="1"/>
  <c r="CH50" i="1"/>
  <c r="BA39" i="2" s="1"/>
  <c r="BT62" i="1"/>
  <c r="BW62" i="1" s="1"/>
  <c r="AV51" i="2" s="1"/>
  <c r="BU49" i="1"/>
  <c r="BY49" i="1" s="1"/>
  <c r="AX38" i="2" s="1"/>
  <c r="BT41" i="1"/>
  <c r="BW41" i="1" s="1"/>
  <c r="AV30" i="2" s="1"/>
  <c r="BX39" i="1"/>
  <c r="AW28" i="2" s="1"/>
  <c r="BV34" i="1"/>
  <c r="AU23" i="2" s="1"/>
  <c r="BV33" i="1"/>
  <c r="AU22" i="2" s="1"/>
  <c r="BU32" i="1"/>
  <c r="BY32" i="1" s="1"/>
  <c r="AX21" i="2" s="1"/>
  <c r="BT32" i="1"/>
  <c r="BW32" i="1" s="1"/>
  <c r="AV21" i="2" s="1"/>
  <c r="BX29" i="1"/>
  <c r="AW18" i="2" s="1"/>
  <c r="BU21" i="1"/>
  <c r="BY21" i="1" s="1"/>
  <c r="AX10" i="2" s="1"/>
  <c r="BU55" i="1"/>
  <c r="BY55" i="1" s="1"/>
  <c r="AX44" i="2" s="1"/>
  <c r="BU54" i="1"/>
  <c r="BY54" i="1" s="1"/>
  <c r="AX43" i="2" s="1"/>
  <c r="BU53" i="1"/>
  <c r="BY53" i="1" s="1"/>
  <c r="AX42" i="2" s="1"/>
  <c r="BV52" i="1"/>
  <c r="AU41" i="2" s="1"/>
  <c r="BV24" i="1"/>
  <c r="AU13" i="2" s="1"/>
  <c r="BT13" i="1"/>
  <c r="BW13" i="1" s="1"/>
  <c r="BX59" i="1"/>
  <c r="AW48" i="2" s="1"/>
  <c r="BT58" i="1"/>
  <c r="BW58" i="1" s="1"/>
  <c r="AV47" i="2" s="1"/>
  <c r="BT55" i="1"/>
  <c r="BW55" i="1" s="1"/>
  <c r="AV44" i="2" s="1"/>
  <c r="BV42" i="1"/>
  <c r="AU31" i="2" s="1"/>
  <c r="BU51" i="1"/>
  <c r="BY51" i="1" s="1"/>
  <c r="AX40" i="2" s="1"/>
  <c r="BU48" i="1"/>
  <c r="BY48" i="1" s="1"/>
  <c r="AX37" i="2" s="1"/>
  <c r="BX40" i="1"/>
  <c r="AW29" i="2" s="1"/>
  <c r="BV35" i="1"/>
  <c r="AU24" i="2" s="1"/>
  <c r="BX37" i="1"/>
  <c r="AW26" i="2" s="1"/>
  <c r="BH60" i="1"/>
  <c r="BK60" i="1" s="1"/>
  <c r="AP49" i="2" s="1"/>
  <c r="BL40" i="1"/>
  <c r="AQ29" i="2" s="1"/>
  <c r="BL38" i="1"/>
  <c r="AQ27" i="2" s="1"/>
  <c r="BJ37" i="1"/>
  <c r="AO26" i="2" s="1"/>
  <c r="BL29" i="1"/>
  <c r="AQ18" i="2" s="1"/>
  <c r="BI55" i="1"/>
  <c r="BM55" i="1" s="1"/>
  <c r="AR44" i="2" s="1"/>
  <c r="BI51" i="1"/>
  <c r="BM51" i="1" s="1"/>
  <c r="AR40" i="2" s="1"/>
  <c r="BI41" i="1"/>
  <c r="BM41" i="1" s="1"/>
  <c r="AR30" i="2" s="1"/>
  <c r="BJ34" i="1"/>
  <c r="AO23" i="2" s="1"/>
  <c r="BJ27" i="1"/>
  <c r="AO16" i="2" s="1"/>
  <c r="BJ53" i="1"/>
  <c r="AO42" i="2" s="1"/>
  <c r="BI48" i="1"/>
  <c r="BM48" i="1" s="1"/>
  <c r="AR37" i="2" s="1"/>
  <c r="BJ33" i="1"/>
  <c r="AO22" i="2" s="1"/>
  <c r="BI15" i="1"/>
  <c r="BM15" i="1" s="1"/>
  <c r="AR4" i="2" s="1"/>
  <c r="BH14" i="1"/>
  <c r="BK14" i="1" s="1"/>
  <c r="AP3" i="2" s="1"/>
  <c r="BH48" i="1"/>
  <c r="BK48" i="1" s="1"/>
  <c r="AP37" i="2" s="1"/>
  <c r="BL25" i="1"/>
  <c r="AQ14" i="2" s="1"/>
  <c r="BI16" i="1"/>
  <c r="BM16" i="1" s="1"/>
  <c r="AR5" i="2" s="1"/>
  <c r="BH15" i="1"/>
  <c r="BK15" i="1" s="1"/>
  <c r="AP4" i="2" s="1"/>
  <c r="BH52" i="1"/>
  <c r="BK52" i="1" s="1"/>
  <c r="AP41" i="2" s="1"/>
  <c r="BI49" i="1"/>
  <c r="BM49" i="1" s="1"/>
  <c r="AR38" i="2" s="1"/>
  <c r="BJ35" i="1"/>
  <c r="AO24" i="2" s="1"/>
  <c r="BI32" i="1"/>
  <c r="BM32" i="1" s="1"/>
  <c r="AR21" i="2" s="1"/>
  <c r="BI56" i="1"/>
  <c r="BM56" i="1" s="1"/>
  <c r="AR45" i="2" s="1"/>
  <c r="AV52" i="1"/>
  <c r="AY52" i="1" s="1"/>
  <c r="AJ41" i="2" s="1"/>
  <c r="AX40" i="1"/>
  <c r="AI29" i="2" s="1"/>
  <c r="AX33" i="1"/>
  <c r="AI22" i="2" s="1"/>
  <c r="AW21" i="1"/>
  <c r="BA21" i="1" s="1"/>
  <c r="AL10" i="2" s="1"/>
  <c r="AV13" i="1"/>
  <c r="AY13" i="1" s="1"/>
  <c r="AZ27" i="1"/>
  <c r="AK16" i="2" s="1"/>
  <c r="AZ26" i="1"/>
  <c r="AK15" i="2" s="1"/>
  <c r="AZ23" i="1"/>
  <c r="AK12" i="2" s="1"/>
  <c r="AX27" i="1"/>
  <c r="AI16" i="2" s="1"/>
  <c r="AX23" i="1"/>
  <c r="AI12" i="2" s="1"/>
  <c r="AX22" i="1"/>
  <c r="AI11" i="2" s="1"/>
  <c r="AV62" i="1"/>
  <c r="AY62" i="1" s="1"/>
  <c r="AJ51" i="2" s="1"/>
  <c r="AV54" i="1"/>
  <c r="AY54" i="1" s="1"/>
  <c r="AJ43" i="2" s="1"/>
  <c r="AZ48" i="1"/>
  <c r="AK37" i="2" s="1"/>
  <c r="AX41" i="1"/>
  <c r="AI30" i="2" s="1"/>
  <c r="AZ34" i="1"/>
  <c r="AK23" i="2" s="1"/>
  <c r="AV32" i="1"/>
  <c r="AY32" i="1" s="1"/>
  <c r="AJ21" i="2" s="1"/>
  <c r="AW31" i="1"/>
  <c r="BA31" i="1" s="1"/>
  <c r="AL20" i="2" s="1"/>
  <c r="AZ30" i="1"/>
  <c r="AK19" i="2" s="1"/>
  <c r="AX26" i="1"/>
  <c r="AI15" i="2" s="1"/>
  <c r="AW22" i="1"/>
  <c r="BA22" i="1" s="1"/>
  <c r="AL11" i="2" s="1"/>
  <c r="AZ60" i="1"/>
  <c r="AK49" i="2" s="1"/>
  <c r="AZ51" i="1"/>
  <c r="AK40" i="2" s="1"/>
  <c r="AV50" i="1"/>
  <c r="AY50" i="1" s="1"/>
  <c r="AJ39" i="2" s="1"/>
  <c r="AV49" i="1"/>
  <c r="AY49" i="1" s="1"/>
  <c r="AJ38" i="2" s="1"/>
  <c r="AV48" i="1"/>
  <c r="AY48" i="1" s="1"/>
  <c r="AJ37" i="2" s="1"/>
  <c r="AW43" i="1"/>
  <c r="BA43" i="1" s="1"/>
  <c r="AL32" i="2" s="1"/>
  <c r="AZ39" i="1"/>
  <c r="AK28" i="2" s="1"/>
  <c r="AZ35" i="1"/>
  <c r="AK24" i="2" s="1"/>
  <c r="AX34" i="1"/>
  <c r="AI23" i="2" s="1"/>
  <c r="AV31" i="1"/>
  <c r="AY31" i="1" s="1"/>
  <c r="AJ20" i="2" s="1"/>
  <c r="AZ29" i="1"/>
  <c r="AK18" i="2" s="1"/>
  <c r="AZ58" i="1"/>
  <c r="AK47" i="2" s="1"/>
  <c r="AV53" i="1"/>
  <c r="AY53" i="1" s="1"/>
  <c r="AJ42" i="2" s="1"/>
  <c r="AV51" i="1"/>
  <c r="AY51" i="1" s="1"/>
  <c r="AJ40" i="2" s="1"/>
  <c r="AX35" i="1"/>
  <c r="AI24" i="2" s="1"/>
  <c r="AJ61" i="1"/>
  <c r="AM61" i="1" s="1"/>
  <c r="AD50" i="2" s="1"/>
  <c r="AL54" i="1"/>
  <c r="AC43" i="2" s="1"/>
  <c r="AK47" i="1"/>
  <c r="AO47" i="1" s="1"/>
  <c r="AF36" i="2" s="1"/>
  <c r="AL45" i="1"/>
  <c r="AC34" i="2" s="1"/>
  <c r="AK22" i="1"/>
  <c r="AO22" i="1" s="1"/>
  <c r="AF11" i="2" s="1"/>
  <c r="AJ21" i="1"/>
  <c r="AM21" i="1" s="1"/>
  <c r="AD10" i="2" s="1"/>
  <c r="AL20" i="1"/>
  <c r="AC9" i="2" s="1"/>
  <c r="AL42" i="1"/>
  <c r="AC31" i="2" s="1"/>
  <c r="AN30" i="1"/>
  <c r="AE19" i="2" s="1"/>
  <c r="AK42" i="1"/>
  <c r="AO42" i="1" s="1"/>
  <c r="AF31" i="2" s="1"/>
  <c r="AL39" i="1"/>
  <c r="AC28" i="2" s="1"/>
  <c r="AN33" i="1"/>
  <c r="AE22" i="2" s="1"/>
  <c r="AN59" i="1"/>
  <c r="AE48" i="2" s="1"/>
  <c r="AL53" i="1"/>
  <c r="AC42" i="2" s="1"/>
  <c r="AN35" i="1"/>
  <c r="AE24" i="2" s="1"/>
  <c r="AJ30" i="1"/>
  <c r="AM30" i="1" s="1"/>
  <c r="AD19" i="2" s="1"/>
  <c r="AN25" i="1"/>
  <c r="AE14" i="2" s="1"/>
  <c r="AN27" i="1"/>
  <c r="AE16" i="2" s="1"/>
  <c r="AL25" i="1"/>
  <c r="AC14" i="2" s="1"/>
  <c r="AN23" i="1"/>
  <c r="AE12" i="2" s="1"/>
  <c r="AL34" i="1"/>
  <c r="AC23" i="2" s="1"/>
  <c r="AK28" i="1"/>
  <c r="AO28" i="1" s="1"/>
  <c r="AF17" i="2" s="1"/>
  <c r="AJ59" i="1"/>
  <c r="AM59" i="1" s="1"/>
  <c r="AD48" i="2" s="1"/>
  <c r="AK43" i="1"/>
  <c r="AO43" i="1" s="1"/>
  <c r="AF32" i="2" s="1"/>
  <c r="AJ28" i="1"/>
  <c r="AM28" i="1" s="1"/>
  <c r="AD17" i="2" s="1"/>
  <c r="X56" i="1"/>
  <c r="AA56" i="1" s="1"/>
  <c r="X45" i="2" s="1"/>
  <c r="AB54" i="1"/>
  <c r="Y43" i="2" s="1"/>
  <c r="Y51" i="1"/>
  <c r="AC51" i="1" s="1"/>
  <c r="Z40" i="2" s="1"/>
  <c r="AB39" i="1"/>
  <c r="Y28" i="2" s="1"/>
  <c r="Y32" i="1"/>
  <c r="AC32" i="1" s="1"/>
  <c r="Z21" i="2" s="1"/>
  <c r="Y30" i="1"/>
  <c r="AC30" i="1" s="1"/>
  <c r="Z19" i="2" s="1"/>
  <c r="X27" i="1"/>
  <c r="AA27" i="1" s="1"/>
  <c r="X16" i="2" s="1"/>
  <c r="Y19" i="1"/>
  <c r="AC19" i="1" s="1"/>
  <c r="Z8" i="2" s="1"/>
  <c r="Z46" i="1"/>
  <c r="W35" i="2" s="1"/>
  <c r="Z24" i="1"/>
  <c r="W13" i="2" s="1"/>
  <c r="Z23" i="1"/>
  <c r="W12" i="2" s="1"/>
  <c r="X13" i="1"/>
  <c r="AA13" i="1" s="1"/>
  <c r="AB62" i="1"/>
  <c r="Y51" i="2" s="1"/>
  <c r="AB41" i="1"/>
  <c r="Y30" i="2" s="1"/>
  <c r="AB33" i="1"/>
  <c r="Y22" i="2" s="1"/>
  <c r="X29" i="1"/>
  <c r="AA29" i="1" s="1"/>
  <c r="X18" i="2" s="1"/>
  <c r="Z26" i="1"/>
  <c r="W15" i="2" s="1"/>
  <c r="Z25" i="1"/>
  <c r="W14" i="2" s="1"/>
  <c r="X18" i="1"/>
  <c r="AA18" i="1" s="1"/>
  <c r="X7" i="2" s="1"/>
  <c r="X17" i="1"/>
  <c r="AA17" i="1" s="1"/>
  <c r="X6" i="2" s="1"/>
  <c r="X16" i="1"/>
  <c r="AA16" i="1" s="1"/>
  <c r="X5" i="2" s="1"/>
  <c r="X15" i="1"/>
  <c r="AA15" i="1" s="1"/>
  <c r="X4" i="2" s="1"/>
  <c r="X14" i="1"/>
  <c r="AA14" i="1" s="1"/>
  <c r="X3" i="2" s="1"/>
  <c r="Y58" i="1"/>
  <c r="AC58" i="1" s="1"/>
  <c r="Z47" i="2" s="1"/>
  <c r="Y55" i="1"/>
  <c r="AC55" i="1" s="1"/>
  <c r="Z44" i="2" s="1"/>
  <c r="AB53" i="1"/>
  <c r="Y42" i="2" s="1"/>
  <c r="AB38" i="1"/>
  <c r="Y27" i="2" s="1"/>
  <c r="Z20" i="1"/>
  <c r="W9" i="2" s="1"/>
  <c r="AB27" i="1"/>
  <c r="Y16" i="2" s="1"/>
  <c r="X59" i="1"/>
  <c r="AA59" i="1" s="1"/>
  <c r="X48" i="2" s="1"/>
  <c r="Y56" i="1"/>
  <c r="AC56" i="1" s="1"/>
  <c r="Z45" i="2" s="1"/>
  <c r="CH60" i="1"/>
  <c r="BA49" i="2" s="1"/>
  <c r="CF60" i="1"/>
  <c r="CI60" i="1" s="1"/>
  <c r="BB49" i="2" s="1"/>
  <c r="EP59" i="1"/>
  <c r="CG48" i="2" s="1"/>
  <c r="EN59" i="1"/>
  <c r="EQ59" i="1" s="1"/>
  <c r="CH48" i="2" s="1"/>
  <c r="CT57" i="1"/>
  <c r="BG46" i="2" s="1"/>
  <c r="CR57" i="1"/>
  <c r="CU57" i="1" s="1"/>
  <c r="BH46" i="2" s="1"/>
  <c r="GL56" i="1"/>
  <c r="DI45" i="2" s="1"/>
  <c r="GJ56" i="1"/>
  <c r="GM56" i="1" s="1"/>
  <c r="DJ45" i="2" s="1"/>
  <c r="FB55" i="1"/>
  <c r="CN44" i="2" s="1"/>
  <c r="EZ55" i="1"/>
  <c r="FC55" i="1" s="1"/>
  <c r="CO44" i="2" s="1"/>
  <c r="DF55" i="1"/>
  <c r="BM44" i="2" s="1"/>
  <c r="DD55" i="1"/>
  <c r="DG55" i="1" s="1"/>
  <c r="BN44" i="2" s="1"/>
  <c r="GN54" i="1"/>
  <c r="DK43" i="2" s="1"/>
  <c r="GK54" i="1"/>
  <c r="GO54" i="1" s="1"/>
  <c r="DL43" i="2" s="1"/>
  <c r="CF54" i="1"/>
  <c r="CI54" i="1" s="1"/>
  <c r="BB43" i="2" s="1"/>
  <c r="CH54" i="1"/>
  <c r="BA43" i="2" s="1"/>
  <c r="GK52" i="1"/>
  <c r="GO52" i="1" s="1"/>
  <c r="DL41" i="2" s="1"/>
  <c r="GN52" i="1"/>
  <c r="DK41" i="2" s="1"/>
  <c r="GJ62" i="1"/>
  <c r="GM62" i="1" s="1"/>
  <c r="DJ51" i="2" s="1"/>
  <c r="EF62" i="1"/>
  <c r="CB51" i="2" s="1"/>
  <c r="CR62" i="1"/>
  <c r="CU62" i="1" s="1"/>
  <c r="BH51" i="2" s="1"/>
  <c r="AN62" i="1"/>
  <c r="AE51" i="2" s="1"/>
  <c r="GJ61" i="1"/>
  <c r="GM61" i="1" s="1"/>
  <c r="DJ50" i="2" s="1"/>
  <c r="FD61" i="1"/>
  <c r="CP50" i="2" s="1"/>
  <c r="CV61" i="1"/>
  <c r="BI50" i="2" s="1"/>
  <c r="CG61" i="1"/>
  <c r="CK61" i="1" s="1"/>
  <c r="BD50" i="2" s="1"/>
  <c r="CR60" i="1"/>
  <c r="CU60" i="1" s="1"/>
  <c r="BH49" i="2" s="1"/>
  <c r="DQ59" i="1"/>
  <c r="DU59" i="1" s="1"/>
  <c r="BV48" i="2" s="1"/>
  <c r="CV58" i="1"/>
  <c r="BI47" i="2" s="1"/>
  <c r="CH58" i="1"/>
  <c r="BA47" i="2" s="1"/>
  <c r="CF58" i="1"/>
  <c r="CI58" i="1" s="1"/>
  <c r="BB47" i="2" s="1"/>
  <c r="BL58" i="1"/>
  <c r="AQ47" i="2" s="1"/>
  <c r="DH57" i="1"/>
  <c r="BO46" i="2" s="1"/>
  <c r="DH56" i="1"/>
  <c r="BO45" i="2" s="1"/>
  <c r="EO55" i="1"/>
  <c r="ES55" i="1" s="1"/>
  <c r="CJ44" i="2" s="1"/>
  <c r="AZ55" i="1"/>
  <c r="AK44" i="2" s="1"/>
  <c r="AW55" i="1"/>
  <c r="BA55" i="1" s="1"/>
  <c r="AL44" i="2" s="1"/>
  <c r="BL54" i="1"/>
  <c r="AQ43" i="2" s="1"/>
  <c r="BI54" i="1"/>
  <c r="BM54" i="1" s="1"/>
  <c r="AR43" i="2" s="1"/>
  <c r="EO53" i="1"/>
  <c r="ES53" i="1" s="1"/>
  <c r="CJ42" i="2" s="1"/>
  <c r="ER53" i="1"/>
  <c r="CI42" i="2" s="1"/>
  <c r="DP53" i="1"/>
  <c r="DS53" i="1" s="1"/>
  <c r="BT42" i="2" s="1"/>
  <c r="DR53" i="1"/>
  <c r="BS42" i="2" s="1"/>
  <c r="AX60" i="1"/>
  <c r="AI49" i="2" s="1"/>
  <c r="AV60" i="1"/>
  <c r="AY60" i="1" s="1"/>
  <c r="AJ49" i="2" s="1"/>
  <c r="GL58" i="1"/>
  <c r="DI47" i="2" s="1"/>
  <c r="GJ58" i="1"/>
  <c r="GM58" i="1" s="1"/>
  <c r="DJ47" i="2" s="1"/>
  <c r="AX58" i="1"/>
  <c r="AI47" i="2" s="1"/>
  <c r="AV58" i="1"/>
  <c r="AY58" i="1" s="1"/>
  <c r="AJ47" i="2" s="1"/>
  <c r="AZ57" i="1"/>
  <c r="AK46" i="2" s="1"/>
  <c r="CV55" i="1"/>
  <c r="BI44" i="2" s="1"/>
  <c r="CS55" i="1"/>
  <c r="CW55" i="1" s="1"/>
  <c r="BJ44" i="2" s="1"/>
  <c r="CS54" i="1"/>
  <c r="CW54" i="1" s="1"/>
  <c r="BJ43" i="2" s="1"/>
  <c r="CV54" i="1"/>
  <c r="BI43" i="2" s="1"/>
  <c r="CF53" i="1"/>
  <c r="CI53" i="1" s="1"/>
  <c r="BB42" i="2" s="1"/>
  <c r="CH53" i="1"/>
  <c r="BA42" i="2" s="1"/>
  <c r="EO52" i="1"/>
  <c r="ES52" i="1" s="1"/>
  <c r="CJ41" i="2" s="1"/>
  <c r="ER52" i="1"/>
  <c r="CI41" i="2" s="1"/>
  <c r="EP58" i="1"/>
  <c r="CG47" i="2" s="1"/>
  <c r="EN58" i="1"/>
  <c r="EQ58" i="1" s="1"/>
  <c r="CH47" i="2" s="1"/>
  <c r="FZ60" i="1"/>
  <c r="DB49" i="2" s="1"/>
  <c r="FX60" i="1"/>
  <c r="GA60" i="1" s="1"/>
  <c r="DC49" i="2" s="1"/>
  <c r="FD60" i="1"/>
  <c r="CP49" i="2" s="1"/>
  <c r="DP62" i="1"/>
  <c r="DS62" i="1" s="1"/>
  <c r="BT51" i="2" s="1"/>
  <c r="GJ60" i="1"/>
  <c r="GM60" i="1" s="1"/>
  <c r="DJ49" i="2" s="1"/>
  <c r="Y60" i="1"/>
  <c r="AC60" i="1" s="1"/>
  <c r="Z49" i="2" s="1"/>
  <c r="P59" i="1"/>
  <c r="S48" i="2" s="1"/>
  <c r="GN57" i="1"/>
  <c r="DK46" i="2" s="1"/>
  <c r="FZ57" i="1"/>
  <c r="DB46" i="2" s="1"/>
  <c r="FX57" i="1"/>
  <c r="GA57" i="1" s="1"/>
  <c r="DC46" i="2" s="1"/>
  <c r="FD57" i="1"/>
  <c r="CP46" i="2" s="1"/>
  <c r="L57" i="1"/>
  <c r="O57" i="1" s="1"/>
  <c r="R46" i="2" s="1"/>
  <c r="CH56" i="1"/>
  <c r="BA45" i="2" s="1"/>
  <c r="CF56" i="1"/>
  <c r="CI56" i="1" s="1"/>
  <c r="BB45" i="2" s="1"/>
  <c r="BL53" i="1"/>
  <c r="AQ42" i="2" s="1"/>
  <c r="BI53" i="1"/>
  <c r="BM53" i="1" s="1"/>
  <c r="AR42" i="2" s="1"/>
  <c r="ER62" i="1"/>
  <c r="CI51" i="2" s="1"/>
  <c r="AZ62" i="1"/>
  <c r="AK51" i="2" s="1"/>
  <c r="AZ61" i="1"/>
  <c r="AK50" i="2" s="1"/>
  <c r="DH60" i="1"/>
  <c r="BO49" i="2" s="1"/>
  <c r="AZ59" i="1"/>
  <c r="AK48" i="2" s="1"/>
  <c r="X62" i="1"/>
  <c r="AA62" i="1" s="1"/>
  <c r="X51" i="2" s="1"/>
  <c r="FP61" i="1"/>
  <c r="CW50" i="2" s="1"/>
  <c r="EZ61" i="1"/>
  <c r="FC61" i="1" s="1"/>
  <c r="CO50" i="2" s="1"/>
  <c r="EP61" i="1"/>
  <c r="CG50" i="2" s="1"/>
  <c r="EN61" i="1"/>
  <c r="EQ61" i="1" s="1"/>
  <c r="CH50" i="2" s="1"/>
  <c r="CV59" i="1"/>
  <c r="BI48" i="2" s="1"/>
  <c r="FP62" i="1"/>
  <c r="CW51" i="2" s="1"/>
  <c r="EB62" i="1"/>
  <c r="EE62" i="1" s="1"/>
  <c r="CA51" i="2" s="1"/>
  <c r="BX62" i="1"/>
  <c r="AW51" i="2" s="1"/>
  <c r="AJ62" i="1"/>
  <c r="AM62" i="1" s="1"/>
  <c r="AD51" i="2" s="1"/>
  <c r="DT61" i="1"/>
  <c r="BU50" i="2" s="1"/>
  <c r="CR61" i="1"/>
  <c r="CU61" i="1" s="1"/>
  <c r="BH50" i="2" s="1"/>
  <c r="BL61" i="1"/>
  <c r="AQ50" i="2" s="1"/>
  <c r="EP60" i="1"/>
  <c r="CG49" i="2" s="1"/>
  <c r="EN60" i="1"/>
  <c r="EQ60" i="1" s="1"/>
  <c r="CH49" i="2" s="1"/>
  <c r="DD60" i="1"/>
  <c r="DG60" i="1" s="1"/>
  <c r="BN49" i="2" s="1"/>
  <c r="BT60" i="1"/>
  <c r="BW60" i="1" s="1"/>
  <c r="AV49" i="2" s="1"/>
  <c r="FY59" i="1"/>
  <c r="GC59" i="1" s="1"/>
  <c r="DE48" i="2" s="1"/>
  <c r="EB59" i="1"/>
  <c r="EE59" i="1" s="1"/>
  <c r="CA48" i="2" s="1"/>
  <c r="CH59" i="1"/>
  <c r="BA48" i="2" s="1"/>
  <c r="CF59" i="1"/>
  <c r="CI59" i="1" s="1"/>
  <c r="BB48" i="2" s="1"/>
  <c r="BL59" i="1"/>
  <c r="AQ48" i="2" s="1"/>
  <c r="L59" i="1"/>
  <c r="O59" i="1" s="1"/>
  <c r="R48" i="2" s="1"/>
  <c r="EB58" i="1"/>
  <c r="EE58" i="1" s="1"/>
  <c r="CA47" i="2" s="1"/>
  <c r="CT58" i="1"/>
  <c r="BG47" i="2" s="1"/>
  <c r="CR58" i="1"/>
  <c r="CU58" i="1" s="1"/>
  <c r="BH47" i="2" s="1"/>
  <c r="EP57" i="1"/>
  <c r="CG46" i="2" s="1"/>
  <c r="EN57" i="1"/>
  <c r="EQ57" i="1" s="1"/>
  <c r="CH46" i="2" s="1"/>
  <c r="DQ57" i="1"/>
  <c r="DU57" i="1" s="1"/>
  <c r="BV46" i="2" s="1"/>
  <c r="FZ56" i="1"/>
  <c r="DB45" i="2" s="1"/>
  <c r="FX56" i="1"/>
  <c r="GA56" i="1" s="1"/>
  <c r="DC45" i="2" s="1"/>
  <c r="FD56" i="1"/>
  <c r="CP45" i="2" s="1"/>
  <c r="AN56" i="1"/>
  <c r="AE45" i="2" s="1"/>
  <c r="AK56" i="1"/>
  <c r="AO56" i="1" s="1"/>
  <c r="AF45" i="2" s="1"/>
  <c r="FZ54" i="1"/>
  <c r="DB43" i="2" s="1"/>
  <c r="FX54" i="1"/>
  <c r="GA54" i="1" s="1"/>
  <c r="DC43" i="2" s="1"/>
  <c r="AW54" i="1"/>
  <c r="BA54" i="1" s="1"/>
  <c r="AL43" i="2" s="1"/>
  <c r="AZ54" i="1"/>
  <c r="AK43" i="2" s="1"/>
  <c r="X54" i="1"/>
  <c r="AA54" i="1" s="1"/>
  <c r="X43" i="2" s="1"/>
  <c r="Z54" i="1"/>
  <c r="W43" i="2" s="1"/>
  <c r="CS53" i="1"/>
  <c r="CW53" i="1" s="1"/>
  <c r="BJ42" i="2" s="1"/>
  <c r="CV53" i="1"/>
  <c r="BI42" i="2" s="1"/>
  <c r="GN59" i="1"/>
  <c r="DK48" i="2" s="1"/>
  <c r="CH57" i="1"/>
  <c r="BA46" i="2" s="1"/>
  <c r="CF57" i="1"/>
  <c r="CI57" i="1" s="1"/>
  <c r="BB46" i="2" s="1"/>
  <c r="BL57" i="1"/>
  <c r="AQ46" i="2" s="1"/>
  <c r="EP56" i="1"/>
  <c r="CG45" i="2" s="1"/>
  <c r="EN56" i="1"/>
  <c r="EQ56" i="1" s="1"/>
  <c r="CH45" i="2" s="1"/>
  <c r="AL56" i="1"/>
  <c r="AC45" i="2" s="1"/>
  <c r="AJ56" i="1"/>
  <c r="AM56" i="1" s="1"/>
  <c r="AD45" i="2" s="1"/>
  <c r="GB55" i="1"/>
  <c r="DD44" i="2" s="1"/>
  <c r="FY55" i="1"/>
  <c r="GC55" i="1" s="1"/>
  <c r="DE44" i="2" s="1"/>
  <c r="AL55" i="1"/>
  <c r="AC44" i="2" s="1"/>
  <c r="AJ55" i="1"/>
  <c r="AM55" i="1" s="1"/>
  <c r="AD44" i="2" s="1"/>
  <c r="FB54" i="1"/>
  <c r="CN43" i="2" s="1"/>
  <c r="EZ54" i="1"/>
  <c r="FC54" i="1" s="1"/>
  <c r="CO43" i="2" s="1"/>
  <c r="FX53" i="1"/>
  <c r="GA53" i="1" s="1"/>
  <c r="DC42" i="2" s="1"/>
  <c r="FZ53" i="1"/>
  <c r="DB42" i="2" s="1"/>
  <c r="X53" i="1"/>
  <c r="AA53" i="1" s="1"/>
  <c r="X42" i="2" s="1"/>
  <c r="Z53" i="1"/>
  <c r="W42" i="2" s="1"/>
  <c r="EZ62" i="1"/>
  <c r="FC62" i="1" s="1"/>
  <c r="CO51" i="2" s="1"/>
  <c r="BH62" i="1"/>
  <c r="BK62" i="1" s="1"/>
  <c r="AP51" i="2" s="1"/>
  <c r="FY61" i="1"/>
  <c r="GC61" i="1" s="1"/>
  <c r="DE50" i="2" s="1"/>
  <c r="DD61" i="1"/>
  <c r="DG61" i="1" s="1"/>
  <c r="BN50" i="2" s="1"/>
  <c r="AX61" i="1"/>
  <c r="AI50" i="2" s="1"/>
  <c r="AV61" i="1"/>
  <c r="AY61" i="1" s="1"/>
  <c r="AJ50" i="2" s="1"/>
  <c r="L61" i="1"/>
  <c r="O61" i="1" s="1"/>
  <c r="R50" i="2" s="1"/>
  <c r="FL60" i="1"/>
  <c r="FO60" i="1" s="1"/>
  <c r="CV49" i="2" s="1"/>
  <c r="AJ60" i="1"/>
  <c r="AM60" i="1" s="1"/>
  <c r="AD49" i="2" s="1"/>
  <c r="FZ59" i="1"/>
  <c r="DB48" i="2" s="1"/>
  <c r="FX59" i="1"/>
  <c r="GA59" i="1" s="1"/>
  <c r="DC48" i="2" s="1"/>
  <c r="AX59" i="1"/>
  <c r="AI48" i="2" s="1"/>
  <c r="AV59" i="1"/>
  <c r="AY59" i="1" s="1"/>
  <c r="AJ48" i="2" s="1"/>
  <c r="Y59" i="1"/>
  <c r="AC59" i="1" s="1"/>
  <c r="Z48" i="2" s="1"/>
  <c r="DD58" i="1"/>
  <c r="DG58" i="1" s="1"/>
  <c r="BN47" i="2" s="1"/>
  <c r="AJ58" i="1"/>
  <c r="AM58" i="1" s="1"/>
  <c r="AD47" i="2" s="1"/>
  <c r="GL57" i="1"/>
  <c r="DI46" i="2" s="1"/>
  <c r="GJ57" i="1"/>
  <c r="GM57" i="1" s="1"/>
  <c r="DJ46" i="2" s="1"/>
  <c r="AX57" i="1"/>
  <c r="AI46" i="2" s="1"/>
  <c r="AV57" i="1"/>
  <c r="AY57" i="1" s="1"/>
  <c r="AJ46" i="2" s="1"/>
  <c r="Y57" i="1"/>
  <c r="AC57" i="1" s="1"/>
  <c r="Z46" i="2" s="1"/>
  <c r="CS56" i="1"/>
  <c r="CW56" i="1" s="1"/>
  <c r="BJ45" i="2" s="1"/>
  <c r="CV56" i="1"/>
  <c r="BI45" i="2" s="1"/>
  <c r="BJ56" i="1"/>
  <c r="AO45" i="2" s="1"/>
  <c r="BH56" i="1"/>
  <c r="BK56" i="1" s="1"/>
  <c r="AP45" i="2" s="1"/>
  <c r="FZ55" i="1"/>
  <c r="DB44" i="2" s="1"/>
  <c r="FX55" i="1"/>
  <c r="GA55" i="1" s="1"/>
  <c r="DC44" i="2" s="1"/>
  <c r="CH55" i="1"/>
  <c r="BA44" i="2" s="1"/>
  <c r="CF55" i="1"/>
  <c r="CI55" i="1" s="1"/>
  <c r="BB44" i="2" s="1"/>
  <c r="N55" i="1"/>
  <c r="Q44" i="2" s="1"/>
  <c r="L55" i="1"/>
  <c r="O55" i="1" s="1"/>
  <c r="R44" i="2" s="1"/>
  <c r="FD53" i="1"/>
  <c r="CP42" i="2" s="1"/>
  <c r="FA53" i="1"/>
  <c r="FE53" i="1" s="1"/>
  <c r="CQ42" i="2" s="1"/>
  <c r="AW53" i="1"/>
  <c r="BA53" i="1" s="1"/>
  <c r="AL42" i="2" s="1"/>
  <c r="AZ53" i="1"/>
  <c r="AK42" i="2" s="1"/>
  <c r="FX52" i="1"/>
  <c r="GA52" i="1" s="1"/>
  <c r="DC41" i="2" s="1"/>
  <c r="FZ52" i="1"/>
  <c r="DB41" i="2" s="1"/>
  <c r="FZ58" i="1"/>
  <c r="DB47" i="2" s="1"/>
  <c r="FX58" i="1"/>
  <c r="GA58" i="1" s="1"/>
  <c r="DC47" i="2" s="1"/>
  <c r="FD58" i="1"/>
  <c r="CP47" i="2" s="1"/>
  <c r="GK56" i="1"/>
  <c r="GO56" i="1" s="1"/>
  <c r="DL45" i="2" s="1"/>
  <c r="GN56" i="1"/>
  <c r="DK45" i="2" s="1"/>
  <c r="CT56" i="1"/>
  <c r="BG45" i="2" s="1"/>
  <c r="CR56" i="1"/>
  <c r="CU56" i="1" s="1"/>
  <c r="BH45" i="2" s="1"/>
  <c r="N56" i="1"/>
  <c r="Q45" i="2" s="1"/>
  <c r="L56" i="1"/>
  <c r="O56" i="1" s="1"/>
  <c r="R45" i="2" s="1"/>
  <c r="ED55" i="1"/>
  <c r="BZ44" i="2" s="1"/>
  <c r="EB55" i="1"/>
  <c r="EE55" i="1" s="1"/>
  <c r="CA44" i="2" s="1"/>
  <c r="BJ55" i="1"/>
  <c r="AO44" i="2" s="1"/>
  <c r="BH55" i="1"/>
  <c r="BK55" i="1" s="1"/>
  <c r="AP44" i="2" s="1"/>
  <c r="ER54" i="1"/>
  <c r="CI43" i="2" s="1"/>
  <c r="EO54" i="1"/>
  <c r="ES54" i="1" s="1"/>
  <c r="CJ43" i="2" s="1"/>
  <c r="DP54" i="1"/>
  <c r="DS54" i="1" s="1"/>
  <c r="BT43" i="2" s="1"/>
  <c r="DR54" i="1"/>
  <c r="BS43" i="2" s="1"/>
  <c r="GK53" i="1"/>
  <c r="GO53" i="1" s="1"/>
  <c r="DL42" i="2" s="1"/>
  <c r="GN53" i="1"/>
  <c r="DK42" i="2" s="1"/>
  <c r="FA52" i="1"/>
  <c r="FE52" i="1" s="1"/>
  <c r="CQ41" i="2" s="1"/>
  <c r="BU52" i="1"/>
  <c r="BY52" i="1" s="1"/>
  <c r="AX41" i="2" s="1"/>
  <c r="EC50" i="1"/>
  <c r="EG50" i="1" s="1"/>
  <c r="CC39" i="2" s="1"/>
  <c r="EF50" i="1"/>
  <c r="CB39" i="2" s="1"/>
  <c r="EO49" i="1"/>
  <c r="ES49" i="1" s="1"/>
  <c r="CJ38" i="2" s="1"/>
  <c r="ER49" i="1"/>
  <c r="CI38" i="2" s="1"/>
  <c r="DP52" i="1"/>
  <c r="DS52" i="1" s="1"/>
  <c r="BT41" i="2" s="1"/>
  <c r="DR52" i="1"/>
  <c r="BS41" i="2" s="1"/>
  <c r="CH52" i="1"/>
  <c r="BA41" i="2" s="1"/>
  <c r="EC51" i="1"/>
  <c r="EG51" i="1" s="1"/>
  <c r="CC40" i="2" s="1"/>
  <c r="EF51" i="1"/>
  <c r="CB40" i="2" s="1"/>
  <c r="X51" i="1"/>
  <c r="AA51" i="1" s="1"/>
  <c r="X40" i="2" s="1"/>
  <c r="Z51" i="1"/>
  <c r="W40" i="2" s="1"/>
  <c r="X50" i="1"/>
  <c r="AA50" i="1" s="1"/>
  <c r="X39" i="2" s="1"/>
  <c r="Z50" i="1"/>
  <c r="W39" i="2" s="1"/>
  <c r="EC49" i="1"/>
  <c r="EG49" i="1" s="1"/>
  <c r="CC38" i="2" s="1"/>
  <c r="EF49" i="1"/>
  <c r="CB38" i="2" s="1"/>
  <c r="EC55" i="1"/>
  <c r="EG55" i="1" s="1"/>
  <c r="CC44" i="2" s="1"/>
  <c r="CG55" i="1"/>
  <c r="CK55" i="1" s="1"/>
  <c r="BD44" i="2" s="1"/>
  <c r="AK55" i="1"/>
  <c r="AO55" i="1" s="1"/>
  <c r="AF44" i="2" s="1"/>
  <c r="FY54" i="1"/>
  <c r="GC54" i="1" s="1"/>
  <c r="DE43" i="2" s="1"/>
  <c r="CV52" i="1"/>
  <c r="BI41" i="2" s="1"/>
  <c r="FM51" i="1"/>
  <c r="FQ51" i="1" s="1"/>
  <c r="CX40" i="2" s="1"/>
  <c r="GN50" i="1"/>
  <c r="DK39" i="2" s="1"/>
  <c r="FZ50" i="1"/>
  <c r="DB39" i="2" s="1"/>
  <c r="AW50" i="1"/>
  <c r="BA50" i="1" s="1"/>
  <c r="AL39" i="2" s="1"/>
  <c r="AZ50" i="1"/>
  <c r="AK39" i="2" s="1"/>
  <c r="EB49" i="1"/>
  <c r="EE49" i="1" s="1"/>
  <c r="CA38" i="2" s="1"/>
  <c r="ED49" i="1"/>
  <c r="BZ38" i="2" s="1"/>
  <c r="EC54" i="1"/>
  <c r="EG54" i="1" s="1"/>
  <c r="CC43" i="2" s="1"/>
  <c r="EF54" i="1"/>
  <c r="CB43" i="2" s="1"/>
  <c r="AK54" i="1"/>
  <c r="AO54" i="1" s="1"/>
  <c r="AF43" i="2" s="1"/>
  <c r="AN54" i="1"/>
  <c r="AE43" i="2" s="1"/>
  <c r="EC53" i="1"/>
  <c r="EG53" i="1" s="1"/>
  <c r="CC42" i="2" s="1"/>
  <c r="EF53" i="1"/>
  <c r="CB42" i="2" s="1"/>
  <c r="AK53" i="1"/>
  <c r="AO53" i="1" s="1"/>
  <c r="AF42" i="2" s="1"/>
  <c r="AN53" i="1"/>
  <c r="AE42" i="2" s="1"/>
  <c r="EC52" i="1"/>
  <c r="EG52" i="1" s="1"/>
  <c r="CC41" i="2" s="1"/>
  <c r="EF52" i="1"/>
  <c r="CB41" i="2" s="1"/>
  <c r="ER51" i="1"/>
  <c r="CI40" i="2" s="1"/>
  <c r="BH51" i="1"/>
  <c r="BK51" i="1" s="1"/>
  <c r="AP40" i="2" s="1"/>
  <c r="AL51" i="1"/>
  <c r="AC40" i="2" s="1"/>
  <c r="BI52" i="1"/>
  <c r="BM52" i="1" s="1"/>
  <c r="AR41" i="2" s="1"/>
  <c r="X52" i="1"/>
  <c r="AA52" i="1" s="1"/>
  <c r="X41" i="2" s="1"/>
  <c r="Z52" i="1"/>
  <c r="W41" i="2" s="1"/>
  <c r="AK51" i="1"/>
  <c r="AO51" i="1" s="1"/>
  <c r="AF40" i="2" s="1"/>
  <c r="AN51" i="1"/>
  <c r="AE40" i="2" s="1"/>
  <c r="DP50" i="1"/>
  <c r="DS50" i="1" s="1"/>
  <c r="BT39" i="2" s="1"/>
  <c r="DR50" i="1"/>
  <c r="BS39" i="2" s="1"/>
  <c r="AK50" i="1"/>
  <c r="AO50" i="1" s="1"/>
  <c r="AF39" i="2" s="1"/>
  <c r="AN50" i="1"/>
  <c r="AE39" i="2" s="1"/>
  <c r="AJ50" i="1"/>
  <c r="AM50" i="1" s="1"/>
  <c r="AD39" i="2" s="1"/>
  <c r="AL50" i="1"/>
  <c r="AC39" i="2" s="1"/>
  <c r="AK52" i="1"/>
  <c r="AO52" i="1" s="1"/>
  <c r="AF41" i="2" s="1"/>
  <c r="AN52" i="1"/>
  <c r="AE41" i="2" s="1"/>
  <c r="DP51" i="1"/>
  <c r="DS51" i="1" s="1"/>
  <c r="BT40" i="2" s="1"/>
  <c r="DR51" i="1"/>
  <c r="BS40" i="2" s="1"/>
  <c r="DP49" i="1"/>
  <c r="DS49" i="1" s="1"/>
  <c r="BT38" i="2" s="1"/>
  <c r="DR49" i="1"/>
  <c r="BS38" i="2" s="1"/>
  <c r="AK49" i="1"/>
  <c r="AO49" i="1" s="1"/>
  <c r="AF38" i="2" s="1"/>
  <c r="AN49" i="1"/>
  <c r="AE38" i="2" s="1"/>
  <c r="M47" i="1"/>
  <c r="Q47" i="1" s="1"/>
  <c r="T36" i="2" s="1"/>
  <c r="DH46" i="1"/>
  <c r="BO35" i="2" s="1"/>
  <c r="DE46" i="1"/>
  <c r="DI46" i="1" s="1"/>
  <c r="BP35" i="2" s="1"/>
  <c r="CG46" i="1"/>
  <c r="CK46" i="1" s="1"/>
  <c r="BD35" i="2" s="1"/>
  <c r="FM45" i="1"/>
  <c r="FQ45" i="1" s="1"/>
  <c r="CX34" i="2" s="1"/>
  <c r="DD44" i="1"/>
  <c r="DG44" i="1" s="1"/>
  <c r="BN33" i="2" s="1"/>
  <c r="DF44" i="1"/>
  <c r="BM33" i="2" s="1"/>
  <c r="DT43" i="1"/>
  <c r="BU32" i="2" s="1"/>
  <c r="DQ43" i="1"/>
  <c r="DU43" i="1" s="1"/>
  <c r="BV32" i="2" s="1"/>
  <c r="FY42" i="1"/>
  <c r="GC42" i="1" s="1"/>
  <c r="DE31" i="2" s="1"/>
  <c r="DD42" i="1"/>
  <c r="DG42" i="1" s="1"/>
  <c r="BN31" i="2" s="1"/>
  <c r="DF42" i="1"/>
  <c r="BM31" i="2" s="1"/>
  <c r="CS48" i="1"/>
  <c r="CW48" i="1" s="1"/>
  <c r="BJ37" i="2" s="1"/>
  <c r="CF48" i="1"/>
  <c r="CI48" i="1" s="1"/>
  <c r="BB37" i="2" s="1"/>
  <c r="M48" i="1"/>
  <c r="Q48" i="1" s="1"/>
  <c r="T37" i="2" s="1"/>
  <c r="FA47" i="1"/>
  <c r="FE47" i="1" s="1"/>
  <c r="CQ36" i="2" s="1"/>
  <c r="DQ47" i="1"/>
  <c r="DU47" i="1" s="1"/>
  <c r="BV36" i="2" s="1"/>
  <c r="L47" i="1"/>
  <c r="O47" i="1" s="1"/>
  <c r="R36" i="2" s="1"/>
  <c r="BH46" i="1"/>
  <c r="BK46" i="1" s="1"/>
  <c r="AP35" i="2" s="1"/>
  <c r="GJ45" i="1"/>
  <c r="GM45" i="1" s="1"/>
  <c r="DJ34" i="2" s="1"/>
  <c r="GL45" i="1"/>
  <c r="DI34" i="2" s="1"/>
  <c r="FP43" i="1"/>
  <c r="CW32" i="2" s="1"/>
  <c r="FM43" i="1"/>
  <c r="FQ43" i="1" s="1"/>
  <c r="CX32" i="2" s="1"/>
  <c r="EZ42" i="1"/>
  <c r="FC42" i="1" s="1"/>
  <c r="CO31" i="2" s="1"/>
  <c r="FB42" i="1"/>
  <c r="CN31" i="2" s="1"/>
  <c r="FP41" i="1"/>
  <c r="CW30" i="2" s="1"/>
  <c r="FM41" i="1"/>
  <c r="FQ41" i="1" s="1"/>
  <c r="CX30" i="2" s="1"/>
  <c r="Z49" i="1"/>
  <c r="W38" i="2" s="1"/>
  <c r="EF48" i="1"/>
  <c r="CB37" i="2" s="1"/>
  <c r="DR48" i="1"/>
  <c r="BS37" i="2" s="1"/>
  <c r="AN48" i="1"/>
  <c r="AE37" i="2" s="1"/>
  <c r="Z48" i="1"/>
  <c r="W37" i="2" s="1"/>
  <c r="CG47" i="1"/>
  <c r="CK47" i="1" s="1"/>
  <c r="BD36" i="2" s="1"/>
  <c r="FY46" i="1"/>
  <c r="GC46" i="1" s="1"/>
  <c r="DE35" i="2" s="1"/>
  <c r="DQ46" i="1"/>
  <c r="DU46" i="1" s="1"/>
  <c r="BV35" i="2" s="1"/>
  <c r="BL46" i="1"/>
  <c r="AQ35" i="2" s="1"/>
  <c r="BI46" i="1"/>
  <c r="BM46" i="1" s="1"/>
  <c r="AR35" i="2" s="1"/>
  <c r="AK46" i="1"/>
  <c r="AO46" i="1" s="1"/>
  <c r="AF35" i="2" s="1"/>
  <c r="AB44" i="1"/>
  <c r="Y33" i="2" s="1"/>
  <c r="Y44" i="1"/>
  <c r="AC44" i="1" s="1"/>
  <c r="Z33" i="2" s="1"/>
  <c r="CG43" i="1"/>
  <c r="CK43" i="1" s="1"/>
  <c r="BD32" i="2" s="1"/>
  <c r="L43" i="1"/>
  <c r="O43" i="1" s="1"/>
  <c r="R32" i="2" s="1"/>
  <c r="N43" i="1"/>
  <c r="Q32" i="2" s="1"/>
  <c r="AB42" i="1"/>
  <c r="Y31" i="2" s="1"/>
  <c r="Y42" i="1"/>
  <c r="AC42" i="1" s="1"/>
  <c r="Z31" i="2" s="1"/>
  <c r="CJ41" i="1"/>
  <c r="BC30" i="2" s="1"/>
  <c r="CG41" i="1"/>
  <c r="CK41" i="1" s="1"/>
  <c r="BD30" i="2" s="1"/>
  <c r="ED47" i="1"/>
  <c r="BZ36" i="2" s="1"/>
  <c r="AV47" i="1"/>
  <c r="AY47" i="1" s="1"/>
  <c r="AJ36" i="2" s="1"/>
  <c r="AX47" i="1"/>
  <c r="AI36" i="2" s="1"/>
  <c r="EN46" i="1"/>
  <c r="EQ46" i="1" s="1"/>
  <c r="CH35" i="2" s="1"/>
  <c r="EP46" i="1"/>
  <c r="CG35" i="2" s="1"/>
  <c r="EN45" i="1"/>
  <c r="EQ45" i="1" s="1"/>
  <c r="CH34" i="2" s="1"/>
  <c r="EP45" i="1"/>
  <c r="CG34" i="2" s="1"/>
  <c r="BX44" i="1"/>
  <c r="AW33" i="2" s="1"/>
  <c r="BU44" i="1"/>
  <c r="BY44" i="1" s="1"/>
  <c r="AX33" i="2" s="1"/>
  <c r="BH43" i="1"/>
  <c r="BK43" i="1" s="1"/>
  <c r="AP32" i="2" s="1"/>
  <c r="BJ43" i="1"/>
  <c r="AO32" i="2" s="1"/>
  <c r="BX42" i="1"/>
  <c r="AW31" i="2" s="1"/>
  <c r="BU42" i="1"/>
  <c r="BY42" i="1" s="1"/>
  <c r="AX31" i="2" s="1"/>
  <c r="AZ49" i="1"/>
  <c r="AK38" i="2" s="1"/>
  <c r="AL49" i="1"/>
  <c r="AC38" i="2" s="1"/>
  <c r="ER48" i="1"/>
  <c r="CI37" i="2" s="1"/>
  <c r="EC47" i="1"/>
  <c r="EG47" i="1" s="1"/>
  <c r="CC36" i="2" s="1"/>
  <c r="CS47" i="1"/>
  <c r="CW47" i="1" s="1"/>
  <c r="BJ36" i="2" s="1"/>
  <c r="BI47" i="1"/>
  <c r="BM47" i="1" s="1"/>
  <c r="AR36" i="2" s="1"/>
  <c r="FA46" i="1"/>
  <c r="FE46" i="1" s="1"/>
  <c r="CQ35" i="2" s="1"/>
  <c r="BU46" i="1"/>
  <c r="BY46" i="1" s="1"/>
  <c r="AX35" i="2" s="1"/>
  <c r="P46" i="1"/>
  <c r="S35" i="2" s="1"/>
  <c r="M46" i="1"/>
  <c r="Q46" i="1" s="1"/>
  <c r="T35" i="2" s="1"/>
  <c r="FY45" i="1"/>
  <c r="GC45" i="1" s="1"/>
  <c r="DE34" i="2" s="1"/>
  <c r="BX45" i="1"/>
  <c r="AW34" i="2" s="1"/>
  <c r="BU45" i="1"/>
  <c r="BY45" i="1" s="1"/>
  <c r="AX34" i="2" s="1"/>
  <c r="AB45" i="1"/>
  <c r="Y34" i="2" s="1"/>
  <c r="Y45" i="1"/>
  <c r="AC45" i="1" s="1"/>
  <c r="Z34" i="2" s="1"/>
  <c r="FP44" i="1"/>
  <c r="CW33" i="2" s="1"/>
  <c r="FM44" i="1"/>
  <c r="FQ44" i="1" s="1"/>
  <c r="CX33" i="2" s="1"/>
  <c r="DT44" i="1"/>
  <c r="BU33" i="2" s="1"/>
  <c r="DQ44" i="1"/>
  <c r="DU44" i="1" s="1"/>
  <c r="BV33" i="2" s="1"/>
  <c r="FY43" i="1"/>
  <c r="GC43" i="1" s="1"/>
  <c r="DE32" i="2" s="1"/>
  <c r="DD43" i="1"/>
  <c r="DG43" i="1" s="1"/>
  <c r="BN32" i="2" s="1"/>
  <c r="DF43" i="1"/>
  <c r="BM32" i="2" s="1"/>
  <c r="DT42" i="1"/>
  <c r="BU31" i="2" s="1"/>
  <c r="DQ42" i="1"/>
  <c r="DU42" i="1" s="1"/>
  <c r="BV31" i="2" s="1"/>
  <c r="FY41" i="1"/>
  <c r="GC41" i="1" s="1"/>
  <c r="DE30" i="2" s="1"/>
  <c r="CR47" i="1"/>
  <c r="CU47" i="1" s="1"/>
  <c r="BH36" i="2" s="1"/>
  <c r="GK46" i="1"/>
  <c r="GO46" i="1" s="1"/>
  <c r="DL35" i="2" s="1"/>
  <c r="CR46" i="1"/>
  <c r="CU46" i="1" s="1"/>
  <c r="BH35" i="2" s="1"/>
  <c r="CT46" i="1"/>
  <c r="BG35" i="2" s="1"/>
  <c r="CR45" i="1"/>
  <c r="CU45" i="1" s="1"/>
  <c r="BH34" i="2" s="1"/>
  <c r="CT45" i="1"/>
  <c r="BG34" i="2" s="1"/>
  <c r="AV45" i="1"/>
  <c r="AY45" i="1" s="1"/>
  <c r="AJ34" i="2" s="1"/>
  <c r="AX45" i="1"/>
  <c r="AI34" i="2" s="1"/>
  <c r="GJ44" i="1"/>
  <c r="GM44" i="1" s="1"/>
  <c r="DJ33" i="2" s="1"/>
  <c r="GL44" i="1"/>
  <c r="DI33" i="2" s="1"/>
  <c r="EN44" i="1"/>
  <c r="EQ44" i="1" s="1"/>
  <c r="CH33" i="2" s="1"/>
  <c r="EP44" i="1"/>
  <c r="CG33" i="2" s="1"/>
  <c r="AK44" i="1"/>
  <c r="AO44" i="1" s="1"/>
  <c r="AF33" i="2" s="1"/>
  <c r="EZ43" i="1"/>
  <c r="FC43" i="1" s="1"/>
  <c r="CO32" i="2" s="1"/>
  <c r="FB43" i="1"/>
  <c r="CN32" i="2" s="1"/>
  <c r="FP42" i="1"/>
  <c r="CW31" i="2" s="1"/>
  <c r="FM42" i="1"/>
  <c r="FQ42" i="1" s="1"/>
  <c r="CX31" i="2" s="1"/>
  <c r="FD45" i="1"/>
  <c r="CP34" i="2" s="1"/>
  <c r="FA45" i="1"/>
  <c r="FE45" i="1" s="1"/>
  <c r="CQ34" i="2" s="1"/>
  <c r="L44" i="1"/>
  <c r="O44" i="1" s="1"/>
  <c r="R33" i="2" s="1"/>
  <c r="N44" i="1"/>
  <c r="Q33" i="2" s="1"/>
  <c r="AB43" i="1"/>
  <c r="Y32" i="2" s="1"/>
  <c r="Y43" i="1"/>
  <c r="AC43" i="1" s="1"/>
  <c r="Z32" i="2" s="1"/>
  <c r="FY40" i="1"/>
  <c r="GC40" i="1" s="1"/>
  <c r="DE29" i="2" s="1"/>
  <c r="GB40" i="1"/>
  <c r="DD29" i="2" s="1"/>
  <c r="GJ46" i="1"/>
  <c r="GM46" i="1" s="1"/>
  <c r="DJ35" i="2" s="1"/>
  <c r="GL46" i="1"/>
  <c r="DI35" i="2" s="1"/>
  <c r="AV46" i="1"/>
  <c r="AY46" i="1" s="1"/>
  <c r="AJ35" i="2" s="1"/>
  <c r="AX46" i="1"/>
  <c r="AI35" i="2" s="1"/>
  <c r="BH44" i="1"/>
  <c r="BK44" i="1" s="1"/>
  <c r="AP33" i="2" s="1"/>
  <c r="BJ44" i="1"/>
  <c r="AO33" i="2" s="1"/>
  <c r="BX43" i="1"/>
  <c r="AW32" i="2" s="1"/>
  <c r="BU43" i="1"/>
  <c r="BY43" i="1" s="1"/>
  <c r="AX32" i="2" s="1"/>
  <c r="BH42" i="1"/>
  <c r="BK42" i="1" s="1"/>
  <c r="AP31" i="2" s="1"/>
  <c r="BJ42" i="1"/>
  <c r="AO31" i="2" s="1"/>
  <c r="EP40" i="1"/>
  <c r="CG29" i="2" s="1"/>
  <c r="AK40" i="1"/>
  <c r="AO40" i="1" s="1"/>
  <c r="AF29" i="2" s="1"/>
  <c r="AN40" i="1"/>
  <c r="AE29" i="2" s="1"/>
  <c r="EP39" i="1"/>
  <c r="CG28" i="2" s="1"/>
  <c r="AK39" i="1"/>
  <c r="AO39" i="1" s="1"/>
  <c r="AF28" i="2" s="1"/>
  <c r="AN39" i="1"/>
  <c r="AE28" i="2" s="1"/>
  <c r="EP38" i="1"/>
  <c r="CG27" i="2" s="1"/>
  <c r="EC37" i="1"/>
  <c r="EG37" i="1" s="1"/>
  <c r="CC26" i="2" s="1"/>
  <c r="EF37" i="1"/>
  <c r="CB26" i="2" s="1"/>
  <c r="BI35" i="1"/>
  <c r="BM35" i="1" s="1"/>
  <c r="AR24" i="2" s="1"/>
  <c r="BL35" i="1"/>
  <c r="AQ24" i="2" s="1"/>
  <c r="FA34" i="1"/>
  <c r="FE34" i="1" s="1"/>
  <c r="CQ23" i="2" s="1"/>
  <c r="FD34" i="1"/>
  <c r="CP23" i="2" s="1"/>
  <c r="DQ32" i="1"/>
  <c r="DU32" i="1" s="1"/>
  <c r="BV21" i="2" s="1"/>
  <c r="DT32" i="1"/>
  <c r="BU21" i="2" s="1"/>
  <c r="N29" i="1"/>
  <c r="Q18" i="2" s="1"/>
  <c r="L29" i="1"/>
  <c r="O29" i="1" s="1"/>
  <c r="R18" i="2" s="1"/>
  <c r="CT44" i="1"/>
  <c r="BG33" i="2" s="1"/>
  <c r="AX44" i="1"/>
  <c r="AI33" i="2" s="1"/>
  <c r="GL43" i="1"/>
  <c r="DI32" i="2" s="1"/>
  <c r="EP43" i="1"/>
  <c r="CG32" i="2" s="1"/>
  <c r="CT43" i="1"/>
  <c r="BG32" i="2" s="1"/>
  <c r="AX43" i="1"/>
  <c r="AI32" i="2" s="1"/>
  <c r="GL42" i="1"/>
  <c r="DI31" i="2" s="1"/>
  <c r="EP42" i="1"/>
  <c r="CG31" i="2" s="1"/>
  <c r="CT42" i="1"/>
  <c r="BG31" i="2" s="1"/>
  <c r="AX42" i="1"/>
  <c r="AI31" i="2" s="1"/>
  <c r="GL41" i="1"/>
  <c r="DI30" i="2" s="1"/>
  <c r="EP41" i="1"/>
  <c r="CG30" i="2" s="1"/>
  <c r="CT41" i="1"/>
  <c r="BG30" i="2" s="1"/>
  <c r="FZ40" i="1"/>
  <c r="DB29" i="2" s="1"/>
  <c r="DP40" i="1"/>
  <c r="DS40" i="1" s="1"/>
  <c r="BT29" i="2" s="1"/>
  <c r="DR40" i="1"/>
  <c r="BS29" i="2" s="1"/>
  <c r="FZ39" i="1"/>
  <c r="DB28" i="2" s="1"/>
  <c r="DP39" i="1"/>
  <c r="DS39" i="1" s="1"/>
  <c r="BT28" i="2" s="1"/>
  <c r="DR39" i="1"/>
  <c r="BS28" i="2" s="1"/>
  <c r="FZ38" i="1"/>
  <c r="DB27" i="2" s="1"/>
  <c r="DP38" i="1"/>
  <c r="DS38" i="1" s="1"/>
  <c r="BT27" i="2" s="1"/>
  <c r="DR38" i="1"/>
  <c r="BS27" i="2" s="1"/>
  <c r="AZ38" i="1"/>
  <c r="AK27" i="2" s="1"/>
  <c r="CG37" i="1"/>
  <c r="CK37" i="1" s="1"/>
  <c r="BD26" i="2" s="1"/>
  <c r="CJ37" i="1"/>
  <c r="BC26" i="2" s="1"/>
  <c r="FA35" i="1"/>
  <c r="FE35" i="1" s="1"/>
  <c r="CQ24" i="2" s="1"/>
  <c r="FD35" i="1"/>
  <c r="CP24" i="2" s="1"/>
  <c r="BI34" i="1"/>
  <c r="BM34" i="1" s="1"/>
  <c r="AR23" i="2" s="1"/>
  <c r="BL34" i="1"/>
  <c r="AQ23" i="2" s="1"/>
  <c r="FY39" i="1"/>
  <c r="GC39" i="1" s="1"/>
  <c r="DE28" i="2" s="1"/>
  <c r="GB39" i="1"/>
  <c r="DD28" i="2" s="1"/>
  <c r="FY38" i="1"/>
  <c r="GC38" i="1" s="1"/>
  <c r="DE27" i="2" s="1"/>
  <c r="GB38" i="1"/>
  <c r="DD27" i="2" s="1"/>
  <c r="BT38" i="1"/>
  <c r="BW38" i="1" s="1"/>
  <c r="AV27" i="2" s="1"/>
  <c r="BV38" i="1"/>
  <c r="AU27" i="2" s="1"/>
  <c r="AK37" i="1"/>
  <c r="AO37" i="1" s="1"/>
  <c r="AF26" i="2" s="1"/>
  <c r="AN37" i="1"/>
  <c r="AE26" i="2" s="1"/>
  <c r="BI36" i="1"/>
  <c r="BM36" i="1" s="1"/>
  <c r="AR25" i="2" s="1"/>
  <c r="BL36" i="1"/>
  <c r="AQ25" i="2" s="1"/>
  <c r="CF35" i="1"/>
  <c r="CI35" i="1" s="1"/>
  <c r="BB24" i="2" s="1"/>
  <c r="CH35" i="1"/>
  <c r="BA24" i="2" s="1"/>
  <c r="DP33" i="1"/>
  <c r="DS33" i="1" s="1"/>
  <c r="BT22" i="2" s="1"/>
  <c r="DR33" i="1"/>
  <c r="BS22" i="2" s="1"/>
  <c r="GN31" i="1"/>
  <c r="DK20" i="2" s="1"/>
  <c r="GK31" i="1"/>
  <c r="GO31" i="1" s="1"/>
  <c r="DL20" i="2" s="1"/>
  <c r="N42" i="1"/>
  <c r="Q31" i="2" s="1"/>
  <c r="FB41" i="1"/>
  <c r="CN30" i="2" s="1"/>
  <c r="DF41" i="1"/>
  <c r="BM30" i="2" s="1"/>
  <c r="BJ41" i="1"/>
  <c r="AO30" i="2" s="1"/>
  <c r="AW41" i="1"/>
  <c r="BA41" i="1" s="1"/>
  <c r="AL30" i="2" s="1"/>
  <c r="AZ41" i="1"/>
  <c r="AK30" i="2" s="1"/>
  <c r="ED40" i="1"/>
  <c r="BZ29" i="2" s="1"/>
  <c r="BT40" i="1"/>
  <c r="BW40" i="1" s="1"/>
  <c r="AV29" i="2" s="1"/>
  <c r="BV40" i="1"/>
  <c r="AU29" i="2" s="1"/>
  <c r="ED39" i="1"/>
  <c r="BZ28" i="2" s="1"/>
  <c r="BT39" i="1"/>
  <c r="BW39" i="1" s="1"/>
  <c r="AV28" i="2" s="1"/>
  <c r="BV39" i="1"/>
  <c r="AU28" i="2" s="1"/>
  <c r="ED38" i="1"/>
  <c r="BZ27" i="2" s="1"/>
  <c r="CR38" i="1"/>
  <c r="CU38" i="1" s="1"/>
  <c r="BH27" i="2" s="1"/>
  <c r="CT38" i="1"/>
  <c r="BG27" i="2" s="1"/>
  <c r="X38" i="1"/>
  <c r="AA38" i="1" s="1"/>
  <c r="X27" i="2" s="1"/>
  <c r="Z38" i="1"/>
  <c r="W27" i="2" s="1"/>
  <c r="ER37" i="1"/>
  <c r="CI26" i="2" s="1"/>
  <c r="FA36" i="1"/>
  <c r="FE36" i="1" s="1"/>
  <c r="CQ25" i="2" s="1"/>
  <c r="FD36" i="1"/>
  <c r="CP25" i="2" s="1"/>
  <c r="FX35" i="1"/>
  <c r="GA35" i="1" s="1"/>
  <c r="DC24" i="2" s="1"/>
  <c r="FZ35" i="1"/>
  <c r="DB24" i="2" s="1"/>
  <c r="Y35" i="1"/>
  <c r="AC35" i="1" s="1"/>
  <c r="Z24" i="2" s="1"/>
  <c r="AB35" i="1"/>
  <c r="Y24" i="2" s="1"/>
  <c r="DE45" i="1"/>
  <c r="DI45" i="1" s="1"/>
  <c r="BP34" i="2" s="1"/>
  <c r="BI45" i="1"/>
  <c r="BM45" i="1" s="1"/>
  <c r="AR34" i="2" s="1"/>
  <c r="M45" i="1"/>
  <c r="Q45" i="1" s="1"/>
  <c r="T34" i="2" s="1"/>
  <c r="FA44" i="1"/>
  <c r="FE44" i="1" s="1"/>
  <c r="CQ33" i="2" s="1"/>
  <c r="DE44" i="1"/>
  <c r="DI44" i="1" s="1"/>
  <c r="BP33" i="2" s="1"/>
  <c r="BI44" i="1"/>
  <c r="BM44" i="1" s="1"/>
  <c r="AR33" i="2" s="1"/>
  <c r="M44" i="1"/>
  <c r="Q44" i="1" s="1"/>
  <c r="T33" i="2" s="1"/>
  <c r="FA43" i="1"/>
  <c r="FE43" i="1" s="1"/>
  <c r="CQ32" i="2" s="1"/>
  <c r="DE43" i="1"/>
  <c r="DI43" i="1" s="1"/>
  <c r="BP32" i="2" s="1"/>
  <c r="BI43" i="1"/>
  <c r="BM43" i="1" s="1"/>
  <c r="AR32" i="2" s="1"/>
  <c r="M43" i="1"/>
  <c r="Q43" i="1" s="1"/>
  <c r="T32" i="2" s="1"/>
  <c r="FA42" i="1"/>
  <c r="FE42" i="1" s="1"/>
  <c r="CQ31" i="2" s="1"/>
  <c r="DE42" i="1"/>
  <c r="DI42" i="1" s="1"/>
  <c r="BP31" i="2" s="1"/>
  <c r="BI42" i="1"/>
  <c r="BM42" i="1" s="1"/>
  <c r="AR31" i="2" s="1"/>
  <c r="M42" i="1"/>
  <c r="Q42" i="1" s="1"/>
  <c r="T31" i="2" s="1"/>
  <c r="FA41" i="1"/>
  <c r="FE41" i="1" s="1"/>
  <c r="CQ30" i="2" s="1"/>
  <c r="GN40" i="1"/>
  <c r="DK29" i="2" s="1"/>
  <c r="EC40" i="1"/>
  <c r="EG40" i="1" s="1"/>
  <c r="CC29" i="2" s="1"/>
  <c r="EF40" i="1"/>
  <c r="CB29" i="2" s="1"/>
  <c r="GN39" i="1"/>
  <c r="DK28" i="2" s="1"/>
  <c r="EC39" i="1"/>
  <c r="EG39" i="1" s="1"/>
  <c r="CC28" i="2" s="1"/>
  <c r="EF39" i="1"/>
  <c r="CB28" i="2" s="1"/>
  <c r="GN38" i="1"/>
  <c r="DK27" i="2" s="1"/>
  <c r="EC38" i="1"/>
  <c r="EG38" i="1" s="1"/>
  <c r="CC27" i="2" s="1"/>
  <c r="EF38" i="1"/>
  <c r="CB27" i="2" s="1"/>
  <c r="AV38" i="1"/>
  <c r="AY38" i="1" s="1"/>
  <c r="AJ27" i="2" s="1"/>
  <c r="AX38" i="1"/>
  <c r="AI27" i="2" s="1"/>
  <c r="FL37" i="1"/>
  <c r="FO37" i="1" s="1"/>
  <c r="CV26" i="2" s="1"/>
  <c r="FN37" i="1"/>
  <c r="CU26" i="2" s="1"/>
  <c r="CF36" i="1"/>
  <c r="CI36" i="1" s="1"/>
  <c r="BB25" i="2" s="1"/>
  <c r="CH36" i="1"/>
  <c r="BA25" i="2" s="1"/>
  <c r="DQ35" i="1"/>
  <c r="DU35" i="1" s="1"/>
  <c r="BV24" i="2" s="1"/>
  <c r="DT35" i="1"/>
  <c r="BU24" i="2" s="1"/>
  <c r="X35" i="1"/>
  <c r="AA35" i="1" s="1"/>
  <c r="X24" i="2" s="1"/>
  <c r="Z35" i="1"/>
  <c r="W24" i="2" s="1"/>
  <c r="X33" i="1"/>
  <c r="AA33" i="1" s="1"/>
  <c r="X22" i="2" s="1"/>
  <c r="Z33" i="1"/>
  <c r="W22" i="2" s="1"/>
  <c r="X41" i="1"/>
  <c r="AA41" i="1" s="1"/>
  <c r="X30" i="2" s="1"/>
  <c r="Z41" i="1"/>
  <c r="W30" i="2" s="1"/>
  <c r="CH40" i="1"/>
  <c r="BA29" i="2" s="1"/>
  <c r="X40" i="1"/>
  <c r="AA40" i="1" s="1"/>
  <c r="X29" i="2" s="1"/>
  <c r="Z40" i="1"/>
  <c r="W29" i="2" s="1"/>
  <c r="CH39" i="1"/>
  <c r="BA28" i="2" s="1"/>
  <c r="X39" i="1"/>
  <c r="AA39" i="1" s="1"/>
  <c r="X28" i="2" s="1"/>
  <c r="Z39" i="1"/>
  <c r="W28" i="2" s="1"/>
  <c r="CG38" i="1"/>
  <c r="CK38" i="1" s="1"/>
  <c r="BD27" i="2" s="1"/>
  <c r="CJ38" i="1"/>
  <c r="BC27" i="2" s="1"/>
  <c r="GJ37" i="1"/>
  <c r="GM37" i="1" s="1"/>
  <c r="DJ26" i="2" s="1"/>
  <c r="GL37" i="1"/>
  <c r="DI26" i="2" s="1"/>
  <c r="DP37" i="1"/>
  <c r="DS37" i="1" s="1"/>
  <c r="BT26" i="2" s="1"/>
  <c r="DR37" i="1"/>
  <c r="BS26" i="2" s="1"/>
  <c r="FX36" i="1"/>
  <c r="GA36" i="1" s="1"/>
  <c r="DC25" i="2" s="1"/>
  <c r="FZ36" i="1"/>
  <c r="DB25" i="2" s="1"/>
  <c r="Y36" i="1"/>
  <c r="AC36" i="1" s="1"/>
  <c r="Z25" i="2" s="1"/>
  <c r="AB36" i="1"/>
  <c r="Y25" i="2" s="1"/>
  <c r="DP35" i="1"/>
  <c r="DS35" i="1" s="1"/>
  <c r="BT24" i="2" s="1"/>
  <c r="DR35" i="1"/>
  <c r="BS24" i="2" s="1"/>
  <c r="DP34" i="1"/>
  <c r="DS34" i="1" s="1"/>
  <c r="BT23" i="2" s="1"/>
  <c r="DR34" i="1"/>
  <c r="BS23" i="2" s="1"/>
  <c r="DQ41" i="1"/>
  <c r="DU41" i="1" s="1"/>
  <c r="BV30" i="2" s="1"/>
  <c r="BU41" i="1"/>
  <c r="BY41" i="1" s="1"/>
  <c r="AX30" i="2" s="1"/>
  <c r="AL41" i="1"/>
  <c r="AC30" i="2" s="1"/>
  <c r="GL40" i="1"/>
  <c r="DI29" i="2" s="1"/>
  <c r="ER40" i="1"/>
  <c r="CI29" i="2" s="1"/>
  <c r="CG40" i="1"/>
  <c r="CK40" i="1" s="1"/>
  <c r="BD29" i="2" s="1"/>
  <c r="CJ40" i="1"/>
  <c r="BC29" i="2" s="1"/>
  <c r="GL39" i="1"/>
  <c r="DI28" i="2" s="1"/>
  <c r="CG39" i="1"/>
  <c r="CK39" i="1" s="1"/>
  <c r="BD28" i="2" s="1"/>
  <c r="CJ39" i="1"/>
  <c r="BC28" i="2" s="1"/>
  <c r="GL38" i="1"/>
  <c r="DI27" i="2" s="1"/>
  <c r="AK38" i="1"/>
  <c r="AO38" i="1" s="1"/>
  <c r="AF27" i="2" s="1"/>
  <c r="AN38" i="1"/>
  <c r="AE27" i="2" s="1"/>
  <c r="BT37" i="1"/>
  <c r="BW37" i="1" s="1"/>
  <c r="AV26" i="2" s="1"/>
  <c r="BV37" i="1"/>
  <c r="AU26" i="2" s="1"/>
  <c r="DQ36" i="1"/>
  <c r="DU36" i="1" s="1"/>
  <c r="BV25" i="2" s="1"/>
  <c r="DT36" i="1"/>
  <c r="BU25" i="2" s="1"/>
  <c r="X36" i="1"/>
  <c r="AA36" i="1" s="1"/>
  <c r="X25" i="2" s="1"/>
  <c r="Z36" i="1"/>
  <c r="W25" i="2" s="1"/>
  <c r="AK41" i="1"/>
  <c r="AO41" i="1" s="1"/>
  <c r="AF30" i="2" s="1"/>
  <c r="AN41" i="1"/>
  <c r="AE30" i="2" s="1"/>
  <c r="FL40" i="1"/>
  <c r="FO40" i="1" s="1"/>
  <c r="CV29" i="2" s="1"/>
  <c r="FN40" i="1"/>
  <c r="CU29" i="2" s="1"/>
  <c r="FL39" i="1"/>
  <c r="FO39" i="1" s="1"/>
  <c r="CV28" i="2" s="1"/>
  <c r="FN39" i="1"/>
  <c r="CU28" i="2" s="1"/>
  <c r="FL38" i="1"/>
  <c r="FO38" i="1" s="1"/>
  <c r="CV27" i="2" s="1"/>
  <c r="FN38" i="1"/>
  <c r="CU27" i="2" s="1"/>
  <c r="FY37" i="1"/>
  <c r="GC37" i="1" s="1"/>
  <c r="DE26" i="2" s="1"/>
  <c r="GB37" i="1"/>
  <c r="DD26" i="2" s="1"/>
  <c r="X37" i="1"/>
  <c r="AA37" i="1" s="1"/>
  <c r="X26" i="2" s="1"/>
  <c r="Z37" i="1"/>
  <c r="W26" i="2" s="1"/>
  <c r="DP36" i="1"/>
  <c r="DS36" i="1" s="1"/>
  <c r="BT25" i="2" s="1"/>
  <c r="DR36" i="1"/>
  <c r="BS25" i="2" s="1"/>
  <c r="X34" i="1"/>
  <c r="AA34" i="1" s="1"/>
  <c r="X23" i="2" s="1"/>
  <c r="Z34" i="1"/>
  <c r="W23" i="2" s="1"/>
  <c r="EP37" i="1"/>
  <c r="CG26" i="2" s="1"/>
  <c r="CT37" i="1"/>
  <c r="BG26" i="2" s="1"/>
  <c r="AX37" i="1"/>
  <c r="AI26" i="2" s="1"/>
  <c r="FP36" i="1"/>
  <c r="CW25" i="2" s="1"/>
  <c r="ED36" i="1"/>
  <c r="BZ25" i="2" s="1"/>
  <c r="BX36" i="1"/>
  <c r="AW25" i="2" s="1"/>
  <c r="AL36" i="1"/>
  <c r="AC25" i="2" s="1"/>
  <c r="FP35" i="1"/>
  <c r="CW24" i="2" s="1"/>
  <c r="ED35" i="1"/>
  <c r="BZ24" i="2" s="1"/>
  <c r="BX35" i="1"/>
  <c r="AW24" i="2" s="1"/>
  <c r="AL35" i="1"/>
  <c r="AC24" i="2" s="1"/>
  <c r="AL33" i="1"/>
  <c r="AC22" i="2" s="1"/>
  <c r="CT32" i="1"/>
  <c r="BG21" i="2" s="1"/>
  <c r="CR32" i="1"/>
  <c r="CU32" i="1" s="1"/>
  <c r="BH21" i="2" s="1"/>
  <c r="AK32" i="1"/>
  <c r="AO32" i="1" s="1"/>
  <c r="AF21" i="2" s="1"/>
  <c r="AN32" i="1"/>
  <c r="AE21" i="2" s="1"/>
  <c r="DQ29" i="1"/>
  <c r="DU29" i="1" s="1"/>
  <c r="BV18" i="2" s="1"/>
  <c r="DT29" i="1"/>
  <c r="BU18" i="2" s="1"/>
  <c r="DH32" i="1"/>
  <c r="BO21" i="2" s="1"/>
  <c r="AL32" i="1"/>
  <c r="AC21" i="2" s="1"/>
  <c r="AJ32" i="1"/>
  <c r="AM32" i="1" s="1"/>
  <c r="AD21" i="2" s="1"/>
  <c r="FY31" i="1"/>
  <c r="GC31" i="1" s="1"/>
  <c r="DE20" i="2" s="1"/>
  <c r="GB31" i="1"/>
  <c r="DD20" i="2" s="1"/>
  <c r="FD31" i="1"/>
  <c r="CP20" i="2" s="1"/>
  <c r="DQ26" i="1"/>
  <c r="DU26" i="1" s="1"/>
  <c r="BV15" i="2" s="1"/>
  <c r="DT26" i="1"/>
  <c r="BU15" i="2" s="1"/>
  <c r="DF32" i="1"/>
  <c r="BM21" i="2" s="1"/>
  <c r="DD32" i="1"/>
  <c r="DG32" i="1" s="1"/>
  <c r="BN21" i="2" s="1"/>
  <c r="FZ31" i="1"/>
  <c r="DB20" i="2" s="1"/>
  <c r="FX31" i="1"/>
  <c r="GA31" i="1" s="1"/>
  <c r="DC20" i="2" s="1"/>
  <c r="EC31" i="1"/>
  <c r="EG31" i="1" s="1"/>
  <c r="CC20" i="2" s="1"/>
  <c r="EF31" i="1"/>
  <c r="CB20" i="2" s="1"/>
  <c r="DE31" i="1"/>
  <c r="DI31" i="1" s="1"/>
  <c r="BP20" i="2" s="1"/>
  <c r="CG31" i="1"/>
  <c r="CK31" i="1" s="1"/>
  <c r="BD20" i="2" s="1"/>
  <c r="CJ31" i="1"/>
  <c r="BC20" i="2" s="1"/>
  <c r="BI31" i="1"/>
  <c r="BM31" i="1" s="1"/>
  <c r="AR20" i="2" s="1"/>
  <c r="AK31" i="1"/>
  <c r="AO31" i="1" s="1"/>
  <c r="AF20" i="2" s="1"/>
  <c r="AN31" i="1"/>
  <c r="AE20" i="2" s="1"/>
  <c r="M31" i="1"/>
  <c r="Q31" i="1" s="1"/>
  <c r="T20" i="2" s="1"/>
  <c r="N30" i="1"/>
  <c r="Q19" i="2" s="1"/>
  <c r="L30" i="1"/>
  <c r="O30" i="1" s="1"/>
  <c r="R19" i="2" s="1"/>
  <c r="FZ34" i="1"/>
  <c r="DB23" i="2" s="1"/>
  <c r="DT34" i="1"/>
  <c r="BU23" i="2" s="1"/>
  <c r="CH34" i="1"/>
  <c r="BA23" i="2" s="1"/>
  <c r="FZ33" i="1"/>
  <c r="DB22" i="2" s="1"/>
  <c r="CH33" i="1"/>
  <c r="BA22" i="2" s="1"/>
  <c r="BU30" i="1"/>
  <c r="BY30" i="1" s="1"/>
  <c r="AX19" i="2" s="1"/>
  <c r="BX30" i="1"/>
  <c r="AW19" i="2" s="1"/>
  <c r="FP30" i="1"/>
  <c r="CW19" i="2" s="1"/>
  <c r="EC28" i="1"/>
  <c r="EG28" i="1" s="1"/>
  <c r="CC17" i="2" s="1"/>
  <c r="EF28" i="1"/>
  <c r="CB17" i="2" s="1"/>
  <c r="BU28" i="1"/>
  <c r="BY28" i="1" s="1"/>
  <c r="AX17" i="2" s="1"/>
  <c r="BX28" i="1"/>
  <c r="AW17" i="2" s="1"/>
  <c r="EZ31" i="1"/>
  <c r="FC31" i="1" s="1"/>
  <c r="CO20" i="2" s="1"/>
  <c r="DD31" i="1"/>
  <c r="DG31" i="1" s="1"/>
  <c r="BN20" i="2" s="1"/>
  <c r="BH31" i="1"/>
  <c r="BK31" i="1" s="1"/>
  <c r="AP20" i="2" s="1"/>
  <c r="L31" i="1"/>
  <c r="O31" i="1" s="1"/>
  <c r="R20" i="2" s="1"/>
  <c r="FB30" i="1"/>
  <c r="CN19" i="2" s="1"/>
  <c r="EZ30" i="1"/>
  <c r="FC30" i="1" s="1"/>
  <c r="CO19" i="2" s="1"/>
  <c r="CJ30" i="1"/>
  <c r="BC19" i="2" s="1"/>
  <c r="BV30" i="1"/>
  <c r="AU19" i="2" s="1"/>
  <c r="BT30" i="1"/>
  <c r="BW30" i="1" s="1"/>
  <c r="AV19" i="2" s="1"/>
  <c r="X30" i="1"/>
  <c r="AA30" i="1" s="1"/>
  <c r="X19" i="2" s="1"/>
  <c r="CR29" i="1"/>
  <c r="CU29" i="1" s="1"/>
  <c r="BH18" i="2" s="1"/>
  <c r="CJ28" i="1"/>
  <c r="BC17" i="2" s="1"/>
  <c r="BV28" i="1"/>
  <c r="AU17" i="2" s="1"/>
  <c r="BT28" i="1"/>
  <c r="BW28" i="1" s="1"/>
  <c r="AV17" i="2" s="1"/>
  <c r="FP27" i="1"/>
  <c r="CW16" i="2" s="1"/>
  <c r="DT27" i="1"/>
  <c r="BU16" i="2" s="1"/>
  <c r="AB26" i="1"/>
  <c r="Y15" i="2" s="1"/>
  <c r="BJ29" i="1"/>
  <c r="AO18" i="2" s="1"/>
  <c r="BH29" i="1"/>
  <c r="BK29" i="1" s="1"/>
  <c r="AP18" i="2" s="1"/>
  <c r="DF28" i="1"/>
  <c r="BM17" i="2" s="1"/>
  <c r="DD28" i="1"/>
  <c r="DG28" i="1" s="1"/>
  <c r="BN17" i="2" s="1"/>
  <c r="CG25" i="1"/>
  <c r="CK25" i="1" s="1"/>
  <c r="BD14" i="2" s="1"/>
  <c r="CJ25" i="1"/>
  <c r="BC14" i="2" s="1"/>
  <c r="FX32" i="1"/>
  <c r="GA32" i="1" s="1"/>
  <c r="DC21" i="2" s="1"/>
  <c r="CF32" i="1"/>
  <c r="CI32" i="1" s="1"/>
  <c r="BB21" i="2" s="1"/>
  <c r="X32" i="1"/>
  <c r="AA32" i="1" s="1"/>
  <c r="X21" i="2" s="1"/>
  <c r="FL31" i="1"/>
  <c r="FO31" i="1" s="1"/>
  <c r="CV20" i="2" s="1"/>
  <c r="DP31" i="1"/>
  <c r="DS31" i="1" s="1"/>
  <c r="BT20" i="2" s="1"/>
  <c r="BT31" i="1"/>
  <c r="BW31" i="1" s="1"/>
  <c r="AV20" i="2" s="1"/>
  <c r="X31" i="1"/>
  <c r="AA31" i="1" s="1"/>
  <c r="X20" i="2" s="1"/>
  <c r="GB30" i="1"/>
  <c r="DD19" i="2" s="1"/>
  <c r="FN30" i="1"/>
  <c r="CU19" i="2" s="1"/>
  <c r="FL30" i="1"/>
  <c r="FO30" i="1" s="1"/>
  <c r="CV19" i="2" s="1"/>
  <c r="DP30" i="1"/>
  <c r="DS30" i="1" s="1"/>
  <c r="BT19" i="2" s="1"/>
  <c r="GJ29" i="1"/>
  <c r="GM29" i="1" s="1"/>
  <c r="DJ18" i="2" s="1"/>
  <c r="DE29" i="1"/>
  <c r="DI29" i="1" s="1"/>
  <c r="BP18" i="2" s="1"/>
  <c r="AN29" i="1"/>
  <c r="AE18" i="2" s="1"/>
  <c r="GJ28" i="1"/>
  <c r="GM28" i="1" s="1"/>
  <c r="DJ17" i="2" s="1"/>
  <c r="P27" i="1"/>
  <c r="S16" i="2" s="1"/>
  <c r="EC25" i="1"/>
  <c r="EG25" i="1" s="1"/>
  <c r="CC14" i="2" s="1"/>
  <c r="EF25" i="1"/>
  <c r="CB14" i="2" s="1"/>
  <c r="FX30" i="1"/>
  <c r="GA30" i="1" s="1"/>
  <c r="DC19" i="2" s="1"/>
  <c r="CS30" i="1"/>
  <c r="CW30" i="1" s="1"/>
  <c r="BJ19" i="2" s="1"/>
  <c r="FP29" i="1"/>
  <c r="CW18" i="2" s="1"/>
  <c r="DD29" i="1"/>
  <c r="DG29" i="1" s="1"/>
  <c r="BN18" i="2" s="1"/>
  <c r="FP28" i="1"/>
  <c r="CW17" i="2" s="1"/>
  <c r="FB28" i="1"/>
  <c r="CN17" i="2" s="1"/>
  <c r="EZ28" i="1"/>
  <c r="FC28" i="1" s="1"/>
  <c r="CO17" i="2" s="1"/>
  <c r="DP28" i="1"/>
  <c r="DS28" i="1" s="1"/>
  <c r="BT17" i="2" s="1"/>
  <c r="AB28" i="1"/>
  <c r="Y17" i="2" s="1"/>
  <c r="GB27" i="1"/>
  <c r="DD16" i="2" s="1"/>
  <c r="EF27" i="1"/>
  <c r="CB16" i="2" s="1"/>
  <c r="EB31" i="1"/>
  <c r="EE31" i="1" s="1"/>
  <c r="CA20" i="2" s="1"/>
  <c r="CF31" i="1"/>
  <c r="CI31" i="1" s="1"/>
  <c r="BB20" i="2" s="1"/>
  <c r="AJ31" i="1"/>
  <c r="AM31" i="1" s="1"/>
  <c r="AD20" i="2" s="1"/>
  <c r="CR30" i="1"/>
  <c r="CU30" i="1" s="1"/>
  <c r="BH19" i="2" s="1"/>
  <c r="M30" i="1"/>
  <c r="Q30" i="1" s="1"/>
  <c r="T19" i="2" s="1"/>
  <c r="FB29" i="1"/>
  <c r="CN18" i="2" s="1"/>
  <c r="EZ29" i="1"/>
  <c r="FC29" i="1" s="1"/>
  <c r="CO18" i="2" s="1"/>
  <c r="CJ29" i="1"/>
  <c r="BC18" i="2" s="1"/>
  <c r="BV29" i="1"/>
  <c r="AU18" i="2" s="1"/>
  <c r="BT29" i="1"/>
  <c r="BW29" i="1" s="1"/>
  <c r="AV18" i="2" s="1"/>
  <c r="CR28" i="1"/>
  <c r="CU28" i="1" s="1"/>
  <c r="BH17" i="2" s="1"/>
  <c r="BJ28" i="1"/>
  <c r="AO17" i="2" s="1"/>
  <c r="BH28" i="1"/>
  <c r="BK28" i="1" s="1"/>
  <c r="AP17" i="2" s="1"/>
  <c r="BJ30" i="1"/>
  <c r="AO19" i="2" s="1"/>
  <c r="BH30" i="1"/>
  <c r="BK30" i="1" s="1"/>
  <c r="AP19" i="2" s="1"/>
  <c r="FN29" i="1"/>
  <c r="CU18" i="2" s="1"/>
  <c r="FL29" i="1"/>
  <c r="FO29" i="1" s="1"/>
  <c r="CV18" i="2" s="1"/>
  <c r="FN28" i="1"/>
  <c r="CU17" i="2" s="1"/>
  <c r="FL28" i="1"/>
  <c r="FO28" i="1" s="1"/>
  <c r="CV17" i="2" s="1"/>
  <c r="GB26" i="1"/>
  <c r="DD15" i="2" s="1"/>
  <c r="BL26" i="1"/>
  <c r="AQ15" i="2" s="1"/>
  <c r="AK26" i="1"/>
  <c r="AO26" i="1" s="1"/>
  <c r="AF15" i="2" s="1"/>
  <c r="AN26" i="1"/>
  <c r="AE15" i="2" s="1"/>
  <c r="BU25" i="1"/>
  <c r="BY25" i="1" s="1"/>
  <c r="AX14" i="2" s="1"/>
  <c r="BX25" i="1"/>
  <c r="AW14" i="2" s="1"/>
  <c r="CJ24" i="1"/>
  <c r="BC13" i="2" s="1"/>
  <c r="GB23" i="1"/>
  <c r="DD12" i="2" s="1"/>
  <c r="CJ23" i="1"/>
  <c r="BC12" i="2" s="1"/>
  <c r="AB22" i="1"/>
  <c r="Y11" i="2" s="1"/>
  <c r="Y22" i="1"/>
  <c r="AC22" i="1" s="1"/>
  <c r="Z11" i="2" s="1"/>
  <c r="GB21" i="1"/>
  <c r="DD10" i="2" s="1"/>
  <c r="FY21" i="1"/>
  <c r="GC21" i="1" s="1"/>
  <c r="DE10" i="2" s="1"/>
  <c r="FY20" i="1"/>
  <c r="GC20" i="1" s="1"/>
  <c r="DE9" i="2" s="1"/>
  <c r="P25" i="1"/>
  <c r="S14" i="2" s="1"/>
  <c r="DH21" i="1"/>
  <c r="BO10" i="2" s="1"/>
  <c r="DE21" i="1"/>
  <c r="DI21" i="1" s="1"/>
  <c r="BP10" i="2" s="1"/>
  <c r="AB21" i="1"/>
  <c r="Y10" i="2" s="1"/>
  <c r="Y21" i="1"/>
  <c r="AC21" i="1" s="1"/>
  <c r="Z10" i="2" s="1"/>
  <c r="AZ19" i="1"/>
  <c r="AK8" i="2" s="1"/>
  <c r="AW19" i="1"/>
  <c r="BA19" i="1" s="1"/>
  <c r="AL8" i="2" s="1"/>
  <c r="BX22" i="1"/>
  <c r="AW11" i="2" s="1"/>
  <c r="BU22" i="1"/>
  <c r="BY22" i="1" s="1"/>
  <c r="AX11" i="2" s="1"/>
  <c r="BL27" i="1"/>
  <c r="AQ16" i="2" s="1"/>
  <c r="BX26" i="1"/>
  <c r="AW15" i="2" s="1"/>
  <c r="P26" i="1"/>
  <c r="S15" i="2" s="1"/>
  <c r="AB25" i="1"/>
  <c r="Y14" i="2" s="1"/>
  <c r="CG22" i="1"/>
  <c r="CK22" i="1" s="1"/>
  <c r="BD11" i="2" s="1"/>
  <c r="FD21" i="1"/>
  <c r="CP10" i="2" s="1"/>
  <c r="FA21" i="1"/>
  <c r="FE21" i="1" s="1"/>
  <c r="CQ10" i="2" s="1"/>
  <c r="EF26" i="1"/>
  <c r="CB15" i="2" s="1"/>
  <c r="FD25" i="1"/>
  <c r="CP14" i="2" s="1"/>
  <c r="FP24" i="1"/>
  <c r="CW13" i="2" s="1"/>
  <c r="DT24" i="1"/>
  <c r="BU13" i="2" s="1"/>
  <c r="BX24" i="1"/>
  <c r="AW13" i="2" s="1"/>
  <c r="AB24" i="1"/>
  <c r="Y13" i="2" s="1"/>
  <c r="FP23" i="1"/>
  <c r="CW12" i="2" s="1"/>
  <c r="DT23" i="1"/>
  <c r="BU12" i="2" s="1"/>
  <c r="BX23" i="1"/>
  <c r="AW12" i="2" s="1"/>
  <c r="AB23" i="1"/>
  <c r="Y12" i="2" s="1"/>
  <c r="FA24" i="1"/>
  <c r="FE24" i="1" s="1"/>
  <c r="CQ13" i="2" s="1"/>
  <c r="FD24" i="1"/>
  <c r="CP13" i="2" s="1"/>
  <c r="BI24" i="1"/>
  <c r="BM24" i="1" s="1"/>
  <c r="AR13" i="2" s="1"/>
  <c r="BL24" i="1"/>
  <c r="AQ13" i="2" s="1"/>
  <c r="FA23" i="1"/>
  <c r="FE23" i="1" s="1"/>
  <c r="CQ12" i="2" s="1"/>
  <c r="FD23" i="1"/>
  <c r="CP12" i="2" s="1"/>
  <c r="BI23" i="1"/>
  <c r="BM23" i="1" s="1"/>
  <c r="AR12" i="2" s="1"/>
  <c r="BL23" i="1"/>
  <c r="AQ12" i="2" s="1"/>
  <c r="P22" i="1"/>
  <c r="S11" i="2" s="1"/>
  <c r="M22" i="1"/>
  <c r="Q22" i="1" s="1"/>
  <c r="T11" i="2" s="1"/>
  <c r="FA22" i="1"/>
  <c r="FE22" i="1" s="1"/>
  <c r="CQ11" i="2" s="1"/>
  <c r="FD22" i="1"/>
  <c r="CP11" i="2" s="1"/>
  <c r="EF21" i="1"/>
  <c r="CB10" i="2" s="1"/>
  <c r="EC21" i="1"/>
  <c r="EG21" i="1" s="1"/>
  <c r="CC10" i="2" s="1"/>
  <c r="P21" i="1"/>
  <c r="S10" i="2" s="1"/>
  <c r="M21" i="1"/>
  <c r="Q21" i="1" s="1"/>
  <c r="T10" i="2" s="1"/>
  <c r="BL22" i="1"/>
  <c r="AQ11" i="2" s="1"/>
  <c r="BI22" i="1"/>
  <c r="BM22" i="1" s="1"/>
  <c r="AR11" i="2" s="1"/>
  <c r="P19" i="1"/>
  <c r="S8" i="2" s="1"/>
  <c r="M19" i="1"/>
  <c r="Q19" i="1" s="1"/>
  <c r="T8" i="2" s="1"/>
  <c r="CJ18" i="1"/>
  <c r="BC7" i="2" s="1"/>
  <c r="CG18" i="1"/>
  <c r="CK18" i="1" s="1"/>
  <c r="BD7" i="2" s="1"/>
  <c r="GB17" i="1"/>
  <c r="DD6" i="2" s="1"/>
  <c r="FY17" i="1"/>
  <c r="GC17" i="1" s="1"/>
  <c r="DE6" i="2" s="1"/>
  <c r="CJ17" i="1"/>
  <c r="BC6" i="2" s="1"/>
  <c r="CG17" i="1"/>
  <c r="CK17" i="1" s="1"/>
  <c r="BD6" i="2" s="1"/>
  <c r="GB16" i="1"/>
  <c r="DD5" i="2" s="1"/>
  <c r="FY16" i="1"/>
  <c r="GC16" i="1" s="1"/>
  <c r="DE5" i="2" s="1"/>
  <c r="CJ16" i="1"/>
  <c r="BC5" i="2" s="1"/>
  <c r="CG16" i="1"/>
  <c r="CK16" i="1" s="1"/>
  <c r="BD5" i="2" s="1"/>
  <c r="GN26" i="1"/>
  <c r="DK15" i="2" s="1"/>
  <c r="CV26" i="1"/>
  <c r="BI15" i="2" s="1"/>
  <c r="GN25" i="1"/>
  <c r="DK14" i="2" s="1"/>
  <c r="CV25" i="1"/>
  <c r="BI14" i="2" s="1"/>
  <c r="GN24" i="1"/>
  <c r="DK13" i="2" s="1"/>
  <c r="CV24" i="1"/>
  <c r="BI13" i="2" s="1"/>
  <c r="GN23" i="1"/>
  <c r="DK12" i="2" s="1"/>
  <c r="CV23" i="1"/>
  <c r="BI12" i="2" s="1"/>
  <c r="GN22" i="1"/>
  <c r="DK11" i="2" s="1"/>
  <c r="BL21" i="1"/>
  <c r="AQ10" i="2" s="1"/>
  <c r="BI21" i="1"/>
  <c r="BM21" i="1" s="1"/>
  <c r="AR10" i="2" s="1"/>
  <c r="GN18" i="1"/>
  <c r="DK7" i="2" s="1"/>
  <c r="GK18" i="1"/>
  <c r="GO18" i="1" s="1"/>
  <c r="DL7" i="2" s="1"/>
  <c r="AX18" i="1"/>
  <c r="AI7" i="2" s="1"/>
  <c r="AV18" i="1"/>
  <c r="AY18" i="1" s="1"/>
  <c r="AJ7" i="2" s="1"/>
  <c r="EP17" i="1"/>
  <c r="CG6" i="2" s="1"/>
  <c r="EN17" i="1"/>
  <c r="EQ17" i="1" s="1"/>
  <c r="CH6" i="2" s="1"/>
  <c r="AX17" i="1"/>
  <c r="AI6" i="2" s="1"/>
  <c r="AV17" i="1"/>
  <c r="AY17" i="1" s="1"/>
  <c r="AJ6" i="2" s="1"/>
  <c r="EP16" i="1"/>
  <c r="CG5" i="2" s="1"/>
  <c r="EN16" i="1"/>
  <c r="EQ16" i="1" s="1"/>
  <c r="CH5" i="2" s="1"/>
  <c r="AX16" i="1"/>
  <c r="AI5" i="2" s="1"/>
  <c r="AV16" i="1"/>
  <c r="AY16" i="1" s="1"/>
  <c r="AJ5" i="2" s="1"/>
  <c r="EP15" i="1"/>
  <c r="CG4" i="2" s="1"/>
  <c r="EN15" i="1"/>
  <c r="EQ15" i="1" s="1"/>
  <c r="CH4" i="2" s="1"/>
  <c r="ER18" i="1"/>
  <c r="CI7" i="2" s="1"/>
  <c r="EO18" i="1"/>
  <c r="ES18" i="1" s="1"/>
  <c r="CJ7" i="2" s="1"/>
  <c r="GB15" i="1"/>
  <c r="DD4" i="2" s="1"/>
  <c r="FY15" i="1"/>
  <c r="GC15" i="1" s="1"/>
  <c r="DE4" i="2" s="1"/>
  <c r="CJ15" i="1"/>
  <c r="BC4" i="2" s="1"/>
  <c r="CG15" i="1"/>
  <c r="CK15" i="1" s="1"/>
  <c r="BD4" i="2" s="1"/>
  <c r="GB14" i="1"/>
  <c r="DD3" i="2" s="1"/>
  <c r="FY14" i="1"/>
  <c r="GC14" i="1" s="1"/>
  <c r="DE3" i="2" s="1"/>
  <c r="CJ14" i="1"/>
  <c r="BC3" i="2" s="1"/>
  <c r="CG14" i="1"/>
  <c r="CK14" i="1" s="1"/>
  <c r="BD3" i="2" s="1"/>
  <c r="AX15" i="1"/>
  <c r="AI4" i="2" s="1"/>
  <c r="AV15" i="1"/>
  <c r="AY15" i="1" s="1"/>
  <c r="AJ4" i="2" s="1"/>
  <c r="EP14" i="1"/>
  <c r="CG3" i="2" s="1"/>
  <c r="EN14" i="1"/>
  <c r="EQ14" i="1" s="1"/>
  <c r="CH3" i="2" s="1"/>
  <c r="AX14" i="1"/>
  <c r="AI3" i="2" s="1"/>
  <c r="AV14" i="1"/>
  <c r="AY14" i="1" s="1"/>
  <c r="AJ3" i="2" s="1"/>
  <c r="AX19" i="1"/>
  <c r="AI8" i="2" s="1"/>
  <c r="AV19" i="1"/>
  <c r="AY19" i="1" s="1"/>
  <c r="AJ8" i="2" s="1"/>
  <c r="AK19" i="1"/>
  <c r="AO19" i="1" s="1"/>
  <c r="AF8" i="2" s="1"/>
  <c r="FY18" i="1"/>
  <c r="GC18" i="1" s="1"/>
  <c r="DE7" i="2" s="1"/>
  <c r="EC18" i="1"/>
  <c r="EG18" i="1" s="1"/>
  <c r="CC7" i="2" s="1"/>
  <c r="CR18" i="1"/>
  <c r="CU18" i="1" s="1"/>
  <c r="BH7" i="2" s="1"/>
  <c r="AK18" i="1"/>
  <c r="AO18" i="1" s="1"/>
  <c r="AF7" i="2" s="1"/>
  <c r="GJ17" i="1"/>
  <c r="GM17" i="1" s="1"/>
  <c r="DJ6" i="2" s="1"/>
  <c r="EC17" i="1"/>
  <c r="EG17" i="1" s="1"/>
  <c r="CC6" i="2" s="1"/>
  <c r="CR17" i="1"/>
  <c r="CU17" i="1" s="1"/>
  <c r="BH6" i="2" s="1"/>
  <c r="AK17" i="1"/>
  <c r="AO17" i="1" s="1"/>
  <c r="AF6" i="2" s="1"/>
  <c r="GJ16" i="1"/>
  <c r="GM16" i="1" s="1"/>
  <c r="DJ5" i="2" s="1"/>
  <c r="EC16" i="1"/>
  <c r="EG16" i="1" s="1"/>
  <c r="CC5" i="2" s="1"/>
  <c r="CR16" i="1"/>
  <c r="CU16" i="1" s="1"/>
  <c r="BH5" i="2" s="1"/>
  <c r="AK16" i="1"/>
  <c r="AO16" i="1" s="1"/>
  <c r="AF5" i="2" s="1"/>
  <c r="GJ15" i="1"/>
  <c r="GM15" i="1" s="1"/>
  <c r="DJ4" i="2" s="1"/>
  <c r="EC15" i="1"/>
  <c r="EG15" i="1" s="1"/>
  <c r="CC4" i="2" s="1"/>
  <c r="CR15" i="1"/>
  <c r="CU15" i="1" s="1"/>
  <c r="BH4" i="2" s="1"/>
  <c r="AK15" i="1"/>
  <c r="AO15" i="1" s="1"/>
  <c r="AF4" i="2" s="1"/>
  <c r="GJ14" i="1"/>
  <c r="GM14" i="1" s="1"/>
  <c r="DJ3" i="2" s="1"/>
  <c r="EC14" i="1"/>
  <c r="EG14" i="1" s="1"/>
  <c r="CC3" i="2" s="1"/>
  <c r="CR14" i="1"/>
  <c r="CU14" i="1" s="1"/>
  <c r="BH3" i="2" s="1"/>
  <c r="AK14" i="1"/>
  <c r="AO14" i="1" s="1"/>
  <c r="AF3" i="2" s="1"/>
  <c r="AJ19" i="1"/>
  <c r="AM19" i="1" s="1"/>
  <c r="AD8" i="2" s="1"/>
  <c r="FX18" i="1"/>
  <c r="GA18" i="1" s="1"/>
  <c r="DC7" i="2" s="1"/>
  <c r="EB18" i="1"/>
  <c r="EE18" i="1" s="1"/>
  <c r="CA7" i="2" s="1"/>
  <c r="BU18" i="1"/>
  <c r="BY18" i="1" s="1"/>
  <c r="AX7" i="2" s="1"/>
  <c r="AJ18" i="1"/>
  <c r="AM18" i="1" s="1"/>
  <c r="AD7" i="2" s="1"/>
  <c r="FM17" i="1"/>
  <c r="FQ17" i="1" s="1"/>
  <c r="CX6" i="2" s="1"/>
  <c r="EB17" i="1"/>
  <c r="EE17" i="1" s="1"/>
  <c r="CA6" i="2" s="1"/>
  <c r="BU17" i="1"/>
  <c r="BY17" i="1" s="1"/>
  <c r="AX6" i="2" s="1"/>
  <c r="AJ17" i="1"/>
  <c r="AM17" i="1" s="1"/>
  <c r="AD6" i="2" s="1"/>
  <c r="FM16" i="1"/>
  <c r="FQ16" i="1" s="1"/>
  <c r="CX5" i="2" s="1"/>
  <c r="EB16" i="1"/>
  <c r="EE16" i="1" s="1"/>
  <c r="CA5" i="2" s="1"/>
  <c r="BU16" i="1"/>
  <c r="BY16" i="1" s="1"/>
  <c r="AX5" i="2" s="1"/>
  <c r="AJ16" i="1"/>
  <c r="AM16" i="1" s="1"/>
  <c r="AD5" i="2" s="1"/>
  <c r="FM15" i="1"/>
  <c r="FQ15" i="1" s="1"/>
  <c r="CX4" i="2" s="1"/>
  <c r="EB15" i="1"/>
  <c r="EE15" i="1" s="1"/>
  <c r="CA4" i="2" s="1"/>
  <c r="BU15" i="1"/>
  <c r="BY15" i="1" s="1"/>
  <c r="AX4" i="2" s="1"/>
  <c r="AJ15" i="1"/>
  <c r="AM15" i="1" s="1"/>
  <c r="AD4" i="2" s="1"/>
  <c r="FM14" i="1"/>
  <c r="FQ14" i="1" s="1"/>
  <c r="CX3" i="2" s="1"/>
  <c r="EB14" i="1"/>
  <c r="EE14" i="1" s="1"/>
  <c r="CA3" i="2" s="1"/>
  <c r="BU14" i="1"/>
  <c r="BY14" i="1" s="1"/>
  <c r="AX3" i="2" s="1"/>
  <c r="AJ14" i="1"/>
  <c r="AM14" i="1" s="1"/>
  <c r="AD3" i="2" s="1"/>
  <c r="DE18" i="1"/>
  <c r="DI18" i="1" s="1"/>
  <c r="BP7" i="2" s="1"/>
  <c r="BT18" i="1"/>
  <c r="BW18" i="1" s="1"/>
  <c r="AV7" i="2" s="1"/>
  <c r="M18" i="1"/>
  <c r="Q18" i="1" s="1"/>
  <c r="T7" i="2" s="1"/>
  <c r="FL17" i="1"/>
  <c r="FO17" i="1" s="1"/>
  <c r="CV6" i="2" s="1"/>
  <c r="DE17" i="1"/>
  <c r="DI17" i="1" s="1"/>
  <c r="BP6" i="2" s="1"/>
  <c r="BT17" i="1"/>
  <c r="BW17" i="1" s="1"/>
  <c r="AV6" i="2" s="1"/>
  <c r="M17" i="1"/>
  <c r="Q17" i="1" s="1"/>
  <c r="T6" i="2" s="1"/>
  <c r="FL16" i="1"/>
  <c r="FO16" i="1" s="1"/>
  <c r="CV5" i="2" s="1"/>
  <c r="DE16" i="1"/>
  <c r="DI16" i="1" s="1"/>
  <c r="BP5" i="2" s="1"/>
  <c r="BT16" i="1"/>
  <c r="BW16" i="1" s="1"/>
  <c r="AV5" i="2" s="1"/>
  <c r="M16" i="1"/>
  <c r="Q16" i="1" s="1"/>
  <c r="T5" i="2" s="1"/>
  <c r="FL15" i="1"/>
  <c r="FO15" i="1" s="1"/>
  <c r="CV4" i="2" s="1"/>
  <c r="DE15" i="1"/>
  <c r="DI15" i="1" s="1"/>
  <c r="BP4" i="2" s="1"/>
  <c r="BT15" i="1"/>
  <c r="BW15" i="1" s="1"/>
  <c r="AV4" i="2" s="1"/>
  <c r="M15" i="1"/>
  <c r="Q15" i="1" s="1"/>
  <c r="T4" i="2" s="1"/>
  <c r="FL14" i="1"/>
  <c r="FO14" i="1" s="1"/>
  <c r="CV3" i="2" s="1"/>
  <c r="DE14" i="1"/>
  <c r="DI14" i="1" s="1"/>
  <c r="BP3" i="2" s="1"/>
  <c r="BT14" i="1"/>
  <c r="BW14" i="1" s="1"/>
  <c r="AV3" i="2" s="1"/>
  <c r="M14" i="1"/>
  <c r="Q14" i="1" s="1"/>
  <c r="T3" i="2" s="1"/>
  <c r="GJ18" i="1"/>
  <c r="GM18" i="1" s="1"/>
  <c r="DJ7" i="2" s="1"/>
  <c r="EN18" i="1"/>
  <c r="EQ18" i="1" s="1"/>
  <c r="CH7" i="2" s="1"/>
  <c r="DD18" i="1"/>
  <c r="DG18" i="1" s="1"/>
  <c r="BN7" i="2" s="1"/>
  <c r="AW18" i="1"/>
  <c r="BA18" i="1" s="1"/>
  <c r="AL7" i="2" s="1"/>
  <c r="L18" i="1"/>
  <c r="O18" i="1" s="1"/>
  <c r="R7" i="2" s="1"/>
  <c r="EO17" i="1"/>
  <c r="ES17" i="1" s="1"/>
  <c r="CJ6" i="2" s="1"/>
  <c r="DD17" i="1"/>
  <c r="DG17" i="1" s="1"/>
  <c r="BN6" i="2" s="1"/>
  <c r="AW17" i="1"/>
  <c r="BA17" i="1" s="1"/>
  <c r="AL6" i="2" s="1"/>
  <c r="L17" i="1"/>
  <c r="O17" i="1" s="1"/>
  <c r="R6" i="2" s="1"/>
  <c r="EO16" i="1"/>
  <c r="ES16" i="1" s="1"/>
  <c r="CJ5" i="2" s="1"/>
  <c r="DD16" i="1"/>
  <c r="DG16" i="1" s="1"/>
  <c r="BN5" i="2" s="1"/>
  <c r="AW16" i="1"/>
  <c r="BA16" i="1" s="1"/>
  <c r="AL5" i="2" s="1"/>
  <c r="L16" i="1"/>
  <c r="O16" i="1" s="1"/>
  <c r="R5" i="2" s="1"/>
  <c r="EO15" i="1"/>
  <c r="ES15" i="1" s="1"/>
  <c r="CJ4" i="2" s="1"/>
  <c r="DD15" i="1"/>
  <c r="DG15" i="1" s="1"/>
  <c r="BN4" i="2" s="1"/>
  <c r="AW15" i="1"/>
  <c r="BA15" i="1" s="1"/>
  <c r="AL4" i="2" s="1"/>
  <c r="L15" i="1"/>
  <c r="O15" i="1" s="1"/>
  <c r="R4" i="2" s="1"/>
  <c r="EO14" i="1"/>
  <c r="ES14" i="1" s="1"/>
  <c r="CJ3" i="2" s="1"/>
  <c r="DD14" i="1"/>
  <c r="DG14" i="1" s="1"/>
  <c r="BN3" i="2" s="1"/>
  <c r="AW14" i="1"/>
  <c r="BA14" i="1" s="1"/>
  <c r="AL3" i="2" s="1"/>
  <c r="L14" i="1"/>
  <c r="O14" i="1" s="1"/>
  <c r="R3" i="2" s="1"/>
  <c r="GJ13" i="1"/>
  <c r="GM13" i="1" s="1"/>
  <c r="GK13" i="1"/>
  <c r="GO13" i="1" s="1"/>
  <c r="FX13" i="1"/>
  <c r="GA13" i="1" s="1"/>
  <c r="FL13" i="1"/>
  <c r="FO13" i="1" s="1"/>
  <c r="EZ13" i="1"/>
  <c r="FC13" i="1" s="1"/>
  <c r="EN13" i="1"/>
  <c r="EQ13" i="1" s="1"/>
  <c r="EB13" i="1"/>
  <c r="EE13" i="1" s="1"/>
  <c r="EC13" i="1"/>
  <c r="EG13" i="1" s="1"/>
  <c r="DP13" i="1"/>
  <c r="DS13" i="1" s="1"/>
  <c r="CR13" i="1"/>
  <c r="CU13" i="1" s="1"/>
  <c r="CJ13" i="1"/>
  <c r="BX13" i="1"/>
  <c r="BI13" i="1"/>
  <c r="BM13" i="1" s="1"/>
  <c r="AW13" i="1"/>
  <c r="BA13" i="1" s="1"/>
  <c r="AN13" i="1"/>
  <c r="AB13" i="1"/>
  <c r="HI55" i="1"/>
  <c r="IC61" i="1"/>
  <c r="IE59" i="1"/>
  <c r="HG59" i="1"/>
  <c r="HG60" i="1"/>
  <c r="HF62" i="1"/>
  <c r="IE57" i="1"/>
  <c r="ID60" i="1"/>
  <c r="IB62" i="1"/>
  <c r="ID62" i="1"/>
  <c r="HH61" i="1"/>
  <c r="IE61" i="1"/>
  <c r="IC60" i="1"/>
  <c r="ID57" i="1"/>
  <c r="HG62" i="1"/>
  <c r="HI61" i="1"/>
  <c r="IB60" i="1"/>
  <c r="HH60" i="1"/>
  <c r="IB58" i="1"/>
  <c r="HH56" i="1"/>
  <c r="HG56" i="1"/>
  <c r="ID59" i="1"/>
  <c r="HH59" i="1"/>
  <c r="IC57" i="1"/>
  <c r="HH54" i="1"/>
  <c r="IC62" i="1"/>
  <c r="HF57" i="1"/>
  <c r="IB57" i="1"/>
  <c r="IC50" i="1"/>
  <c r="HG61" i="1"/>
  <c r="HH57" i="1"/>
  <c r="IB54" i="1"/>
  <c r="HI51" i="1"/>
  <c r="IB55" i="1"/>
  <c r="HH51" i="1"/>
  <c r="IC58" i="1"/>
  <c r="IE62" i="1"/>
  <c r="ID61" i="1"/>
  <c r="IE60" i="1"/>
  <c r="HG57" i="1"/>
  <c r="ID54" i="1"/>
  <c r="HI54" i="1"/>
  <c r="IB52" i="1"/>
  <c r="HF60" i="1"/>
  <c r="HI60" i="1"/>
  <c r="HF59" i="1"/>
  <c r="HF56" i="1"/>
  <c r="IC52" i="1"/>
  <c r="IB61" i="1"/>
  <c r="IB56" i="1"/>
  <c r="IC55" i="1"/>
  <c r="ID55" i="1"/>
  <c r="IE55" i="1"/>
  <c r="HF53" i="1"/>
  <c r="HI52" i="1"/>
  <c r="HI62" i="1"/>
  <c r="HH62" i="1"/>
  <c r="IB59" i="1"/>
  <c r="ID58" i="1"/>
  <c r="IE58" i="1"/>
  <c r="IE56" i="1"/>
  <c r="HG53" i="1"/>
  <c r="HF61" i="1"/>
  <c r="IC59" i="1"/>
  <c r="ID56" i="1"/>
  <c r="IC56" i="1"/>
  <c r="HF58" i="1"/>
  <c r="HF55" i="1"/>
  <c r="HF54" i="1"/>
  <c r="HI59" i="1"/>
  <c r="HI58" i="1"/>
  <c r="HI56" i="1"/>
  <c r="HG55" i="1"/>
  <c r="HH58" i="1"/>
  <c r="HG58" i="1"/>
  <c r="HI57" i="1"/>
  <c r="IB53" i="1"/>
  <c r="ID53" i="1"/>
  <c r="HF52" i="1"/>
  <c r="HH49" i="1"/>
  <c r="HH55" i="1"/>
  <c r="IE54" i="1"/>
  <c r="IE49" i="1"/>
  <c r="HH52" i="1"/>
  <c r="HG52" i="1"/>
  <c r="IC54" i="1"/>
  <c r="IC53" i="1"/>
  <c r="IE53" i="1"/>
  <c r="ID49" i="1"/>
  <c r="IB50" i="1"/>
  <c r="HG50" i="1"/>
  <c r="HH50" i="1"/>
  <c r="HF51" i="1"/>
  <c r="HF49" i="1"/>
  <c r="HG54" i="1"/>
  <c r="HH53" i="1"/>
  <c r="HI53" i="1"/>
  <c r="ID52" i="1"/>
  <c r="IE52" i="1"/>
  <c r="IE51" i="1"/>
  <c r="HG51" i="1"/>
  <c r="HG49" i="1"/>
  <c r="ID50" i="1"/>
  <c r="IE50" i="1"/>
  <c r="IB51" i="1"/>
  <c r="HF50" i="1"/>
  <c r="IB49" i="1"/>
  <c r="IC51" i="1"/>
  <c r="ID51" i="1"/>
  <c r="HI50" i="1"/>
  <c r="IC49" i="1"/>
  <c r="HI49" i="1"/>
  <c r="K13" i="1"/>
  <c r="M13" i="1" s="1"/>
  <c r="J13" i="1"/>
  <c r="L13" i="1" s="1"/>
  <c r="HJ61" i="1" l="1"/>
  <c r="HK61" i="1" s="1"/>
  <c r="JA50" i="1"/>
  <c r="JA58" i="1"/>
  <c r="IF61" i="1"/>
  <c r="IG61" i="1" s="1"/>
  <c r="IF59" i="1"/>
  <c r="IG59" i="1" s="1"/>
  <c r="IF55" i="1"/>
  <c r="IG55" i="1" s="1"/>
  <c r="IF57" i="1"/>
  <c r="IG57" i="1" s="1"/>
  <c r="HJ57" i="1"/>
  <c r="HK57" i="1" s="1"/>
  <c r="HJ62" i="1"/>
  <c r="HK62" i="1" s="1"/>
  <c r="JA54" i="1"/>
  <c r="IF62" i="1"/>
  <c r="IG62" i="1" s="1"/>
  <c r="IF58" i="1"/>
  <c r="IG58" i="1" s="1"/>
  <c r="HJ60" i="1"/>
  <c r="HK60" i="1" s="1"/>
  <c r="IF60" i="1"/>
  <c r="IG60" i="1" s="1"/>
  <c r="IF54" i="1"/>
  <c r="IG54" i="1" s="1"/>
  <c r="JA51" i="1"/>
  <c r="HJ53" i="1"/>
  <c r="HK53" i="1" s="1"/>
  <c r="JA52" i="1"/>
  <c r="HJ51" i="1"/>
  <c r="HK51" i="1" s="1"/>
  <c r="JA56" i="1"/>
  <c r="JA53" i="1"/>
  <c r="HJ49" i="1"/>
  <c r="HK49" i="1" s="1"/>
  <c r="JA59" i="1"/>
  <c r="JA49" i="1"/>
  <c r="JA61" i="1"/>
  <c r="JA55" i="1"/>
  <c r="IF49" i="1"/>
  <c r="IG49" i="1" s="1"/>
  <c r="HJ54" i="1"/>
  <c r="HK54" i="1" s="1"/>
  <c r="JA62" i="1"/>
  <c r="IF52" i="1"/>
  <c r="IG52" i="1" s="1"/>
  <c r="HJ50" i="1"/>
  <c r="HK50" i="1" s="1"/>
  <c r="IF53" i="1"/>
  <c r="IG53" i="1" s="1"/>
  <c r="HJ56" i="1"/>
  <c r="HK56" i="1" s="1"/>
  <c r="IF51" i="1"/>
  <c r="IG51" i="1" s="1"/>
  <c r="HJ58" i="1"/>
  <c r="HK58" i="1" s="1"/>
  <c r="JA57" i="1"/>
  <c r="HJ52" i="1"/>
  <c r="HK52" i="1" s="1"/>
  <c r="JA60" i="1"/>
  <c r="HJ55" i="1"/>
  <c r="HK55" i="1" s="1"/>
  <c r="IF50" i="1"/>
  <c r="IG50" i="1" s="1"/>
  <c r="HJ59" i="1"/>
  <c r="HK59" i="1" s="1"/>
  <c r="IF56" i="1"/>
  <c r="IG56" i="1" s="1"/>
  <c r="O13" i="1"/>
  <c r="Q13" i="1"/>
  <c r="P13" i="1" l="1"/>
  <c r="N13" i="1"/>
  <c r="IJ13" i="1"/>
  <c r="IM13" i="1"/>
  <c r="IP13" i="1"/>
  <c r="IS13" i="1"/>
  <c r="IV13" i="1"/>
  <c r="IJ14" i="1"/>
  <c r="IM14" i="1"/>
  <c r="IP14" i="1"/>
  <c r="IS14" i="1"/>
  <c r="IV14" i="1"/>
  <c r="IJ15" i="1"/>
  <c r="IM15" i="1"/>
  <c r="IP15" i="1"/>
  <c r="IS15" i="1"/>
  <c r="IV15" i="1"/>
  <c r="IJ16" i="1"/>
  <c r="IM16" i="1"/>
  <c r="IP16" i="1"/>
  <c r="IS16" i="1"/>
  <c r="IV16" i="1"/>
  <c r="IJ17" i="1"/>
  <c r="IM17" i="1"/>
  <c r="IP17" i="1"/>
  <c r="IS17" i="1"/>
  <c r="IV17" i="1"/>
  <c r="IJ18" i="1"/>
  <c r="IM18" i="1"/>
  <c r="IP18" i="1"/>
  <c r="IS18" i="1"/>
  <c r="IV18" i="1"/>
  <c r="IJ19" i="1"/>
  <c r="IM19" i="1"/>
  <c r="IP19" i="1"/>
  <c r="IS19" i="1"/>
  <c r="IV19" i="1"/>
  <c r="IJ20" i="1"/>
  <c r="IM20" i="1"/>
  <c r="IP20" i="1"/>
  <c r="IS20" i="1"/>
  <c r="IV20" i="1"/>
  <c r="IJ21" i="1"/>
  <c r="IM21" i="1"/>
  <c r="IP21" i="1"/>
  <c r="IS21" i="1"/>
  <c r="IV21" i="1"/>
  <c r="IJ22" i="1"/>
  <c r="IM22" i="1"/>
  <c r="IP22" i="1"/>
  <c r="IS22" i="1"/>
  <c r="IV22" i="1"/>
  <c r="IJ23" i="1"/>
  <c r="IM23" i="1"/>
  <c r="IP23" i="1"/>
  <c r="IS23" i="1"/>
  <c r="IV23" i="1"/>
  <c r="IJ24" i="1"/>
  <c r="IM24" i="1"/>
  <c r="IP24" i="1"/>
  <c r="IS24" i="1"/>
  <c r="IV24" i="1"/>
  <c r="IJ25" i="1"/>
  <c r="IM25" i="1"/>
  <c r="IP25" i="1"/>
  <c r="IS25" i="1"/>
  <c r="IV25" i="1"/>
  <c r="IJ26" i="1"/>
  <c r="IM26" i="1"/>
  <c r="IP26" i="1"/>
  <c r="IS26" i="1"/>
  <c r="IV26" i="1"/>
  <c r="IJ27" i="1"/>
  <c r="IM27" i="1"/>
  <c r="IP27" i="1"/>
  <c r="IS27" i="1"/>
  <c r="IV27" i="1"/>
  <c r="IJ28" i="1"/>
  <c r="IM28" i="1"/>
  <c r="IP28" i="1"/>
  <c r="IS28" i="1"/>
  <c r="IV28" i="1"/>
  <c r="IJ29" i="1"/>
  <c r="IM29" i="1"/>
  <c r="IP29" i="1"/>
  <c r="IS29" i="1"/>
  <c r="IV29" i="1"/>
  <c r="IJ30" i="1"/>
  <c r="IM30" i="1"/>
  <c r="IP30" i="1"/>
  <c r="IS30" i="1"/>
  <c r="IV30" i="1"/>
  <c r="IJ31" i="1"/>
  <c r="IM31" i="1"/>
  <c r="IP31" i="1"/>
  <c r="IS31" i="1"/>
  <c r="IV31" i="1"/>
  <c r="IJ32" i="1"/>
  <c r="IM32" i="1"/>
  <c r="IP32" i="1"/>
  <c r="IS32" i="1"/>
  <c r="IV32" i="1"/>
  <c r="IJ33" i="1"/>
  <c r="IM33" i="1"/>
  <c r="IP33" i="1"/>
  <c r="IS33" i="1"/>
  <c r="IV33" i="1"/>
  <c r="IJ34" i="1"/>
  <c r="IM34" i="1"/>
  <c r="IP34" i="1"/>
  <c r="IS34" i="1"/>
  <c r="IV34" i="1"/>
  <c r="IJ35" i="1"/>
  <c r="IM35" i="1"/>
  <c r="IP35" i="1"/>
  <c r="IS35" i="1"/>
  <c r="IV35" i="1"/>
  <c r="IJ36" i="1"/>
  <c r="IM36" i="1"/>
  <c r="IP36" i="1"/>
  <c r="IS36" i="1"/>
  <c r="IV36" i="1"/>
  <c r="IJ37" i="1"/>
  <c r="IM37" i="1"/>
  <c r="IP37" i="1"/>
  <c r="IS37" i="1"/>
  <c r="IV37" i="1"/>
  <c r="IJ38" i="1"/>
  <c r="IM38" i="1"/>
  <c r="IP38" i="1"/>
  <c r="IS38" i="1"/>
  <c r="IV38" i="1"/>
  <c r="IJ39" i="1"/>
  <c r="IM39" i="1"/>
  <c r="IP39" i="1"/>
  <c r="IS39" i="1"/>
  <c r="IV39" i="1"/>
  <c r="IJ40" i="1"/>
  <c r="IM40" i="1"/>
  <c r="IP40" i="1"/>
  <c r="IS40" i="1"/>
  <c r="IV40" i="1"/>
  <c r="IJ41" i="1"/>
  <c r="IM41" i="1"/>
  <c r="IP41" i="1"/>
  <c r="IS41" i="1"/>
  <c r="IV41" i="1"/>
  <c r="IJ42" i="1"/>
  <c r="IM42" i="1"/>
  <c r="IP42" i="1"/>
  <c r="IS42" i="1"/>
  <c r="IV42" i="1"/>
  <c r="IJ43" i="1"/>
  <c r="IM43" i="1"/>
  <c r="IP43" i="1"/>
  <c r="IS43" i="1"/>
  <c r="IV43" i="1"/>
  <c r="IJ44" i="1"/>
  <c r="IM44" i="1"/>
  <c r="IP44" i="1"/>
  <c r="IS44" i="1"/>
  <c r="IV44" i="1"/>
  <c r="IJ45" i="1"/>
  <c r="IM45" i="1"/>
  <c r="IP45" i="1"/>
  <c r="IS45" i="1"/>
  <c r="IV45" i="1"/>
  <c r="IJ46" i="1"/>
  <c r="IM46" i="1"/>
  <c r="IP46" i="1"/>
  <c r="IS46" i="1"/>
  <c r="IV46" i="1"/>
  <c r="IJ47" i="1"/>
  <c r="IM47" i="1"/>
  <c r="IP47" i="1"/>
  <c r="IS47" i="1"/>
  <c r="IV47" i="1"/>
  <c r="IJ48" i="1"/>
  <c r="IM48" i="1"/>
  <c r="IP48" i="1"/>
  <c r="IS48" i="1"/>
  <c r="IV48" i="1"/>
  <c r="DQ3" i="2"/>
  <c r="DR3" i="2"/>
  <c r="DT3" i="2"/>
  <c r="DU3" i="2"/>
  <c r="DW3" i="2"/>
  <c r="DX3" i="2"/>
  <c r="DZ3" i="2"/>
  <c r="EA3" i="2"/>
  <c r="EC3" i="2"/>
  <c r="ED3" i="2"/>
  <c r="EF3" i="2"/>
  <c r="EG3" i="2"/>
  <c r="EH3" i="2"/>
  <c r="EI3" i="2"/>
  <c r="DQ4" i="2"/>
  <c r="DR4" i="2"/>
  <c r="DT4" i="2"/>
  <c r="DU4" i="2"/>
  <c r="DW4" i="2"/>
  <c r="DX4" i="2"/>
  <c r="DZ4" i="2"/>
  <c r="EA4" i="2"/>
  <c r="EC4" i="2"/>
  <c r="ED4" i="2"/>
  <c r="EF4" i="2"/>
  <c r="EG4" i="2"/>
  <c r="EH4" i="2"/>
  <c r="EI4" i="2"/>
  <c r="DQ5" i="2"/>
  <c r="DR5" i="2"/>
  <c r="DT5" i="2"/>
  <c r="DU5" i="2"/>
  <c r="DW5" i="2"/>
  <c r="DX5" i="2"/>
  <c r="DZ5" i="2"/>
  <c r="EA5" i="2"/>
  <c r="EC5" i="2"/>
  <c r="ED5" i="2"/>
  <c r="EF5" i="2"/>
  <c r="EG5" i="2"/>
  <c r="EH5" i="2"/>
  <c r="EI5" i="2"/>
  <c r="DQ6" i="2"/>
  <c r="DR6" i="2"/>
  <c r="DT6" i="2"/>
  <c r="DU6" i="2"/>
  <c r="DW6" i="2"/>
  <c r="DX6" i="2"/>
  <c r="DZ6" i="2"/>
  <c r="EA6" i="2"/>
  <c r="EC6" i="2"/>
  <c r="ED6" i="2"/>
  <c r="EF6" i="2"/>
  <c r="EG6" i="2"/>
  <c r="EH6" i="2"/>
  <c r="EI6" i="2"/>
  <c r="DQ7" i="2"/>
  <c r="DR7" i="2"/>
  <c r="DT7" i="2"/>
  <c r="DU7" i="2"/>
  <c r="DW7" i="2"/>
  <c r="DX7" i="2"/>
  <c r="DZ7" i="2"/>
  <c r="EA7" i="2"/>
  <c r="EC7" i="2"/>
  <c r="ED7" i="2"/>
  <c r="EF7" i="2"/>
  <c r="EG7" i="2"/>
  <c r="EH7" i="2"/>
  <c r="EI7" i="2"/>
  <c r="DQ8" i="2"/>
  <c r="DR8" i="2"/>
  <c r="DT8" i="2"/>
  <c r="DU8" i="2"/>
  <c r="DW8" i="2"/>
  <c r="DX8" i="2"/>
  <c r="DZ8" i="2"/>
  <c r="EA8" i="2"/>
  <c r="EC8" i="2"/>
  <c r="ED8" i="2"/>
  <c r="EF8" i="2"/>
  <c r="EG8" i="2"/>
  <c r="EH8" i="2"/>
  <c r="EI8" i="2"/>
  <c r="DQ9" i="2"/>
  <c r="DR9" i="2"/>
  <c r="DT9" i="2"/>
  <c r="DU9" i="2"/>
  <c r="DW9" i="2"/>
  <c r="DX9" i="2"/>
  <c r="DZ9" i="2"/>
  <c r="EA9" i="2"/>
  <c r="EC9" i="2"/>
  <c r="ED9" i="2"/>
  <c r="EF9" i="2"/>
  <c r="EG9" i="2"/>
  <c r="EH9" i="2"/>
  <c r="EI9" i="2"/>
  <c r="DQ10" i="2"/>
  <c r="DR10" i="2"/>
  <c r="DT10" i="2"/>
  <c r="DU10" i="2"/>
  <c r="DW10" i="2"/>
  <c r="DX10" i="2"/>
  <c r="DZ10" i="2"/>
  <c r="EA10" i="2"/>
  <c r="EC10" i="2"/>
  <c r="ED10" i="2"/>
  <c r="EF10" i="2"/>
  <c r="EG10" i="2"/>
  <c r="EH10" i="2"/>
  <c r="EI10" i="2"/>
  <c r="DQ11" i="2"/>
  <c r="DR11" i="2"/>
  <c r="DT11" i="2"/>
  <c r="DU11" i="2"/>
  <c r="DW11" i="2"/>
  <c r="DX11" i="2"/>
  <c r="DZ11" i="2"/>
  <c r="EA11" i="2"/>
  <c r="EC11" i="2"/>
  <c r="ED11" i="2"/>
  <c r="EF11" i="2"/>
  <c r="EG11" i="2"/>
  <c r="EH11" i="2"/>
  <c r="EI11" i="2"/>
  <c r="DQ12" i="2"/>
  <c r="DR12" i="2"/>
  <c r="DT12" i="2"/>
  <c r="DU12" i="2"/>
  <c r="DW12" i="2"/>
  <c r="DX12" i="2"/>
  <c r="DZ12" i="2"/>
  <c r="EA12" i="2"/>
  <c r="EC12" i="2"/>
  <c r="ED12" i="2"/>
  <c r="EF12" i="2"/>
  <c r="EG12" i="2"/>
  <c r="EH12" i="2"/>
  <c r="EI12" i="2"/>
  <c r="DQ13" i="2"/>
  <c r="DR13" i="2"/>
  <c r="DT13" i="2"/>
  <c r="DU13" i="2"/>
  <c r="DW13" i="2"/>
  <c r="DX13" i="2"/>
  <c r="DZ13" i="2"/>
  <c r="EA13" i="2"/>
  <c r="EC13" i="2"/>
  <c r="ED13" i="2"/>
  <c r="EF13" i="2"/>
  <c r="EG13" i="2"/>
  <c r="EH13" i="2"/>
  <c r="EI13" i="2"/>
  <c r="DQ14" i="2"/>
  <c r="DR14" i="2"/>
  <c r="DT14" i="2"/>
  <c r="DU14" i="2"/>
  <c r="DW14" i="2"/>
  <c r="DX14" i="2"/>
  <c r="DZ14" i="2"/>
  <c r="EA14" i="2"/>
  <c r="EC14" i="2"/>
  <c r="ED14" i="2"/>
  <c r="EF14" i="2"/>
  <c r="EG14" i="2"/>
  <c r="EH14" i="2"/>
  <c r="EI14" i="2"/>
  <c r="DQ15" i="2"/>
  <c r="DR15" i="2"/>
  <c r="DT15" i="2"/>
  <c r="DU15" i="2"/>
  <c r="DW15" i="2"/>
  <c r="DX15" i="2"/>
  <c r="DZ15" i="2"/>
  <c r="EA15" i="2"/>
  <c r="EC15" i="2"/>
  <c r="ED15" i="2"/>
  <c r="EF15" i="2"/>
  <c r="EG15" i="2"/>
  <c r="EH15" i="2"/>
  <c r="EI15" i="2"/>
  <c r="DQ16" i="2"/>
  <c r="DR16" i="2"/>
  <c r="DT16" i="2"/>
  <c r="DU16" i="2"/>
  <c r="DW16" i="2"/>
  <c r="DX16" i="2"/>
  <c r="DZ16" i="2"/>
  <c r="EA16" i="2"/>
  <c r="EC16" i="2"/>
  <c r="ED16" i="2"/>
  <c r="EF16" i="2"/>
  <c r="EG16" i="2"/>
  <c r="EH16" i="2"/>
  <c r="EI16" i="2"/>
  <c r="DQ17" i="2"/>
  <c r="DR17" i="2"/>
  <c r="DT17" i="2"/>
  <c r="DU17" i="2"/>
  <c r="DW17" i="2"/>
  <c r="DX17" i="2"/>
  <c r="DZ17" i="2"/>
  <c r="EA17" i="2"/>
  <c r="EC17" i="2"/>
  <c r="ED17" i="2"/>
  <c r="EF17" i="2"/>
  <c r="EG17" i="2"/>
  <c r="EH17" i="2"/>
  <c r="EI17" i="2"/>
  <c r="DQ18" i="2"/>
  <c r="DR18" i="2"/>
  <c r="DT18" i="2"/>
  <c r="DU18" i="2"/>
  <c r="DW18" i="2"/>
  <c r="DX18" i="2"/>
  <c r="DZ18" i="2"/>
  <c r="EA18" i="2"/>
  <c r="EC18" i="2"/>
  <c r="ED18" i="2"/>
  <c r="EF18" i="2"/>
  <c r="EG18" i="2"/>
  <c r="EH18" i="2"/>
  <c r="EI18" i="2"/>
  <c r="DQ19" i="2"/>
  <c r="DR19" i="2"/>
  <c r="DT19" i="2"/>
  <c r="DU19" i="2"/>
  <c r="DW19" i="2"/>
  <c r="DX19" i="2"/>
  <c r="DZ19" i="2"/>
  <c r="EA19" i="2"/>
  <c r="EC19" i="2"/>
  <c r="ED19" i="2"/>
  <c r="EF19" i="2"/>
  <c r="EG19" i="2"/>
  <c r="EH19" i="2"/>
  <c r="EI19" i="2"/>
  <c r="DQ20" i="2"/>
  <c r="DR20" i="2"/>
  <c r="DT20" i="2"/>
  <c r="DU20" i="2"/>
  <c r="DW20" i="2"/>
  <c r="DX20" i="2"/>
  <c r="DZ20" i="2"/>
  <c r="EA20" i="2"/>
  <c r="EC20" i="2"/>
  <c r="ED20" i="2"/>
  <c r="EF20" i="2"/>
  <c r="EG20" i="2"/>
  <c r="EH20" i="2"/>
  <c r="EI20" i="2"/>
  <c r="DQ21" i="2"/>
  <c r="DR21" i="2"/>
  <c r="DT21" i="2"/>
  <c r="DU21" i="2"/>
  <c r="DW21" i="2"/>
  <c r="DX21" i="2"/>
  <c r="DZ21" i="2"/>
  <c r="EA21" i="2"/>
  <c r="EC21" i="2"/>
  <c r="ED21" i="2"/>
  <c r="EF21" i="2"/>
  <c r="EG21" i="2"/>
  <c r="EH21" i="2"/>
  <c r="EI21" i="2"/>
  <c r="DQ22" i="2"/>
  <c r="DR22" i="2"/>
  <c r="DT22" i="2"/>
  <c r="DU22" i="2"/>
  <c r="DW22" i="2"/>
  <c r="DX22" i="2"/>
  <c r="DZ22" i="2"/>
  <c r="EA22" i="2"/>
  <c r="EC22" i="2"/>
  <c r="ED22" i="2"/>
  <c r="EF22" i="2"/>
  <c r="EG22" i="2"/>
  <c r="EH22" i="2"/>
  <c r="EI22" i="2"/>
  <c r="DQ23" i="2"/>
  <c r="DR23" i="2"/>
  <c r="DT23" i="2"/>
  <c r="DU23" i="2"/>
  <c r="DW23" i="2"/>
  <c r="DX23" i="2"/>
  <c r="DZ23" i="2"/>
  <c r="EA23" i="2"/>
  <c r="EC23" i="2"/>
  <c r="ED23" i="2"/>
  <c r="EF23" i="2"/>
  <c r="EG23" i="2"/>
  <c r="EH23" i="2"/>
  <c r="EI23" i="2"/>
  <c r="DQ24" i="2"/>
  <c r="DR24" i="2"/>
  <c r="DT24" i="2"/>
  <c r="DU24" i="2"/>
  <c r="DW24" i="2"/>
  <c r="DX24" i="2"/>
  <c r="DZ24" i="2"/>
  <c r="EA24" i="2"/>
  <c r="EC24" i="2"/>
  <c r="ED24" i="2"/>
  <c r="EF24" i="2"/>
  <c r="EG24" i="2"/>
  <c r="EH24" i="2"/>
  <c r="EI24" i="2"/>
  <c r="DQ25" i="2"/>
  <c r="DR25" i="2"/>
  <c r="DT25" i="2"/>
  <c r="DU25" i="2"/>
  <c r="DW25" i="2"/>
  <c r="DX25" i="2"/>
  <c r="DZ25" i="2"/>
  <c r="EA25" i="2"/>
  <c r="EC25" i="2"/>
  <c r="ED25" i="2"/>
  <c r="EF25" i="2"/>
  <c r="EG25" i="2"/>
  <c r="EH25" i="2"/>
  <c r="EI25" i="2"/>
  <c r="DQ26" i="2"/>
  <c r="DR26" i="2"/>
  <c r="DT26" i="2"/>
  <c r="DU26" i="2"/>
  <c r="DW26" i="2"/>
  <c r="DX26" i="2"/>
  <c r="DZ26" i="2"/>
  <c r="EA26" i="2"/>
  <c r="EC26" i="2"/>
  <c r="ED26" i="2"/>
  <c r="EF26" i="2"/>
  <c r="EG26" i="2"/>
  <c r="EH26" i="2"/>
  <c r="EI26" i="2"/>
  <c r="DQ27" i="2"/>
  <c r="DR27" i="2"/>
  <c r="DT27" i="2"/>
  <c r="DU27" i="2"/>
  <c r="DW27" i="2"/>
  <c r="DX27" i="2"/>
  <c r="DZ27" i="2"/>
  <c r="EA27" i="2"/>
  <c r="EC27" i="2"/>
  <c r="ED27" i="2"/>
  <c r="EF27" i="2"/>
  <c r="EG27" i="2"/>
  <c r="EH27" i="2"/>
  <c r="EI27" i="2"/>
  <c r="DQ28" i="2"/>
  <c r="DR28" i="2"/>
  <c r="DT28" i="2"/>
  <c r="DU28" i="2"/>
  <c r="DW28" i="2"/>
  <c r="DX28" i="2"/>
  <c r="DZ28" i="2"/>
  <c r="EA28" i="2"/>
  <c r="EC28" i="2"/>
  <c r="ED28" i="2"/>
  <c r="EF28" i="2"/>
  <c r="EG28" i="2"/>
  <c r="EH28" i="2"/>
  <c r="EI28" i="2"/>
  <c r="DQ29" i="2"/>
  <c r="DR29" i="2"/>
  <c r="DT29" i="2"/>
  <c r="DU29" i="2"/>
  <c r="DW29" i="2"/>
  <c r="DX29" i="2"/>
  <c r="DZ29" i="2"/>
  <c r="EA29" i="2"/>
  <c r="EC29" i="2"/>
  <c r="ED29" i="2"/>
  <c r="EF29" i="2"/>
  <c r="EG29" i="2"/>
  <c r="EH29" i="2"/>
  <c r="EI29" i="2"/>
  <c r="DQ30" i="2"/>
  <c r="DR30" i="2"/>
  <c r="DT30" i="2"/>
  <c r="DU30" i="2"/>
  <c r="DW30" i="2"/>
  <c r="DX30" i="2"/>
  <c r="DZ30" i="2"/>
  <c r="EA30" i="2"/>
  <c r="EC30" i="2"/>
  <c r="ED30" i="2"/>
  <c r="EF30" i="2"/>
  <c r="EG30" i="2"/>
  <c r="EH30" i="2"/>
  <c r="EI30" i="2"/>
  <c r="DQ31" i="2"/>
  <c r="DR31" i="2"/>
  <c r="DT31" i="2"/>
  <c r="DU31" i="2"/>
  <c r="DW31" i="2"/>
  <c r="DX31" i="2"/>
  <c r="DZ31" i="2"/>
  <c r="EA31" i="2"/>
  <c r="EC31" i="2"/>
  <c r="ED31" i="2"/>
  <c r="EF31" i="2"/>
  <c r="EG31" i="2"/>
  <c r="EH31" i="2"/>
  <c r="EI31" i="2"/>
  <c r="DQ32" i="2"/>
  <c r="DR32" i="2"/>
  <c r="DT32" i="2"/>
  <c r="DU32" i="2"/>
  <c r="DW32" i="2"/>
  <c r="DX32" i="2"/>
  <c r="DZ32" i="2"/>
  <c r="EA32" i="2"/>
  <c r="EC32" i="2"/>
  <c r="ED32" i="2"/>
  <c r="EF32" i="2"/>
  <c r="EG32" i="2"/>
  <c r="EH32" i="2"/>
  <c r="EI32" i="2"/>
  <c r="DQ33" i="2"/>
  <c r="DR33" i="2"/>
  <c r="DT33" i="2"/>
  <c r="DU33" i="2"/>
  <c r="DW33" i="2"/>
  <c r="DX33" i="2"/>
  <c r="DZ33" i="2"/>
  <c r="EA33" i="2"/>
  <c r="EC33" i="2"/>
  <c r="ED33" i="2"/>
  <c r="EF33" i="2"/>
  <c r="EG33" i="2"/>
  <c r="EH33" i="2"/>
  <c r="EI33" i="2"/>
  <c r="DQ34" i="2"/>
  <c r="DR34" i="2"/>
  <c r="DT34" i="2"/>
  <c r="DU34" i="2"/>
  <c r="DW34" i="2"/>
  <c r="DX34" i="2"/>
  <c r="DZ34" i="2"/>
  <c r="EA34" i="2"/>
  <c r="EC34" i="2"/>
  <c r="ED34" i="2"/>
  <c r="EF34" i="2"/>
  <c r="EG34" i="2"/>
  <c r="EH34" i="2"/>
  <c r="EI34" i="2"/>
  <c r="DQ35" i="2"/>
  <c r="DR35" i="2"/>
  <c r="DT35" i="2"/>
  <c r="DU35" i="2"/>
  <c r="DW35" i="2"/>
  <c r="DX35" i="2"/>
  <c r="DZ35" i="2"/>
  <c r="EA35" i="2"/>
  <c r="EC35" i="2"/>
  <c r="ED35" i="2"/>
  <c r="EF35" i="2"/>
  <c r="EG35" i="2"/>
  <c r="EH35" i="2"/>
  <c r="EI35" i="2"/>
  <c r="DQ36" i="2"/>
  <c r="DR36" i="2"/>
  <c r="DT36" i="2"/>
  <c r="DU36" i="2"/>
  <c r="DW36" i="2"/>
  <c r="DX36" i="2"/>
  <c r="DZ36" i="2"/>
  <c r="EA36" i="2"/>
  <c r="EC36" i="2"/>
  <c r="ED36" i="2"/>
  <c r="EF36" i="2"/>
  <c r="EG36" i="2"/>
  <c r="EH36" i="2"/>
  <c r="EI36" i="2"/>
  <c r="DQ37" i="2"/>
  <c r="DR37" i="2"/>
  <c r="DT37" i="2"/>
  <c r="DU37" i="2"/>
  <c r="DW37" i="2"/>
  <c r="DX37" i="2"/>
  <c r="DZ37" i="2"/>
  <c r="EA37" i="2"/>
  <c r="EC37" i="2"/>
  <c r="ED37" i="2"/>
  <c r="EF37" i="2"/>
  <c r="EG37" i="2"/>
  <c r="EH37" i="2"/>
  <c r="EI37" i="2"/>
  <c r="DQ38" i="2"/>
  <c r="DR38" i="2"/>
  <c r="DT38" i="2"/>
  <c r="DU38" i="2"/>
  <c r="DW38" i="2"/>
  <c r="DX38" i="2"/>
  <c r="DZ38" i="2"/>
  <c r="EA38" i="2"/>
  <c r="EC38" i="2"/>
  <c r="ED38" i="2"/>
  <c r="EF38" i="2"/>
  <c r="EG38" i="2"/>
  <c r="EH38" i="2"/>
  <c r="EI38" i="2"/>
  <c r="DQ39" i="2"/>
  <c r="DR39" i="2"/>
  <c r="DT39" i="2"/>
  <c r="DU39" i="2"/>
  <c r="DW39" i="2"/>
  <c r="DX39" i="2"/>
  <c r="DZ39" i="2"/>
  <c r="EA39" i="2"/>
  <c r="EC39" i="2"/>
  <c r="ED39" i="2"/>
  <c r="EF39" i="2"/>
  <c r="EG39" i="2"/>
  <c r="EH39" i="2"/>
  <c r="EI39" i="2"/>
  <c r="DQ40" i="2"/>
  <c r="DR40" i="2"/>
  <c r="DT40" i="2"/>
  <c r="DU40" i="2"/>
  <c r="DW40" i="2"/>
  <c r="DX40" i="2"/>
  <c r="DZ40" i="2"/>
  <c r="EA40" i="2"/>
  <c r="EC40" i="2"/>
  <c r="ED40" i="2"/>
  <c r="EF40" i="2"/>
  <c r="EG40" i="2"/>
  <c r="EH40" i="2"/>
  <c r="EI40" i="2"/>
  <c r="DQ41" i="2"/>
  <c r="DR41" i="2"/>
  <c r="DT41" i="2"/>
  <c r="DU41" i="2"/>
  <c r="DW41" i="2"/>
  <c r="DX41" i="2"/>
  <c r="DZ41" i="2"/>
  <c r="EA41" i="2"/>
  <c r="EC41" i="2"/>
  <c r="ED41" i="2"/>
  <c r="EF41" i="2"/>
  <c r="EG41" i="2"/>
  <c r="EH41" i="2"/>
  <c r="EI41" i="2"/>
  <c r="DQ42" i="2"/>
  <c r="DR42" i="2"/>
  <c r="DT42" i="2"/>
  <c r="DU42" i="2"/>
  <c r="DW42" i="2"/>
  <c r="DX42" i="2"/>
  <c r="DZ42" i="2"/>
  <c r="EA42" i="2"/>
  <c r="EC42" i="2"/>
  <c r="ED42" i="2"/>
  <c r="EF42" i="2"/>
  <c r="EG42" i="2"/>
  <c r="EH42" i="2"/>
  <c r="EI42" i="2"/>
  <c r="DQ43" i="2"/>
  <c r="DR43" i="2"/>
  <c r="DT43" i="2"/>
  <c r="DU43" i="2"/>
  <c r="DW43" i="2"/>
  <c r="DX43" i="2"/>
  <c r="DZ43" i="2"/>
  <c r="EA43" i="2"/>
  <c r="EC43" i="2"/>
  <c r="ED43" i="2"/>
  <c r="EF43" i="2"/>
  <c r="EG43" i="2"/>
  <c r="EH43" i="2"/>
  <c r="EI43" i="2"/>
  <c r="DQ44" i="2"/>
  <c r="DR44" i="2"/>
  <c r="DT44" i="2"/>
  <c r="DU44" i="2"/>
  <c r="DW44" i="2"/>
  <c r="DX44" i="2"/>
  <c r="DZ44" i="2"/>
  <c r="EA44" i="2"/>
  <c r="EC44" i="2"/>
  <c r="ED44" i="2"/>
  <c r="EF44" i="2"/>
  <c r="EG44" i="2"/>
  <c r="EH44" i="2"/>
  <c r="EI44" i="2"/>
  <c r="DQ45" i="2"/>
  <c r="DR45" i="2"/>
  <c r="DT45" i="2"/>
  <c r="DU45" i="2"/>
  <c r="DW45" i="2"/>
  <c r="DX45" i="2"/>
  <c r="DZ45" i="2"/>
  <c r="EA45" i="2"/>
  <c r="EC45" i="2"/>
  <c r="ED45" i="2"/>
  <c r="EF45" i="2"/>
  <c r="EG45" i="2"/>
  <c r="EH45" i="2"/>
  <c r="EI45" i="2"/>
  <c r="DQ46" i="2"/>
  <c r="DR46" i="2"/>
  <c r="DT46" i="2"/>
  <c r="DU46" i="2"/>
  <c r="DW46" i="2"/>
  <c r="DX46" i="2"/>
  <c r="DZ46" i="2"/>
  <c r="EA46" i="2"/>
  <c r="EC46" i="2"/>
  <c r="ED46" i="2"/>
  <c r="EF46" i="2"/>
  <c r="EG46" i="2"/>
  <c r="EH46" i="2"/>
  <c r="EI46" i="2"/>
  <c r="DQ47" i="2"/>
  <c r="DR47" i="2"/>
  <c r="DT47" i="2"/>
  <c r="DU47" i="2"/>
  <c r="DW47" i="2"/>
  <c r="DX47" i="2"/>
  <c r="DZ47" i="2"/>
  <c r="EA47" i="2"/>
  <c r="EC47" i="2"/>
  <c r="ED47" i="2"/>
  <c r="EF47" i="2"/>
  <c r="EG47" i="2"/>
  <c r="EH47" i="2"/>
  <c r="EI47" i="2"/>
  <c r="DQ48" i="2"/>
  <c r="DR48" i="2"/>
  <c r="DT48" i="2"/>
  <c r="DU48" i="2"/>
  <c r="DW48" i="2"/>
  <c r="DX48" i="2"/>
  <c r="DZ48" i="2"/>
  <c r="EA48" i="2"/>
  <c r="EC48" i="2"/>
  <c r="ED48" i="2"/>
  <c r="EF48" i="2"/>
  <c r="EG48" i="2"/>
  <c r="EH48" i="2"/>
  <c r="EI48" i="2"/>
  <c r="DQ49" i="2"/>
  <c r="DR49" i="2"/>
  <c r="DT49" i="2"/>
  <c r="DU49" i="2"/>
  <c r="DW49" i="2"/>
  <c r="DX49" i="2"/>
  <c r="DZ49" i="2"/>
  <c r="EA49" i="2"/>
  <c r="EC49" i="2"/>
  <c r="ED49" i="2"/>
  <c r="EF49" i="2"/>
  <c r="EG49" i="2"/>
  <c r="EH49" i="2"/>
  <c r="EI49" i="2"/>
  <c r="DQ50" i="2"/>
  <c r="DR50" i="2"/>
  <c r="DT50" i="2"/>
  <c r="DU50" i="2"/>
  <c r="DW50" i="2"/>
  <c r="DX50" i="2"/>
  <c r="DZ50" i="2"/>
  <c r="EA50" i="2"/>
  <c r="EC50" i="2"/>
  <c r="ED50" i="2"/>
  <c r="EF50" i="2"/>
  <c r="EG50" i="2"/>
  <c r="EH50" i="2"/>
  <c r="EI50" i="2"/>
  <c r="DQ51" i="2"/>
  <c r="DR51" i="2"/>
  <c r="DT51" i="2"/>
  <c r="DU51" i="2"/>
  <c r="DW51" i="2"/>
  <c r="DX51" i="2"/>
  <c r="DZ51" i="2"/>
  <c r="EA51" i="2"/>
  <c r="EC51" i="2"/>
  <c r="ED51" i="2"/>
  <c r="EF51" i="2"/>
  <c r="EG51" i="2"/>
  <c r="EH51" i="2"/>
  <c r="EI51" i="2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DK2" i="2"/>
  <c r="DD2" i="2"/>
  <c r="CW2" i="2"/>
  <c r="CP2" i="2"/>
  <c r="CB2" i="2"/>
  <c r="BU2" i="2"/>
  <c r="BO2" i="2"/>
  <c r="BC2" i="2"/>
  <c r="AW2" i="2"/>
  <c r="AQ2" i="2"/>
  <c r="AE2" i="2"/>
  <c r="Y2" i="2"/>
  <c r="BI2" i="2" l="1"/>
  <c r="AK2" i="2"/>
  <c r="CI2" i="2"/>
  <c r="HF47" i="1"/>
  <c r="HF46" i="1"/>
  <c r="ID48" i="1"/>
  <c r="HF48" i="1"/>
  <c r="HF45" i="1"/>
  <c r="ID46" i="1"/>
  <c r="HF34" i="1"/>
  <c r="HF27" i="1"/>
  <c r="HF24" i="1"/>
  <c r="HF41" i="1"/>
  <c r="HF37" i="1"/>
  <c r="HF31" i="1"/>
  <c r="HF39" i="1"/>
  <c r="HF32" i="1"/>
  <c r="HF26" i="1"/>
  <c r="HF44" i="1"/>
  <c r="HF35" i="1"/>
  <c r="HF29" i="1"/>
  <c r="HF22" i="1"/>
  <c r="HF20" i="1"/>
  <c r="HF17" i="1"/>
  <c r="HF15" i="1"/>
  <c r="IE14" i="1"/>
  <c r="HF43" i="1"/>
  <c r="ID42" i="1"/>
  <c r="HF42" i="1"/>
  <c r="HF38" i="1"/>
  <c r="HF28" i="1"/>
  <c r="HF25" i="1"/>
  <c r="HF21" i="1"/>
  <c r="HF16" i="1"/>
  <c r="ID14" i="1"/>
  <c r="HF14" i="1"/>
  <c r="HF40" i="1"/>
  <c r="HF36" i="1"/>
  <c r="HF33" i="1"/>
  <c r="HF30" i="1"/>
  <c r="HF23" i="1"/>
  <c r="HF19" i="1"/>
  <c r="ID18" i="1"/>
  <c r="HF18" i="1"/>
  <c r="ID34" i="1"/>
  <c r="ID26" i="1"/>
  <c r="IE48" i="1"/>
  <c r="IC48" i="1"/>
  <c r="HG46" i="1"/>
  <c r="IB45" i="1"/>
  <c r="HG44" i="1"/>
  <c r="HG34" i="1"/>
  <c r="HG32" i="1"/>
  <c r="ID30" i="1"/>
  <c r="HG30" i="1"/>
  <c r="HG28" i="1"/>
  <c r="HG18" i="1"/>
  <c r="HG16" i="1"/>
  <c r="HG48" i="1"/>
  <c r="IE46" i="1"/>
  <c r="IC46" i="1"/>
  <c r="HG40" i="1"/>
  <c r="ID38" i="1"/>
  <c r="HG38" i="1"/>
  <c r="HG26" i="1"/>
  <c r="HG24" i="1"/>
  <c r="ID22" i="1"/>
  <c r="HG22" i="1"/>
  <c r="ID40" i="1"/>
  <c r="ID32" i="1"/>
  <c r="ID24" i="1"/>
  <c r="ID16" i="1"/>
  <c r="ID44" i="1"/>
  <c r="IB43" i="1"/>
  <c r="IE42" i="1"/>
  <c r="IC42" i="1"/>
  <c r="ID36" i="1"/>
  <c r="IE34" i="1"/>
  <c r="IC34" i="1"/>
  <c r="ID28" i="1"/>
  <c r="IE26" i="1"/>
  <c r="IC26" i="1"/>
  <c r="ID20" i="1"/>
  <c r="IB19" i="1"/>
  <c r="IE18" i="1"/>
  <c r="IC18" i="1"/>
  <c r="IC14" i="1"/>
  <c r="IE38" i="1"/>
  <c r="IC38" i="1"/>
  <c r="IE30" i="1"/>
  <c r="IC30" i="1"/>
  <c r="IE22" i="1"/>
  <c r="IC22" i="1"/>
  <c r="IB15" i="1"/>
  <c r="IE44" i="1"/>
  <c r="IC44" i="1"/>
  <c r="IE40" i="1"/>
  <c r="IC40" i="1"/>
  <c r="IB37" i="1"/>
  <c r="IE36" i="1"/>
  <c r="IC36" i="1"/>
  <c r="IE32" i="1"/>
  <c r="IC32" i="1"/>
  <c r="IE28" i="1"/>
  <c r="IC28" i="1"/>
  <c r="IE24" i="1"/>
  <c r="IC24" i="1"/>
  <c r="IB21" i="1"/>
  <c r="IE20" i="1"/>
  <c r="IC20" i="1"/>
  <c r="IB17" i="1"/>
  <c r="IE16" i="1"/>
  <c r="IC16" i="1"/>
  <c r="BS2" i="2"/>
  <c r="HI42" i="1"/>
  <c r="HH42" i="1"/>
  <c r="HI36" i="1"/>
  <c r="HH36" i="1"/>
  <c r="HI20" i="1"/>
  <c r="HH20" i="1"/>
  <c r="HI14" i="1"/>
  <c r="HH14" i="1"/>
  <c r="IB47" i="1"/>
  <c r="IB41" i="1"/>
  <c r="IB39" i="1"/>
  <c r="IB35" i="1"/>
  <c r="IB33" i="1"/>
  <c r="IB31" i="1"/>
  <c r="IB29" i="1"/>
  <c r="IB27" i="1"/>
  <c r="IB25" i="1"/>
  <c r="IB23" i="1"/>
  <c r="HG42" i="1"/>
  <c r="HG36" i="1"/>
  <c r="HG20" i="1"/>
  <c r="HG14" i="1"/>
  <c r="HI48" i="1"/>
  <c r="HH48" i="1"/>
  <c r="HI46" i="1"/>
  <c r="HH46" i="1"/>
  <c r="HI44" i="1"/>
  <c r="HH44" i="1"/>
  <c r="HI40" i="1"/>
  <c r="HH40" i="1"/>
  <c r="HI34" i="1"/>
  <c r="HH34" i="1"/>
  <c r="HI24" i="1"/>
  <c r="HH24" i="1"/>
  <c r="HI22" i="1"/>
  <c r="HH22" i="1"/>
  <c r="HI16" i="1"/>
  <c r="HH16" i="1"/>
  <c r="HI47" i="1"/>
  <c r="HH47" i="1"/>
  <c r="HI45" i="1"/>
  <c r="HH45" i="1"/>
  <c r="HI43" i="1"/>
  <c r="HH43" i="1"/>
  <c r="HI41" i="1"/>
  <c r="HH41" i="1"/>
  <c r="HI39" i="1"/>
  <c r="HH39" i="1"/>
  <c r="HI37" i="1"/>
  <c r="HH37" i="1"/>
  <c r="HI35" i="1"/>
  <c r="HH35" i="1"/>
  <c r="HI33" i="1"/>
  <c r="HH33" i="1"/>
  <c r="HI31" i="1"/>
  <c r="HH31" i="1"/>
  <c r="HI29" i="1"/>
  <c r="HH29" i="1"/>
  <c r="HI27" i="1"/>
  <c r="HH27" i="1"/>
  <c r="HI25" i="1"/>
  <c r="HH25" i="1"/>
  <c r="HI23" i="1"/>
  <c r="HH23" i="1"/>
  <c r="HI21" i="1"/>
  <c r="HH21" i="1"/>
  <c r="HI19" i="1"/>
  <c r="HH19" i="1"/>
  <c r="HI17" i="1"/>
  <c r="HH17" i="1"/>
  <c r="HI15" i="1"/>
  <c r="HH15" i="1"/>
  <c r="IB48" i="1"/>
  <c r="ID47" i="1"/>
  <c r="IC47" i="1"/>
  <c r="IB46" i="1"/>
  <c r="ID45" i="1"/>
  <c r="IC45" i="1"/>
  <c r="IB44" i="1"/>
  <c r="ID43" i="1"/>
  <c r="IC43" i="1"/>
  <c r="IB42" i="1"/>
  <c r="ID41" i="1"/>
  <c r="IC41" i="1"/>
  <c r="IB40" i="1"/>
  <c r="ID39" i="1"/>
  <c r="IC39" i="1"/>
  <c r="IB38" i="1"/>
  <c r="ID37" i="1"/>
  <c r="IC37" i="1"/>
  <c r="IB36" i="1"/>
  <c r="ID35" i="1"/>
  <c r="IC35" i="1"/>
  <c r="IB34" i="1"/>
  <c r="ID33" i="1"/>
  <c r="IC33" i="1"/>
  <c r="IB32" i="1"/>
  <c r="ID31" i="1"/>
  <c r="IC31" i="1"/>
  <c r="IB30" i="1"/>
  <c r="ID29" i="1"/>
  <c r="IC29" i="1"/>
  <c r="IB28" i="1"/>
  <c r="ID27" i="1"/>
  <c r="IC27" i="1"/>
  <c r="IB26" i="1"/>
  <c r="ID25" i="1"/>
  <c r="IC25" i="1"/>
  <c r="IB24" i="1"/>
  <c r="ID23" i="1"/>
  <c r="IC23" i="1"/>
  <c r="IB22" i="1"/>
  <c r="ID21" i="1"/>
  <c r="IC21" i="1"/>
  <c r="IB20" i="1"/>
  <c r="ID19" i="1"/>
  <c r="IC19" i="1"/>
  <c r="IB18" i="1"/>
  <c r="ID17" i="1"/>
  <c r="IC17" i="1"/>
  <c r="IB16" i="1"/>
  <c r="ID15" i="1"/>
  <c r="IC15" i="1"/>
  <c r="IB14" i="1"/>
  <c r="HI38" i="1"/>
  <c r="HH38" i="1"/>
  <c r="HI32" i="1"/>
  <c r="HH32" i="1"/>
  <c r="HI30" i="1"/>
  <c r="HH30" i="1"/>
  <c r="HI28" i="1"/>
  <c r="HH28" i="1"/>
  <c r="HI26" i="1"/>
  <c r="HH26" i="1"/>
  <c r="HI18" i="1"/>
  <c r="HH18" i="1"/>
  <c r="IE47" i="1"/>
  <c r="HG47" i="1"/>
  <c r="IE45" i="1"/>
  <c r="HG45" i="1"/>
  <c r="IE43" i="1"/>
  <c r="HG43" i="1"/>
  <c r="IE41" i="1"/>
  <c r="HG41" i="1"/>
  <c r="IE39" i="1"/>
  <c r="HG39" i="1"/>
  <c r="IE37" i="1"/>
  <c r="HG37" i="1"/>
  <c r="IE35" i="1"/>
  <c r="HG35" i="1"/>
  <c r="IE33" i="1"/>
  <c r="HG33" i="1"/>
  <c r="IE31" i="1"/>
  <c r="HG31" i="1"/>
  <c r="IE29" i="1"/>
  <c r="HG29" i="1"/>
  <c r="IE27" i="1"/>
  <c r="HG27" i="1"/>
  <c r="IE25" i="1"/>
  <c r="HG25" i="1"/>
  <c r="IE23" i="1"/>
  <c r="HG23" i="1"/>
  <c r="IE21" i="1"/>
  <c r="HG21" i="1"/>
  <c r="IE19" i="1"/>
  <c r="HG19" i="1"/>
  <c r="IE17" i="1"/>
  <c r="HG17" i="1"/>
  <c r="IE15" i="1"/>
  <c r="HG15" i="1"/>
  <c r="DB2" i="2"/>
  <c r="CU2" i="2"/>
  <c r="CN2" i="2"/>
  <c r="CG2" i="2"/>
  <c r="BZ2" i="2"/>
  <c r="BM2" i="2"/>
  <c r="BG2" i="2"/>
  <c r="BA2" i="2"/>
  <c r="AU2" i="2"/>
  <c r="AO2" i="2"/>
  <c r="AI2" i="2"/>
  <c r="AC2" i="2"/>
  <c r="W2" i="2"/>
  <c r="DO42" i="2" l="1"/>
  <c r="DP50" i="2"/>
  <c r="DP46" i="2"/>
  <c r="DM47" i="2"/>
  <c r="DM51" i="2"/>
  <c r="JA35" i="1"/>
  <c r="JA43" i="1"/>
  <c r="JA19" i="1"/>
  <c r="JA26" i="1"/>
  <c r="JA40" i="1"/>
  <c r="JA29" i="1"/>
  <c r="JA20" i="1"/>
  <c r="JA44" i="1"/>
  <c r="JA37" i="1"/>
  <c r="JA22" i="1"/>
  <c r="JA32" i="1"/>
  <c r="JA42" i="1"/>
  <c r="JA45" i="1"/>
  <c r="JA18" i="1"/>
  <c r="JA38" i="1"/>
  <c r="JA16" i="1"/>
  <c r="JA14" i="1"/>
  <c r="JA48" i="1"/>
  <c r="JA34" i="1"/>
  <c r="JA28" i="1"/>
  <c r="JA24" i="1"/>
  <c r="JA23" i="1"/>
  <c r="JA21" i="1"/>
  <c r="JA17" i="1"/>
  <c r="JA31" i="1"/>
  <c r="JA25" i="1"/>
  <c r="JA15" i="1"/>
  <c r="JA36" i="1"/>
  <c r="JA47" i="1"/>
  <c r="JA41" i="1"/>
  <c r="JA27" i="1"/>
  <c r="JA33" i="1"/>
  <c r="JA39" i="1"/>
  <c r="JA30" i="1"/>
  <c r="JA46" i="1"/>
  <c r="DI2" i="2"/>
  <c r="JA13" i="1"/>
  <c r="DO41" i="2"/>
  <c r="DN43" i="2"/>
  <c r="IF48" i="1"/>
  <c r="DO37" i="2" s="1"/>
  <c r="DM50" i="2"/>
  <c r="HJ47" i="1"/>
  <c r="HK47" i="1" s="1"/>
  <c r="DN36" i="2" s="1"/>
  <c r="DM41" i="2"/>
  <c r="DM46" i="2"/>
  <c r="DM40" i="2"/>
  <c r="DN39" i="2"/>
  <c r="HJ46" i="1"/>
  <c r="DM35" i="2" s="1"/>
  <c r="HJ48" i="1"/>
  <c r="HK48" i="1" s="1"/>
  <c r="DN37" i="2" s="1"/>
  <c r="IF46" i="1"/>
  <c r="IG46" i="1" s="1"/>
  <c r="DP35" i="2" s="1"/>
  <c r="HJ15" i="1"/>
  <c r="HK15" i="1" s="1"/>
  <c r="DN4" i="2" s="1"/>
  <c r="HJ19" i="1"/>
  <c r="DM8" i="2" s="1"/>
  <c r="HJ23" i="1"/>
  <c r="DM12" i="2" s="1"/>
  <c r="HJ27" i="1"/>
  <c r="DM16" i="2" s="1"/>
  <c r="HJ31" i="1"/>
  <c r="HK31" i="1" s="1"/>
  <c r="DN20" i="2" s="1"/>
  <c r="HJ35" i="1"/>
  <c r="DM24" i="2" s="1"/>
  <c r="HJ39" i="1"/>
  <c r="DM28" i="2" s="1"/>
  <c r="HJ43" i="1"/>
  <c r="DM32" i="2" s="1"/>
  <c r="HJ14" i="1"/>
  <c r="HJ36" i="1"/>
  <c r="IF15" i="1"/>
  <c r="IF16" i="1"/>
  <c r="IF20" i="1"/>
  <c r="IF24" i="1"/>
  <c r="IF28" i="1"/>
  <c r="IF32" i="1"/>
  <c r="IF36" i="1"/>
  <c r="IF40" i="1"/>
  <c r="IF44" i="1"/>
  <c r="HJ20" i="1"/>
  <c r="HJ18" i="1"/>
  <c r="HJ26" i="1"/>
  <c r="HJ28" i="1"/>
  <c r="HJ30" i="1"/>
  <c r="HJ32" i="1"/>
  <c r="HJ38" i="1"/>
  <c r="HJ22" i="1"/>
  <c r="HJ34" i="1"/>
  <c r="HJ40" i="1"/>
  <c r="HJ44" i="1"/>
  <c r="HJ16" i="1"/>
  <c r="HJ24" i="1"/>
  <c r="HJ42" i="1"/>
  <c r="IF45" i="1"/>
  <c r="IF14" i="1"/>
  <c r="IF18" i="1"/>
  <c r="IF22" i="1"/>
  <c r="IF26" i="1"/>
  <c r="IF30" i="1"/>
  <c r="IF34" i="1"/>
  <c r="IF38" i="1"/>
  <c r="IF42" i="1"/>
  <c r="IF17" i="1"/>
  <c r="IF21" i="1"/>
  <c r="IF37" i="1"/>
  <c r="IF19" i="1"/>
  <c r="IF43" i="1"/>
  <c r="IF23" i="1"/>
  <c r="IF39" i="1"/>
  <c r="HJ17" i="1"/>
  <c r="HJ21" i="1"/>
  <c r="HJ25" i="1"/>
  <c r="HJ29" i="1"/>
  <c r="HJ33" i="1"/>
  <c r="HJ37" i="1"/>
  <c r="HJ41" i="1"/>
  <c r="HJ45" i="1"/>
  <c r="IF27" i="1"/>
  <c r="IF35" i="1"/>
  <c r="IF31" i="1"/>
  <c r="IF47" i="1"/>
  <c r="IF29" i="1"/>
  <c r="IF25" i="1"/>
  <c r="IF33" i="1"/>
  <c r="IF41" i="1"/>
  <c r="HX13" i="1"/>
  <c r="IA13" i="1"/>
  <c r="HZ13" i="1"/>
  <c r="HY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D13" i="1"/>
  <c r="HE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EB2" i="2"/>
  <c r="EE2" i="2"/>
  <c r="DY2" i="2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5" i="5"/>
  <c r="EA2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EI2" i="2"/>
  <c r="IJ1" i="1"/>
  <c r="EH2" i="2"/>
  <c r="EG2" i="2"/>
  <c r="EF2" i="2"/>
  <c r="ED2" i="2"/>
  <c r="EC2" i="2"/>
  <c r="DZ2" i="2"/>
  <c r="DX2" i="2"/>
  <c r="DW2" i="2"/>
  <c r="DU2" i="2"/>
  <c r="DT2" i="2"/>
  <c r="DR2" i="2"/>
  <c r="DQ2" i="2"/>
  <c r="DF2" i="2"/>
  <c r="CY2" i="2"/>
  <c r="Q2" i="2"/>
  <c r="S2" i="2"/>
  <c r="EE51" i="2"/>
  <c r="EE50" i="2"/>
  <c r="EE49" i="2"/>
  <c r="EE48" i="2"/>
  <c r="EE47" i="2"/>
  <c r="EE46" i="2"/>
  <c r="EE45" i="2"/>
  <c r="EE44" i="2"/>
  <c r="EE43" i="2"/>
  <c r="EE42" i="2"/>
  <c r="EE41" i="2"/>
  <c r="EE40" i="2"/>
  <c r="EE39" i="2"/>
  <c r="EE38" i="2"/>
  <c r="EE37" i="2"/>
  <c r="EE36" i="2"/>
  <c r="EE35" i="2"/>
  <c r="EE34" i="2"/>
  <c r="EE33" i="2"/>
  <c r="EE32" i="2"/>
  <c r="EE31" i="2"/>
  <c r="EE30" i="2"/>
  <c r="EE29" i="2"/>
  <c r="EE28" i="2"/>
  <c r="EE27" i="2"/>
  <c r="EE26" i="2"/>
  <c r="EE25" i="2"/>
  <c r="EE24" i="2"/>
  <c r="EE23" i="2"/>
  <c r="EE22" i="2"/>
  <c r="EE21" i="2"/>
  <c r="EE20" i="2"/>
  <c r="EE19" i="2"/>
  <c r="EE18" i="2"/>
  <c r="EE17" i="2"/>
  <c r="EE16" i="2"/>
  <c r="EE15" i="2"/>
  <c r="EE14" i="2"/>
  <c r="EE13" i="2"/>
  <c r="EE12" i="2"/>
  <c r="EE11" i="2"/>
  <c r="EE10" i="2"/>
  <c r="EE9" i="2"/>
  <c r="EE8" i="2"/>
  <c r="EE7" i="2"/>
  <c r="EE6" i="2"/>
  <c r="EE5" i="2"/>
  <c r="EE4" i="2"/>
  <c r="EE3" i="2"/>
  <c r="EB51" i="2"/>
  <c r="EB50" i="2"/>
  <c r="EB48" i="2"/>
  <c r="EB46" i="2"/>
  <c r="EB44" i="2"/>
  <c r="EB42" i="2"/>
  <c r="EB40" i="2"/>
  <c r="EB38" i="2"/>
  <c r="EB36" i="2"/>
  <c r="EB34" i="2"/>
  <c r="EB32" i="2"/>
  <c r="EB30" i="2"/>
  <c r="EB28" i="2"/>
  <c r="EB26" i="2"/>
  <c r="EB24" i="2"/>
  <c r="EB22" i="2"/>
  <c r="EB20" i="2"/>
  <c r="EB18" i="2"/>
  <c r="EB16" i="2"/>
  <c r="EB14" i="2"/>
  <c r="EB12" i="2"/>
  <c r="EB10" i="2"/>
  <c r="EB8" i="2"/>
  <c r="EB6" i="2"/>
  <c r="EB4" i="2"/>
  <c r="DY51" i="2"/>
  <c r="DY50" i="2"/>
  <c r="DY49" i="2"/>
  <c r="DY48" i="2"/>
  <c r="DY47" i="2"/>
  <c r="DY46" i="2"/>
  <c r="DY45" i="2"/>
  <c r="DY44" i="2"/>
  <c r="DY43" i="2"/>
  <c r="DY42" i="2"/>
  <c r="DY41" i="2"/>
  <c r="DY40" i="2"/>
  <c r="DY39" i="2"/>
  <c r="DY38" i="2"/>
  <c r="DY37" i="2"/>
  <c r="DY36" i="2"/>
  <c r="DY35" i="2"/>
  <c r="DY34" i="2"/>
  <c r="DY33" i="2"/>
  <c r="DY32" i="2"/>
  <c r="DY31" i="2"/>
  <c r="DY30" i="2"/>
  <c r="DY29" i="2"/>
  <c r="DY28" i="2"/>
  <c r="DY27" i="2"/>
  <c r="DY26" i="2"/>
  <c r="DY25" i="2"/>
  <c r="DY24" i="2"/>
  <c r="DY23" i="2"/>
  <c r="DY22" i="2"/>
  <c r="DY21" i="2"/>
  <c r="DY20" i="2"/>
  <c r="DY19" i="2"/>
  <c r="DY18" i="2"/>
  <c r="DY17" i="2"/>
  <c r="DY16" i="2"/>
  <c r="DY15" i="2"/>
  <c r="DY14" i="2"/>
  <c r="DY13" i="2"/>
  <c r="DY12" i="2"/>
  <c r="DY11" i="2"/>
  <c r="DY10" i="2"/>
  <c r="DY9" i="2"/>
  <c r="DY8" i="2"/>
  <c r="DY7" i="2"/>
  <c r="DY6" i="2"/>
  <c r="DY5" i="2"/>
  <c r="DY4" i="2"/>
  <c r="DY3" i="2"/>
  <c r="DV51" i="2"/>
  <c r="DV50" i="2"/>
  <c r="DV49" i="2"/>
  <c r="DV48" i="2"/>
  <c r="DV47" i="2"/>
  <c r="DV46" i="2"/>
  <c r="DV45" i="2"/>
  <c r="DV44" i="2"/>
  <c r="DV43" i="2"/>
  <c r="DV42" i="2"/>
  <c r="DV41" i="2"/>
  <c r="DV40" i="2"/>
  <c r="DV39" i="2"/>
  <c r="DV38" i="2"/>
  <c r="DV37" i="2"/>
  <c r="DV36" i="2"/>
  <c r="DV35" i="2"/>
  <c r="DV34" i="2"/>
  <c r="DV33" i="2"/>
  <c r="DV32" i="2"/>
  <c r="DV31" i="2"/>
  <c r="DV30" i="2"/>
  <c r="DV29" i="2"/>
  <c r="DV28" i="2"/>
  <c r="DV27" i="2"/>
  <c r="DV26" i="2"/>
  <c r="DV25" i="2"/>
  <c r="DV24" i="2"/>
  <c r="DV23" i="2"/>
  <c r="DV22" i="2"/>
  <c r="DV21" i="2"/>
  <c r="DV20" i="2"/>
  <c r="DV19" i="2"/>
  <c r="DV18" i="2"/>
  <c r="DV17" i="2"/>
  <c r="DV16" i="2"/>
  <c r="DV15" i="2"/>
  <c r="DV14" i="2"/>
  <c r="DV13" i="2"/>
  <c r="DV12" i="2"/>
  <c r="DV11" i="2"/>
  <c r="DV10" i="2"/>
  <c r="DV9" i="2"/>
  <c r="DV8" i="2"/>
  <c r="DV7" i="2"/>
  <c r="DV6" i="2"/>
  <c r="DV5" i="2"/>
  <c r="DV4" i="2"/>
  <c r="DV3" i="2"/>
  <c r="DV2" i="2"/>
  <c r="DS3" i="2"/>
  <c r="DS4" i="2"/>
  <c r="JB51" i="1" l="1"/>
  <c r="JB49" i="1"/>
  <c r="JB53" i="1"/>
  <c r="JB61" i="1"/>
  <c r="JB55" i="1"/>
  <c r="JB50" i="1"/>
  <c r="JB59" i="1"/>
  <c r="JB52" i="1"/>
  <c r="JB56" i="1"/>
  <c r="JB54" i="1"/>
  <c r="JB58" i="1"/>
  <c r="JB60" i="1"/>
  <c r="JB62" i="1"/>
  <c r="JB57" i="1"/>
  <c r="DP42" i="2"/>
  <c r="DN51" i="2"/>
  <c r="DN47" i="2"/>
  <c r="DP41" i="2"/>
  <c r="DO50" i="2"/>
  <c r="DO46" i="2"/>
  <c r="DN40" i="2"/>
  <c r="DN50" i="2"/>
  <c r="DN46" i="2"/>
  <c r="DN41" i="2"/>
  <c r="DM43" i="2"/>
  <c r="DM36" i="2"/>
  <c r="IG48" i="1"/>
  <c r="DP37" i="2" s="1"/>
  <c r="HK19" i="1"/>
  <c r="DN8" i="2" s="1"/>
  <c r="DM37" i="2"/>
  <c r="HK46" i="1"/>
  <c r="DN35" i="2" s="1"/>
  <c r="DM39" i="2"/>
  <c r="HK35" i="1"/>
  <c r="DN24" i="2" s="1"/>
  <c r="DO35" i="2"/>
  <c r="HK43" i="1"/>
  <c r="DN32" i="2" s="1"/>
  <c r="HK27" i="1"/>
  <c r="DN16" i="2" s="1"/>
  <c r="DN38" i="2"/>
  <c r="DM38" i="2"/>
  <c r="DP48" i="2"/>
  <c r="DO48" i="2"/>
  <c r="DN44" i="2"/>
  <c r="DM44" i="2"/>
  <c r="DP39" i="2"/>
  <c r="DO39" i="2"/>
  <c r="DN42" i="2"/>
  <c r="DM42" i="2"/>
  <c r="DP51" i="2"/>
  <c r="DO51" i="2"/>
  <c r="DP44" i="2"/>
  <c r="DO44" i="2"/>
  <c r="DM20" i="2"/>
  <c r="HK23" i="1"/>
  <c r="DN12" i="2" s="1"/>
  <c r="DM4" i="2"/>
  <c r="DP38" i="2"/>
  <c r="DO38" i="2"/>
  <c r="DN45" i="2"/>
  <c r="DM45" i="2"/>
  <c r="IG47" i="1"/>
  <c r="DP36" i="2" s="1"/>
  <c r="DO36" i="2"/>
  <c r="DN49" i="2"/>
  <c r="DM49" i="2"/>
  <c r="HK45" i="1"/>
  <c r="DN34" i="2" s="1"/>
  <c r="DM34" i="2"/>
  <c r="DP47" i="2"/>
  <c r="DO47" i="2"/>
  <c r="DP40" i="2"/>
  <c r="DO40" i="2"/>
  <c r="DP45" i="2"/>
  <c r="DO45" i="2"/>
  <c r="IG45" i="1"/>
  <c r="DP34" i="2" s="1"/>
  <c r="DO34" i="2"/>
  <c r="DN48" i="2"/>
  <c r="DM48" i="2"/>
  <c r="DP43" i="2"/>
  <c r="DO43" i="2"/>
  <c r="DP49" i="2"/>
  <c r="DO49" i="2"/>
  <c r="B49" i="5"/>
  <c r="B48" i="5"/>
  <c r="B47" i="5"/>
  <c r="B46" i="5"/>
  <c r="B45" i="5"/>
  <c r="B44" i="5"/>
  <c r="HK39" i="1"/>
  <c r="DN28" i="2" s="1"/>
  <c r="IG41" i="1"/>
  <c r="DP30" i="2" s="1"/>
  <c r="DO30" i="2"/>
  <c r="IG25" i="1"/>
  <c r="DP14" i="2" s="1"/>
  <c r="DO14" i="2"/>
  <c r="IG31" i="1"/>
  <c r="DP20" i="2" s="1"/>
  <c r="DO20" i="2"/>
  <c r="IG27" i="1"/>
  <c r="DP16" i="2" s="1"/>
  <c r="DO16" i="2"/>
  <c r="IG23" i="1"/>
  <c r="DP12" i="2" s="1"/>
  <c r="DO12" i="2"/>
  <c r="IG19" i="1"/>
  <c r="DP8" i="2" s="1"/>
  <c r="DO8" i="2"/>
  <c r="IG21" i="1"/>
  <c r="DP10" i="2" s="1"/>
  <c r="DO10" i="2"/>
  <c r="IG42" i="1"/>
  <c r="DP31" i="2" s="1"/>
  <c r="DO31" i="2"/>
  <c r="IG34" i="1"/>
  <c r="DP23" i="2" s="1"/>
  <c r="DO23" i="2"/>
  <c r="IG26" i="1"/>
  <c r="DP15" i="2" s="1"/>
  <c r="DO15" i="2"/>
  <c r="IG40" i="1"/>
  <c r="DP29" i="2" s="1"/>
  <c r="DO29" i="2"/>
  <c r="IG32" i="1"/>
  <c r="DP21" i="2" s="1"/>
  <c r="DO21" i="2"/>
  <c r="IG24" i="1"/>
  <c r="DP13" i="2" s="1"/>
  <c r="DO13" i="2"/>
  <c r="IG16" i="1"/>
  <c r="DP5" i="2" s="1"/>
  <c r="DO5" i="2"/>
  <c r="IG33" i="1"/>
  <c r="DP22" i="2" s="1"/>
  <c r="DO22" i="2"/>
  <c r="IG35" i="1"/>
  <c r="DP24" i="2" s="1"/>
  <c r="DO24" i="2"/>
  <c r="IG39" i="1"/>
  <c r="DP28" i="2" s="1"/>
  <c r="DO28" i="2"/>
  <c r="IG43" i="1"/>
  <c r="DP32" i="2" s="1"/>
  <c r="DO32" i="2"/>
  <c r="IG37" i="1"/>
  <c r="DP26" i="2" s="1"/>
  <c r="DO26" i="2"/>
  <c r="IG17" i="1"/>
  <c r="DP6" i="2" s="1"/>
  <c r="DO6" i="2"/>
  <c r="IG38" i="1"/>
  <c r="DP27" i="2" s="1"/>
  <c r="DO27" i="2"/>
  <c r="IG30" i="1"/>
  <c r="DP19" i="2" s="1"/>
  <c r="DO19" i="2"/>
  <c r="IG22" i="1"/>
  <c r="DP11" i="2" s="1"/>
  <c r="DO11" i="2"/>
  <c r="IG14" i="1"/>
  <c r="DP3" i="2" s="1"/>
  <c r="DO3" i="2"/>
  <c r="IG44" i="1"/>
  <c r="DP33" i="2" s="1"/>
  <c r="DO33" i="2"/>
  <c r="IG36" i="1"/>
  <c r="DP25" i="2" s="1"/>
  <c r="DO25" i="2"/>
  <c r="IG20" i="1"/>
  <c r="DP9" i="2" s="1"/>
  <c r="DO9" i="2"/>
  <c r="IG15" i="1"/>
  <c r="DP4" i="2" s="1"/>
  <c r="DO4" i="2"/>
  <c r="IG29" i="1"/>
  <c r="DP18" i="2" s="1"/>
  <c r="DO18" i="2"/>
  <c r="IG28" i="1"/>
  <c r="DP17" i="2" s="1"/>
  <c r="DO17" i="2"/>
  <c r="IG18" i="1"/>
  <c r="DP7" i="2" s="1"/>
  <c r="DO7" i="2"/>
  <c r="HK37" i="1"/>
  <c r="DN26" i="2" s="1"/>
  <c r="DM26" i="2"/>
  <c r="HK29" i="1"/>
  <c r="DN18" i="2" s="1"/>
  <c r="DM18" i="2"/>
  <c r="HK21" i="1"/>
  <c r="DN10" i="2" s="1"/>
  <c r="DM10" i="2"/>
  <c r="HK24" i="1"/>
  <c r="DN13" i="2" s="1"/>
  <c r="DM13" i="2"/>
  <c r="HK40" i="1"/>
  <c r="DN29" i="2" s="1"/>
  <c r="DM29" i="2"/>
  <c r="HK22" i="1"/>
  <c r="DN11" i="2" s="1"/>
  <c r="DM11" i="2"/>
  <c r="HK32" i="1"/>
  <c r="DN21" i="2" s="1"/>
  <c r="DM21" i="2"/>
  <c r="HK28" i="1"/>
  <c r="DN17" i="2" s="1"/>
  <c r="DM17" i="2"/>
  <c r="HK18" i="1"/>
  <c r="DN7" i="2" s="1"/>
  <c r="DM7" i="2"/>
  <c r="HK14" i="1"/>
  <c r="DN3" i="2" s="1"/>
  <c r="DM3" i="2"/>
  <c r="HK41" i="1"/>
  <c r="DN30" i="2" s="1"/>
  <c r="DM30" i="2"/>
  <c r="HK33" i="1"/>
  <c r="DN22" i="2" s="1"/>
  <c r="DM22" i="2"/>
  <c r="HK25" i="1"/>
  <c r="DN14" i="2" s="1"/>
  <c r="DM14" i="2"/>
  <c r="HK17" i="1"/>
  <c r="DN6" i="2" s="1"/>
  <c r="DM6" i="2"/>
  <c r="HK42" i="1"/>
  <c r="DN31" i="2" s="1"/>
  <c r="DM31" i="2"/>
  <c r="HK16" i="1"/>
  <c r="DN5" i="2" s="1"/>
  <c r="DM5" i="2"/>
  <c r="HK44" i="1"/>
  <c r="DN33" i="2" s="1"/>
  <c r="DM33" i="2"/>
  <c r="HK34" i="1"/>
  <c r="DN23" i="2" s="1"/>
  <c r="DM23" i="2"/>
  <c r="HK38" i="1"/>
  <c r="DN27" i="2" s="1"/>
  <c r="DM27" i="2"/>
  <c r="HK30" i="1"/>
  <c r="DN19" i="2" s="1"/>
  <c r="DM19" i="2"/>
  <c r="HK26" i="1"/>
  <c r="DN15" i="2" s="1"/>
  <c r="DM15" i="2"/>
  <c r="HK20" i="1"/>
  <c r="DN9" i="2" s="1"/>
  <c r="DM9" i="2"/>
  <c r="HK36" i="1"/>
  <c r="DN25" i="2" s="1"/>
  <c r="DM25" i="2"/>
  <c r="C5" i="5"/>
  <c r="HG13" i="1"/>
  <c r="ID13" i="1"/>
  <c r="HI13" i="1"/>
  <c r="IC13" i="1"/>
  <c r="IB13" i="1"/>
  <c r="IE13" i="1"/>
  <c r="HF13" i="1"/>
  <c r="HH13" i="1"/>
  <c r="EB3" i="2"/>
  <c r="EB5" i="2"/>
  <c r="EB7" i="2"/>
  <c r="EB9" i="2"/>
  <c r="EB11" i="2"/>
  <c r="EB13" i="2"/>
  <c r="EB15" i="2"/>
  <c r="EB17" i="2"/>
  <c r="EB19" i="2"/>
  <c r="EB21" i="2"/>
  <c r="EB23" i="2"/>
  <c r="EB25" i="2"/>
  <c r="EB27" i="2"/>
  <c r="EB29" i="2"/>
  <c r="EB31" i="2"/>
  <c r="EB33" i="2"/>
  <c r="EB35" i="2"/>
  <c r="EB37" i="2"/>
  <c r="EB39" i="2"/>
  <c r="EB41" i="2"/>
  <c r="EB43" i="2"/>
  <c r="EB45" i="2"/>
  <c r="EB47" i="2"/>
  <c r="EB49" i="2"/>
  <c r="IF13" i="1" l="1"/>
  <c r="IG13" i="1" s="1"/>
  <c r="DP2" i="2" s="1"/>
  <c r="HJ13" i="1"/>
  <c r="HK13" i="1" s="1"/>
  <c r="DN2" i="2" s="1"/>
  <c r="DS2" i="2"/>
  <c r="DO2" i="2" l="1"/>
  <c r="CH2" i="2"/>
  <c r="DJ2" i="2"/>
  <c r="DM2" i="2"/>
  <c r="BJ2" i="2"/>
  <c r="DL2" i="2"/>
  <c r="DE2" i="2"/>
  <c r="CX2" i="2"/>
  <c r="CQ2" i="2"/>
  <c r="CJ2" i="2"/>
  <c r="CC2" i="2"/>
  <c r="BV2" i="2"/>
  <c r="BP2" i="2"/>
  <c r="BD2" i="2"/>
  <c r="AX2" i="2"/>
  <c r="AR2" i="2"/>
  <c r="AL2" i="2"/>
  <c r="AF2" i="2"/>
  <c r="Z2" i="2"/>
  <c r="T2" i="2" l="1"/>
  <c r="R2" i="2"/>
  <c r="X2" i="2"/>
  <c r="AD2" i="2"/>
  <c r="AP2" i="2"/>
  <c r="AJ2" i="2"/>
  <c r="AV2" i="2"/>
  <c r="BB2" i="2"/>
  <c r="BH2" i="2"/>
  <c r="BN2" i="2"/>
  <c r="BT2" i="2"/>
  <c r="CA2" i="2"/>
  <c r="CO2" i="2"/>
  <c r="CV2" i="2"/>
  <c r="DC2" i="2"/>
  <c r="EJ50" i="2"/>
  <c r="EJ49" i="2"/>
  <c r="EJ48" i="2"/>
  <c r="EJ47" i="2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FF8" i="1"/>
  <c r="ET8" i="1"/>
  <c r="EH8" i="1"/>
  <c r="CK6" i="2" l="1"/>
  <c r="CK17" i="2"/>
  <c r="CK26" i="2"/>
  <c r="CK29" i="2"/>
  <c r="CK37" i="2"/>
  <c r="CK45" i="2"/>
  <c r="CK3" i="2"/>
  <c r="CK11" i="2"/>
  <c r="CK14" i="2"/>
  <c r="CK20" i="2"/>
  <c r="CK23" i="2"/>
  <c r="CK34" i="2"/>
  <c r="CK42" i="2"/>
  <c r="CK50" i="2"/>
  <c r="CK8" i="2"/>
  <c r="CK31" i="2"/>
  <c r="CK39" i="2"/>
  <c r="CK47" i="2"/>
  <c r="CK5" i="2"/>
  <c r="CK16" i="2"/>
  <c r="CK19" i="2"/>
  <c r="CK25" i="2"/>
  <c r="CK28" i="2"/>
  <c r="CK36" i="2"/>
  <c r="CK44" i="2"/>
  <c r="CK10" i="2"/>
  <c r="CK13" i="2"/>
  <c r="CK22" i="2"/>
  <c r="CK33" i="2"/>
  <c r="CK41" i="2"/>
  <c r="CK49" i="2"/>
  <c r="CK40" i="2"/>
  <c r="CK7" i="2"/>
  <c r="CK18" i="2"/>
  <c r="CK27" i="2"/>
  <c r="CK30" i="2"/>
  <c r="CK38" i="2"/>
  <c r="CK46" i="2"/>
  <c r="CK9" i="2"/>
  <c r="CK21" i="2"/>
  <c r="CK32" i="2"/>
  <c r="CK4" i="2"/>
  <c r="CK12" i="2"/>
  <c r="CK15" i="2"/>
  <c r="CK24" i="2"/>
  <c r="CK35" i="2"/>
  <c r="CK43" i="2"/>
  <c r="CK51" i="2"/>
  <c r="CK48" i="2"/>
  <c r="CR3" i="2"/>
  <c r="CR11" i="2"/>
  <c r="CR14" i="2"/>
  <c r="CR20" i="2"/>
  <c r="CR23" i="2"/>
  <c r="CR34" i="2"/>
  <c r="CR42" i="2"/>
  <c r="CR50" i="2"/>
  <c r="CR8" i="2"/>
  <c r="CR31" i="2"/>
  <c r="CR39" i="2"/>
  <c r="CR47" i="2"/>
  <c r="CR37" i="2"/>
  <c r="CR5" i="2"/>
  <c r="CR16" i="2"/>
  <c r="CR19" i="2"/>
  <c r="CR25" i="2"/>
  <c r="CR28" i="2"/>
  <c r="CR36" i="2"/>
  <c r="CR44" i="2"/>
  <c r="CR29" i="2"/>
  <c r="CR10" i="2"/>
  <c r="CR13" i="2"/>
  <c r="CR22" i="2"/>
  <c r="CR33" i="2"/>
  <c r="CR41" i="2"/>
  <c r="CR49" i="2"/>
  <c r="CR6" i="2"/>
  <c r="CR17" i="2"/>
  <c r="CR7" i="2"/>
  <c r="CR18" i="2"/>
  <c r="CR27" i="2"/>
  <c r="CR30" i="2"/>
  <c r="CR38" i="2"/>
  <c r="CR46" i="2"/>
  <c r="CR4" i="2"/>
  <c r="CR12" i="2"/>
  <c r="CR15" i="2"/>
  <c r="CR24" i="2"/>
  <c r="CR35" i="2"/>
  <c r="CR43" i="2"/>
  <c r="CR51" i="2"/>
  <c r="CR45" i="2"/>
  <c r="CR9" i="2"/>
  <c r="CR21" i="2"/>
  <c r="CR32" i="2"/>
  <c r="CR40" i="2"/>
  <c r="CR48" i="2"/>
  <c r="CR26" i="2"/>
  <c r="CD9" i="2"/>
  <c r="CD21" i="2"/>
  <c r="CD32" i="2"/>
  <c r="CD40" i="2"/>
  <c r="CD48" i="2"/>
  <c r="CD24" i="2"/>
  <c r="CD6" i="2"/>
  <c r="CD17" i="2"/>
  <c r="CD26" i="2"/>
  <c r="CD29" i="2"/>
  <c r="CD37" i="2"/>
  <c r="CD45" i="2"/>
  <c r="CD4" i="2"/>
  <c r="CD35" i="2"/>
  <c r="CD3" i="2"/>
  <c r="CD11" i="2"/>
  <c r="CD14" i="2"/>
  <c r="CD20" i="2"/>
  <c r="CD23" i="2"/>
  <c r="CD34" i="2"/>
  <c r="CD42" i="2"/>
  <c r="CD50" i="2"/>
  <c r="CD8" i="2"/>
  <c r="CD31" i="2"/>
  <c r="CD39" i="2"/>
  <c r="CD47" i="2"/>
  <c r="CD51" i="2"/>
  <c r="CD5" i="2"/>
  <c r="CD16" i="2"/>
  <c r="CD19" i="2"/>
  <c r="CD25" i="2"/>
  <c r="CD28" i="2"/>
  <c r="CD36" i="2"/>
  <c r="CD44" i="2"/>
  <c r="CD10" i="2"/>
  <c r="CD13" i="2"/>
  <c r="CD22" i="2"/>
  <c r="CD33" i="2"/>
  <c r="CD41" i="2"/>
  <c r="CD49" i="2"/>
  <c r="CD15" i="2"/>
  <c r="CD43" i="2"/>
  <c r="CD7" i="2"/>
  <c r="CD18" i="2"/>
  <c r="CD27" i="2"/>
  <c r="CD30" i="2"/>
  <c r="CD38" i="2"/>
  <c r="CD46" i="2"/>
  <c r="CD12" i="2"/>
  <c r="EJ51" i="2"/>
  <c r="JB42" i="1"/>
  <c r="A34" i="5" s="1"/>
  <c r="JB19" i="1"/>
  <c r="A11" i="5" s="1"/>
  <c r="A49" i="5"/>
  <c r="JB46" i="1"/>
  <c r="A38" i="5" s="1"/>
  <c r="JB37" i="1"/>
  <c r="A29" i="5" s="1"/>
  <c r="JB41" i="1"/>
  <c r="A33" i="5" s="1"/>
  <c r="JB30" i="1"/>
  <c r="A22" i="5" s="1"/>
  <c r="JB25" i="1"/>
  <c r="A17" i="5" s="1"/>
  <c r="JB34" i="1"/>
  <c r="A26" i="5" s="1"/>
  <c r="A45" i="5"/>
  <c r="JB20" i="1"/>
  <c r="A12" i="5" s="1"/>
  <c r="JB40" i="1"/>
  <c r="A32" i="5" s="1"/>
  <c r="JB24" i="1"/>
  <c r="A16" i="5" s="1"/>
  <c r="JB13" i="1"/>
  <c r="A5" i="5" s="1"/>
  <c r="A41" i="5"/>
  <c r="JB29" i="1"/>
  <c r="A21" i="5" s="1"/>
  <c r="JB33" i="1"/>
  <c r="A25" i="5" s="1"/>
  <c r="JB27" i="1"/>
  <c r="A19" i="5" s="1"/>
  <c r="JB45" i="1"/>
  <c r="A37" i="5" s="1"/>
  <c r="JB16" i="1"/>
  <c r="A8" i="5" s="1"/>
  <c r="JB36" i="1"/>
  <c r="A28" i="5" s="1"/>
  <c r="JB23" i="1"/>
  <c r="A15" i="5" s="1"/>
  <c r="JB28" i="1"/>
  <c r="A20" i="5" s="1"/>
  <c r="JB21" i="1"/>
  <c r="A13" i="5" s="1"/>
  <c r="A46" i="5"/>
  <c r="JB39" i="1"/>
  <c r="A31" i="5" s="1"/>
  <c r="EK50" i="2"/>
  <c r="JB31" i="1"/>
  <c r="A23" i="5" s="1"/>
  <c r="JB26" i="1"/>
  <c r="A18" i="5" s="1"/>
  <c r="JB35" i="1"/>
  <c r="A27" i="5" s="1"/>
  <c r="JB15" i="1"/>
  <c r="A7" i="5" s="1"/>
  <c r="EK49" i="2"/>
  <c r="EK47" i="2"/>
  <c r="JB14" i="1"/>
  <c r="A6" i="5" s="1"/>
  <c r="JB17" i="1"/>
  <c r="A9" i="5" s="1"/>
  <c r="JB44" i="1"/>
  <c r="A36" i="5" s="1"/>
  <c r="A42" i="5"/>
  <c r="JB47" i="1"/>
  <c r="A39" i="5" s="1"/>
  <c r="JB38" i="1"/>
  <c r="A30" i="5" s="1"/>
  <c r="JB22" i="1"/>
  <c r="A14" i="5" s="1"/>
  <c r="JB48" i="1"/>
  <c r="A40" i="5" s="1"/>
  <c r="A43" i="5"/>
  <c r="JB32" i="1"/>
  <c r="A24" i="5" s="1"/>
  <c r="JB43" i="1"/>
  <c r="A35" i="5" s="1"/>
  <c r="JB18" i="1"/>
  <c r="A10" i="5" s="1"/>
  <c r="A48" i="5"/>
  <c r="A44" i="5"/>
  <c r="A47" i="5"/>
  <c r="EK48" i="2"/>
  <c r="EJ34" i="2"/>
  <c r="EJ36" i="2"/>
  <c r="EJ38" i="2"/>
  <c r="EJ40" i="2"/>
  <c r="EJ42" i="2"/>
  <c r="EJ44" i="2"/>
  <c r="EJ46" i="2"/>
  <c r="EJ35" i="2"/>
  <c r="EJ37" i="2"/>
  <c r="EJ39" i="2"/>
  <c r="EJ41" i="2"/>
  <c r="EJ43" i="2"/>
  <c r="EJ45" i="2"/>
  <c r="EJ3" i="2"/>
  <c r="EJ4" i="2"/>
  <c r="EJ6" i="2"/>
  <c r="EJ8" i="2"/>
  <c r="EJ10" i="2"/>
  <c r="EJ12" i="2"/>
  <c r="EJ14" i="2"/>
  <c r="EJ16" i="2"/>
  <c r="EJ18" i="2"/>
  <c r="EJ20" i="2"/>
  <c r="EJ22" i="2"/>
  <c r="EJ24" i="2"/>
  <c r="EJ26" i="2"/>
  <c r="EJ28" i="2"/>
  <c r="EJ30" i="2"/>
  <c r="EJ32" i="2"/>
  <c r="EJ5" i="2"/>
  <c r="EJ7" i="2"/>
  <c r="EJ9" i="2"/>
  <c r="EJ11" i="2"/>
  <c r="EJ13" i="2"/>
  <c r="EJ15" i="2"/>
  <c r="EJ17" i="2"/>
  <c r="EJ19" i="2"/>
  <c r="EJ21" i="2"/>
  <c r="EJ23" i="2"/>
  <c r="EJ25" i="2"/>
  <c r="EJ27" i="2"/>
  <c r="EJ29" i="2"/>
  <c r="EJ31" i="2"/>
  <c r="EJ33" i="2"/>
  <c r="CR2" i="2"/>
  <c r="CD2" i="2"/>
  <c r="CK2" i="2"/>
  <c r="EJ2" i="2"/>
  <c r="EK51" i="2"/>
  <c r="DV8" i="1"/>
  <c r="BW4" i="2" l="1"/>
  <c r="BW12" i="2"/>
  <c r="BW15" i="2"/>
  <c r="BW24" i="2"/>
  <c r="BW35" i="2"/>
  <c r="BW43" i="2"/>
  <c r="BW51" i="2"/>
  <c r="BW7" i="2"/>
  <c r="BW18" i="2"/>
  <c r="BW27" i="2"/>
  <c r="BW9" i="2"/>
  <c r="BW21" i="2"/>
  <c r="BW32" i="2"/>
  <c r="BW40" i="2"/>
  <c r="BW48" i="2"/>
  <c r="BW6" i="2"/>
  <c r="BW17" i="2"/>
  <c r="BW26" i="2"/>
  <c r="BW29" i="2"/>
  <c r="BW37" i="2"/>
  <c r="BW45" i="2"/>
  <c r="BW30" i="2"/>
  <c r="BW46" i="2"/>
  <c r="BW3" i="2"/>
  <c r="BW11" i="2"/>
  <c r="BW14" i="2"/>
  <c r="BW20" i="2"/>
  <c r="BW23" i="2"/>
  <c r="BW34" i="2"/>
  <c r="BW42" i="2"/>
  <c r="BW50" i="2"/>
  <c r="BW8" i="2"/>
  <c r="BW31" i="2"/>
  <c r="BW39" i="2"/>
  <c r="BW47" i="2"/>
  <c r="BW5" i="2"/>
  <c r="BW16" i="2"/>
  <c r="BW19" i="2"/>
  <c r="BW25" i="2"/>
  <c r="BW28" i="2"/>
  <c r="BW36" i="2"/>
  <c r="BW44" i="2"/>
  <c r="BW38" i="2"/>
  <c r="BW10" i="2"/>
  <c r="BW13" i="2"/>
  <c r="BW22" i="2"/>
  <c r="BW33" i="2"/>
  <c r="BW41" i="2"/>
  <c r="BW49" i="2"/>
  <c r="EK18" i="2"/>
  <c r="EK34" i="2"/>
  <c r="EK17" i="2"/>
  <c r="EK33" i="2"/>
  <c r="EK16" i="2"/>
  <c r="EK32" i="2"/>
  <c r="EK11" i="2"/>
  <c r="EK27" i="2"/>
  <c r="EK43" i="2"/>
  <c r="EK22" i="2"/>
  <c r="EK38" i="2"/>
  <c r="EK5" i="2"/>
  <c r="EK21" i="2"/>
  <c r="EK37" i="2"/>
  <c r="EK4" i="2"/>
  <c r="EK20" i="2"/>
  <c r="EK36" i="2"/>
  <c r="EK2" i="2"/>
  <c r="EK15" i="2"/>
  <c r="EK31" i="2"/>
  <c r="EK10" i="2"/>
  <c r="EK26" i="2"/>
  <c r="EK42" i="2"/>
  <c r="EK9" i="2"/>
  <c r="EK25" i="2"/>
  <c r="EK41" i="2"/>
  <c r="EK8" i="2"/>
  <c r="EK24" i="2"/>
  <c r="EK40" i="2"/>
  <c r="EK3" i="2"/>
  <c r="EK19" i="2"/>
  <c r="EK35" i="2"/>
  <c r="EK14" i="2"/>
  <c r="EK30" i="2"/>
  <c r="EK46" i="2"/>
  <c r="EK13" i="2"/>
  <c r="EK29" i="2"/>
  <c r="EK45" i="2"/>
  <c r="EK12" i="2"/>
  <c r="EK28" i="2"/>
  <c r="EK44" i="2"/>
  <c r="EK7" i="2"/>
  <c r="EK23" i="2"/>
  <c r="EK39" i="2"/>
  <c r="EK6" i="2"/>
  <c r="BW2" i="2"/>
</calcChain>
</file>

<file path=xl/sharedStrings.xml><?xml version="1.0" encoding="utf-8"?>
<sst xmlns="http://schemas.openxmlformats.org/spreadsheetml/2006/main" count="1308" uniqueCount="274">
  <si>
    <t>NO</t>
  </si>
  <si>
    <t>NIS</t>
  </si>
  <si>
    <t>NISN</t>
  </si>
  <si>
    <t>NAMA PESERTA DIDIK</t>
  </si>
  <si>
    <t>L/P</t>
  </si>
  <si>
    <t>Pendidikan Agama Dan Budi Pekerti</t>
  </si>
  <si>
    <t>Predikat</t>
  </si>
  <si>
    <t>KKM :</t>
  </si>
  <si>
    <t>Nm. Guru :</t>
  </si>
  <si>
    <t>Pendidikan Pancasila dan Kewarganegaraan</t>
  </si>
  <si>
    <t>Bahasa Indonesia</t>
  </si>
  <si>
    <t>Matematika</t>
  </si>
  <si>
    <t>Sejarah Indonesia</t>
  </si>
  <si>
    <t>Bahasa Inggris</t>
  </si>
  <si>
    <t>KELOMPOK A (UMUM)</t>
  </si>
  <si>
    <t>PENGETAHUAN</t>
  </si>
  <si>
    <t>KETERAMPILAN</t>
  </si>
  <si>
    <t>NILAI</t>
  </si>
  <si>
    <t>Seni Budaya</t>
  </si>
  <si>
    <t>Pendidikan Jasmani, Olah Raga dan Kesehatan</t>
  </si>
  <si>
    <t>Prakarya dan Kewirausahaan</t>
  </si>
  <si>
    <t>Bahasa Sunda</t>
  </si>
  <si>
    <t>KELOMPOK B (UMUM)</t>
  </si>
  <si>
    <t>Kelas</t>
  </si>
  <si>
    <t>Semester</t>
  </si>
  <si>
    <t>Th Pelajaran</t>
  </si>
  <si>
    <t>Jurusan/Program</t>
  </si>
  <si>
    <t>Nama Wali Kelas</t>
  </si>
  <si>
    <t>NIP Wali Kelas</t>
  </si>
  <si>
    <t>Titimangsa Raport</t>
  </si>
  <si>
    <t>Nama Kepala Sekolah</t>
  </si>
  <si>
    <t>NIP Kepala Sekolah</t>
  </si>
  <si>
    <t>KELOMPOK C (PEMINATAN)</t>
  </si>
  <si>
    <t>LINTAS MINAT / PENDALAMAN MINAT</t>
  </si>
  <si>
    <t>KEHADIRAN</t>
  </si>
  <si>
    <t>S</t>
  </si>
  <si>
    <t>I</t>
  </si>
  <si>
    <t>TK</t>
  </si>
  <si>
    <t>EKSTRAKURIKULER</t>
  </si>
  <si>
    <t>EksKul 1</t>
  </si>
  <si>
    <t>Deskripsi</t>
  </si>
  <si>
    <t>SIKAP</t>
  </si>
  <si>
    <t>SIKAP SPIRITUAL</t>
  </si>
  <si>
    <t>SIKAP SOSIAL</t>
  </si>
  <si>
    <t>CATATAN WALI KELAS</t>
  </si>
  <si>
    <t>JUMLAH NILAI</t>
  </si>
  <si>
    <t>RANKING</t>
  </si>
  <si>
    <t>JENIS KELAMIN</t>
  </si>
  <si>
    <t>KKM PAI</t>
  </si>
  <si>
    <t>NAMA GURU PAI</t>
  </si>
  <si>
    <t>NP PAI</t>
  </si>
  <si>
    <t>PP PAI</t>
  </si>
  <si>
    <t>NK PAI</t>
  </si>
  <si>
    <t>PK PAI</t>
  </si>
  <si>
    <t>KELAS</t>
  </si>
  <si>
    <t>SEMESTER</t>
  </si>
  <si>
    <t>TH PELAJARAN</t>
  </si>
  <si>
    <t>KET SEMESTER</t>
  </si>
  <si>
    <t>-</t>
  </si>
  <si>
    <t>KKM PPKN</t>
  </si>
  <si>
    <t>NK PPKN</t>
  </si>
  <si>
    <t>NAMA GURU PPKN</t>
  </si>
  <si>
    <t>NP PPKN</t>
  </si>
  <si>
    <t>PP PPKN</t>
  </si>
  <si>
    <t>KKM BIND</t>
  </si>
  <si>
    <t>NAMA GURU BIND</t>
  </si>
  <si>
    <t>NP BIND</t>
  </si>
  <si>
    <t>PP BIND</t>
  </si>
  <si>
    <t>NK BIND</t>
  </si>
  <si>
    <t>PK BIND</t>
  </si>
  <si>
    <t>PK PPKN</t>
  </si>
  <si>
    <t>KKM MAT</t>
  </si>
  <si>
    <t>NAMA GURU MAT</t>
  </si>
  <si>
    <t>NP MAT</t>
  </si>
  <si>
    <t>PP MAT</t>
  </si>
  <si>
    <t>NK MAT</t>
  </si>
  <si>
    <t>PK MAT</t>
  </si>
  <si>
    <t>KKM SEJI</t>
  </si>
  <si>
    <t>NAMA GURU SEJI</t>
  </si>
  <si>
    <t>NP SEJI</t>
  </si>
  <si>
    <t>PP SEJI</t>
  </si>
  <si>
    <t>NK SEJI</t>
  </si>
  <si>
    <t>PK SEJI</t>
  </si>
  <si>
    <t>KKM BING</t>
  </si>
  <si>
    <t>NAMA GURU BING</t>
  </si>
  <si>
    <t>NP BING</t>
  </si>
  <si>
    <t>PP BING</t>
  </si>
  <si>
    <t>NK BING</t>
  </si>
  <si>
    <t>PK BING</t>
  </si>
  <si>
    <t>KKM SENI</t>
  </si>
  <si>
    <t>NAMA GURU SENI</t>
  </si>
  <si>
    <t>NP SENI</t>
  </si>
  <si>
    <t>PP SENI</t>
  </si>
  <si>
    <t>NK SENI</t>
  </si>
  <si>
    <t>PK SENI</t>
  </si>
  <si>
    <t>Nil</t>
  </si>
  <si>
    <t>Pred</t>
  </si>
  <si>
    <t>Peng</t>
  </si>
  <si>
    <t>Ket</t>
  </si>
  <si>
    <t>Penget</t>
  </si>
  <si>
    <t>Ketramp</t>
  </si>
  <si>
    <t>PENGETAHUAN &amp; KETERAMPILAN</t>
  </si>
  <si>
    <t>MULAI</t>
  </si>
  <si>
    <t>SAMPAI</t>
  </si>
  <si>
    <t>PREDIKAT</t>
  </si>
  <si>
    <t>A</t>
  </si>
  <si>
    <t>B</t>
  </si>
  <si>
    <t>C</t>
  </si>
  <si>
    <t>D</t>
  </si>
  <si>
    <t>K</t>
  </si>
  <si>
    <t>P</t>
  </si>
  <si>
    <t>Sangat aktif dalam mengikuti kegiatan</t>
  </si>
  <si>
    <t>Aktif dalam mengikuti kegiatan</t>
  </si>
  <si>
    <t>Cukup aktif dalam mengikuti kegiatan</t>
  </si>
  <si>
    <t>DESKRIPSI SIKAP</t>
  </si>
  <si>
    <t>NILAI HURUF</t>
  </si>
  <si>
    <t>Kurang aktif dalam mengikuti kegiatan</t>
  </si>
  <si>
    <t>KODE</t>
  </si>
  <si>
    <t>NILAI JADI</t>
  </si>
  <si>
    <t>N.Eks1</t>
  </si>
  <si>
    <t>EksKul 2</t>
  </si>
  <si>
    <t>N.Eks2</t>
  </si>
  <si>
    <t>N.Eks3</t>
  </si>
  <si>
    <t>N.Eks4</t>
  </si>
  <si>
    <t>EksKul 3</t>
  </si>
  <si>
    <t>EksKul 4</t>
  </si>
  <si>
    <t>EksKul 5</t>
  </si>
  <si>
    <t>N.Eks5</t>
  </si>
  <si>
    <t>KKM PJOK</t>
  </si>
  <si>
    <t>NAMA GURU PJOK</t>
  </si>
  <si>
    <t>NP PJOK</t>
  </si>
  <si>
    <t>PP PJOK</t>
  </si>
  <si>
    <t>PK PJOK</t>
  </si>
  <si>
    <t>KKM PKU</t>
  </si>
  <si>
    <t>NAMA GURU PKU</t>
  </si>
  <si>
    <t>NP PKU</t>
  </si>
  <si>
    <t>PP PKU</t>
  </si>
  <si>
    <t>NK PKU</t>
  </si>
  <si>
    <t>PK PKU</t>
  </si>
  <si>
    <t>KKM BSUN</t>
  </si>
  <si>
    <t>NAMA GURU BSUN</t>
  </si>
  <si>
    <t>NP BSUN</t>
  </si>
  <si>
    <t>PP BSUN</t>
  </si>
  <si>
    <t>NK BSUN</t>
  </si>
  <si>
    <t>PK BSUN</t>
  </si>
  <si>
    <t>NK PJOK</t>
  </si>
  <si>
    <t>PEMINATAN_1</t>
  </si>
  <si>
    <t>KKM PEM1</t>
  </si>
  <si>
    <t>NAMA GURU PEM1</t>
  </si>
  <si>
    <t>NP PEM1</t>
  </si>
  <si>
    <t>PP PEM1</t>
  </si>
  <si>
    <t>NK PEM1</t>
  </si>
  <si>
    <t>PK PEM1</t>
  </si>
  <si>
    <t>PEMINATAN_2</t>
  </si>
  <si>
    <t>KKM PEM2</t>
  </si>
  <si>
    <t>NAMA GURU PEM2</t>
  </si>
  <si>
    <t>NP PEM2</t>
  </si>
  <si>
    <t>PP PEM2</t>
  </si>
  <si>
    <t>NK PEM2</t>
  </si>
  <si>
    <t>PK PEM2</t>
  </si>
  <si>
    <t>PEMINATAN_3</t>
  </si>
  <si>
    <t>KKM PEM3</t>
  </si>
  <si>
    <t>NAMA GURU PEM3</t>
  </si>
  <si>
    <t>NP PEM3</t>
  </si>
  <si>
    <t>PP PEM3</t>
  </si>
  <si>
    <t>NK PEM3</t>
  </si>
  <si>
    <t>PK PEM3</t>
  </si>
  <si>
    <t>PEMINATAN_4</t>
  </si>
  <si>
    <t>KKM PEM4</t>
  </si>
  <si>
    <t>NAMA GURU PEM4</t>
  </si>
  <si>
    <t>NP PEM4</t>
  </si>
  <si>
    <t>PP PEM4</t>
  </si>
  <si>
    <t>NK PEM4</t>
  </si>
  <si>
    <t>PK PEM4</t>
  </si>
  <si>
    <t>LMPM_1</t>
  </si>
  <si>
    <t>KKM LMPM1</t>
  </si>
  <si>
    <t>NAMA GURU LMPM1</t>
  </si>
  <si>
    <t>NP LMPM1</t>
  </si>
  <si>
    <t>PP LMPM1</t>
  </si>
  <si>
    <t>NK LMPM1</t>
  </si>
  <si>
    <t>PK LMPM1</t>
  </si>
  <si>
    <t>LMPM_2</t>
  </si>
  <si>
    <t>KKM LMPM_2</t>
  </si>
  <si>
    <t>NAMA GURU LMPM_2</t>
  </si>
  <si>
    <t>NP LMPM_2</t>
  </si>
  <si>
    <t>PP LMPM_2</t>
  </si>
  <si>
    <t>NK LMPM_2</t>
  </si>
  <si>
    <t>PK LMPM_2</t>
  </si>
  <si>
    <t>JURUSAN</t>
  </si>
  <si>
    <t>TITIMANGSA</t>
  </si>
  <si>
    <t>WALIKLS</t>
  </si>
  <si>
    <t>NIPWALIKLS</t>
  </si>
  <si>
    <t>KEPSEK</t>
  </si>
  <si>
    <t>NIPKEPSEK</t>
  </si>
  <si>
    <t>EKSKUL1</t>
  </si>
  <si>
    <t>N EKSKUL1</t>
  </si>
  <si>
    <t>D EKSKUL1</t>
  </si>
  <si>
    <t>EKSKUL2</t>
  </si>
  <si>
    <t>N EKSKUL2</t>
  </si>
  <si>
    <t>D EKSKUL2</t>
  </si>
  <si>
    <t>EKSKUL3</t>
  </si>
  <si>
    <t>N EKSKUL3</t>
  </si>
  <si>
    <t>D EKSKUL3</t>
  </si>
  <si>
    <t>EKSKUL4</t>
  </si>
  <si>
    <t>N EKSKUL4</t>
  </si>
  <si>
    <t>D EKSKUL4</t>
  </si>
  <si>
    <t>EKSKUL5</t>
  </si>
  <si>
    <t>N EKSKUL5</t>
  </si>
  <si>
    <t>D EKSKUL5</t>
  </si>
  <si>
    <t>CAT WALIKELAS</t>
  </si>
  <si>
    <t>JML</t>
  </si>
  <si>
    <t>P SPIRITUAL</t>
  </si>
  <si>
    <t>D SPIRTUAL</t>
  </si>
  <si>
    <t>P SOSIAL</t>
  </si>
  <si>
    <t>D SOSIAL</t>
  </si>
  <si>
    <t>DESKRIPSI SPIRITUAL</t>
  </si>
  <si>
    <t>DESKRIPSI SOSIAL</t>
  </si>
  <si>
    <t>SPI</t>
  </si>
  <si>
    <t>SOS</t>
  </si>
  <si>
    <t>Jml. Kemunculan</t>
  </si>
  <si>
    <t>DAFTAR PERINGKAT / RANKING</t>
  </si>
  <si>
    <t>NAMA</t>
  </si>
  <si>
    <t>X MIPA-1</t>
  </si>
  <si>
    <t>Pramuka</t>
  </si>
  <si>
    <t>X MIPA-2</t>
  </si>
  <si>
    <t>X MIPA-3</t>
  </si>
  <si>
    <t>X MIPA-4</t>
  </si>
  <si>
    <t>X MIPA-5</t>
  </si>
  <si>
    <t>X MIPA-6</t>
  </si>
  <si>
    <t>X IPS-1</t>
  </si>
  <si>
    <t>X IPS-2</t>
  </si>
  <si>
    <t>X IPS-3</t>
  </si>
  <si>
    <t>X IPS-4</t>
  </si>
  <si>
    <t>X IPS-5</t>
  </si>
  <si>
    <t>XI MIPA-1</t>
  </si>
  <si>
    <t>XI MIPA-2</t>
  </si>
  <si>
    <t>XI MIPA-3</t>
  </si>
  <si>
    <t>XI MIPA-4</t>
  </si>
  <si>
    <t>XI MIPA-5</t>
  </si>
  <si>
    <t>XI IPS-1</t>
  </si>
  <si>
    <t>XI IPS-2</t>
  </si>
  <si>
    <t>XI IPS-3</t>
  </si>
  <si>
    <t>XI IPS-4</t>
  </si>
  <si>
    <t>XI IPS-5</t>
  </si>
  <si>
    <t>XII MIPA-1</t>
  </si>
  <si>
    <t>XII MIPA-2</t>
  </si>
  <si>
    <t>XII MIPA-3</t>
  </si>
  <si>
    <t>XII MIPA-4</t>
  </si>
  <si>
    <t>XII MIPA-5</t>
  </si>
  <si>
    <t>XII IPS-1</t>
  </si>
  <si>
    <t>XII IPS-2</t>
  </si>
  <si>
    <t>XII IPS-3</t>
  </si>
  <si>
    <t>XII IPS-4</t>
  </si>
  <si>
    <t>XII IPS-5</t>
  </si>
  <si>
    <t>X IPS-6</t>
  </si>
  <si>
    <t>XII MIPA-6</t>
  </si>
  <si>
    <t>MIPA</t>
  </si>
  <si>
    <t>2022/2023</t>
  </si>
  <si>
    <t>XI IPS-6</t>
  </si>
  <si>
    <t>XI MIPA-6</t>
  </si>
  <si>
    <t>XII IPS-6</t>
  </si>
  <si>
    <t>Bandung, 10 Oktober 2022</t>
  </si>
  <si>
    <t>Drs. Ahmad Fathony</t>
  </si>
  <si>
    <t>12345678 123456 1 123</t>
  </si>
  <si>
    <t>H. Abdul Basith, M.Pd.</t>
  </si>
  <si>
    <t>12341234 123123 1 234</t>
  </si>
  <si>
    <t>Terlihat masih jarang menghargai, menghayati dan mengamalkan ajaran agamanya, nampak dalam bersyukur, berdo'a, memberi salam, beribadah, berikhtiar, serta melaksanakan perintah dan menjauhi larangan-Nya.</t>
  </si>
  <si>
    <t>Terlihat masih jarang menghargai, menghayati dan berperilaku jujur, disiplin, tanggung jawab, toleransi, gotong royong, santun, percaya diri dalam berinteraksi dengan lingkungan sosialnya.</t>
  </si>
  <si>
    <t>Sudah mulai tampak menghargai, menghayati dan mengamalkan ajaran agamanya, nampak dalam bersyukur, berdo'a, memberi salam, beribadah, berikhtiar, serta melaksanakan perintah dan menjauhi larangan-Nya.</t>
  </si>
  <si>
    <t>Sudah mulai tampak menghargai, menghayati dan berperilaku jujur, disiplin, tanggung jawab, toleransi, gotong royong, santun, percaya diri dalam berinteraksi dengan lingkungan sosialnya.</t>
  </si>
  <si>
    <t>Seringkali terlihat menghargai, menghayati dan mengamalkan ajaran agamanya, nampak dalam bersyukur, berdo'a, memberi salam, beribadah, berikhtiar, serta melaksanakan perintah dan menjauhi larangan-Nya.</t>
  </si>
  <si>
    <t>Seringkali terlihat menghargai, menghayati dan berperilaku jujur, disiplin, tanggung jawab, toleransi, gotong royong, santun, percaya diri dalam berinteraksi dengan lingkungan sosialnya.</t>
  </si>
  <si>
    <t>Sudah konsisten dalam menghargai, menghayati dan mengamalkan ajaran agamanya, nampak dalam bersyukur, berdo'a, memberi salam, beribadah, berikhtiar, serta melaksanakan perintah dan menjauhi larangan-Nya.</t>
  </si>
  <si>
    <t>Sudah konsisten dalam menghargai, menghayati dan berperilaku jujur, disiplin, tanggung jawab, toleransi, gotong royong, santun, percaya diri dalam berinteraksi dengan lingkungan sosialnya.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</si>
</sst>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@\ * &quot;:&quot;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0" fillId="2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quotePrefix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/>
    <xf numFmtId="0" fontId="0" fillId="0" borderId="1" xfId="0" applyFill="1" applyBorder="1"/>
    <xf numFmtId="0" fontId="1" fillId="0" borderId="1" xfId="0" applyFont="1" applyBorder="1" applyAlignment="1" applyProtection="1">
      <alignment horizontal="left" vertical="center"/>
      <protection locked="0"/>
    </xf>
    <xf numFmtId="1" fontId="0" fillId="0" borderId="0" xfId="0" applyNumberForma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1" fontId="0" fillId="0" borderId="0" xfId="0" applyNumberFormat="1" applyAlignment="1" applyProtection="1">
      <alignment horizontal="left"/>
      <protection hidden="1"/>
    </xf>
    <xf numFmtId="0" fontId="2" fillId="3" borderId="10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" fontId="1" fillId="4" borderId="1" xfId="0" applyNumberFormat="1" applyFont="1" applyFill="1" applyBorder="1" applyAlignment="1" applyProtection="1">
      <alignment horizontal="right"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1" fontId="1" fillId="3" borderId="1" xfId="0" applyNumberFormat="1" applyFont="1" applyFill="1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1" fillId="3" borderId="7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" fontId="4" fillId="0" borderId="16" xfId="0" applyNumberFormat="1" applyFont="1" applyBorder="1" applyAlignment="1" applyProtection="1">
      <alignment horizont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hidden="1"/>
    </xf>
    <xf numFmtId="0" fontId="4" fillId="0" borderId="16" xfId="0" quotePrefix="1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1" xfId="0" quotePrefix="1" applyFont="1" applyBorder="1" applyAlignment="1" applyProtection="1">
      <alignment horizontal="center" vertical="center"/>
      <protection hidden="1"/>
    </xf>
    <xf numFmtId="0" fontId="4" fillId="0" borderId="1" xfId="0" quotePrefix="1" applyFont="1" applyBorder="1" applyProtection="1">
      <protection locked="0"/>
    </xf>
    <xf numFmtId="0" fontId="4" fillId="0" borderId="1" xfId="0" quotePrefix="1" applyFont="1" applyBorder="1" applyAlignment="1" applyProtection="1">
      <alignment horizontal="center"/>
      <protection locked="0"/>
    </xf>
    <xf numFmtId="0" fontId="4" fillId="0" borderId="1" xfId="0" quotePrefix="1" applyFont="1" applyBorder="1" applyAlignment="1" applyProtection="1">
      <alignment horizontal="left" vertical="center"/>
      <protection locked="0"/>
    </xf>
    <xf numFmtId="0" fontId="4" fillId="0" borderId="1" xfId="0" quotePrefix="1" applyFon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/>
      <protection hidden="1"/>
    </xf>
    <xf numFmtId="49" fontId="0" fillId="0" borderId="2" xfId="0" applyNumberFormat="1" applyBorder="1" applyAlignment="1" applyProtection="1">
      <alignment horizontal="center"/>
      <protection hidden="1"/>
    </xf>
    <xf numFmtId="49" fontId="0" fillId="0" borderId="1" xfId="0" quotePrefix="1" applyNumberFormat="1" applyBorder="1" applyAlignment="1" applyProtection="1">
      <alignment horizontal="center"/>
      <protection hidden="1"/>
    </xf>
    <xf numFmtId="49" fontId="0" fillId="0" borderId="1" xfId="0" quotePrefix="1" applyNumberFormat="1" applyBorder="1" applyAlignment="1" applyProtection="1">
      <alignment horizontal="left"/>
      <protection hidden="1"/>
    </xf>
    <xf numFmtId="49" fontId="0" fillId="0" borderId="2" xfId="0" quotePrefix="1" applyNumberFormat="1" applyBorder="1" applyAlignment="1" applyProtection="1">
      <alignment horizontal="center"/>
      <protection hidden="1"/>
    </xf>
    <xf numFmtId="1" fontId="1" fillId="6" borderId="1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Fill="1" applyBorder="1" applyAlignment="1" applyProtection="1">
      <protection hidden="1"/>
    </xf>
    <xf numFmtId="49" fontId="0" fillId="0" borderId="0" xfId="0" quotePrefix="1" applyNumberFormat="1" applyFill="1" applyBorder="1" applyAlignment="1" applyProtection="1">
      <protection locked="0"/>
    </xf>
    <xf numFmtId="49" fontId="0" fillId="0" borderId="0" xfId="0" applyNumberFormat="1" applyFill="1" applyBorder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0" fontId="0" fillId="0" borderId="0" xfId="0" quotePrefix="1" applyFill="1" applyBorder="1" applyAlignment="1" applyProtection="1">
      <protection locked="0"/>
    </xf>
    <xf numFmtId="1" fontId="0" fillId="0" borderId="0" xfId="0" applyNumberFormat="1" applyFill="1" applyBorder="1" applyProtection="1">
      <protection hidden="1"/>
    </xf>
    <xf numFmtId="0" fontId="0" fillId="0" borderId="0" xfId="0" applyFill="1" applyBorder="1" applyProtection="1">
      <protection hidden="1"/>
    </xf>
    <xf numFmtId="0" fontId="1" fillId="0" borderId="4" xfId="0" applyFont="1" applyBorder="1" applyAlignment="1" applyProtection="1">
      <alignment horizontal="left" indent="1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 applyProtection="1">
      <alignment vertical="center"/>
      <protection locked="0"/>
    </xf>
    <xf numFmtId="0" fontId="1" fillId="6" borderId="4" xfId="0" applyFont="1" applyFill="1" applyBorder="1" applyAlignment="1" applyProtection="1">
      <alignment vertical="center"/>
      <protection locked="0"/>
    </xf>
    <xf numFmtId="0" fontId="1" fillId="6" borderId="1" xfId="0" applyFont="1" applyFill="1" applyBorder="1" applyAlignment="1" applyProtection="1">
      <alignment vertical="center"/>
      <protection locked="0"/>
    </xf>
    <xf numFmtId="0" fontId="1" fillId="4" borderId="3" xfId="0" applyFont="1" applyFill="1" applyBorder="1" applyAlignment="1" applyProtection="1">
      <alignment vertical="center"/>
      <protection locked="0"/>
    </xf>
    <xf numFmtId="0" fontId="1" fillId="4" borderId="4" xfId="0" applyFont="1" applyFill="1" applyBorder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center"/>
      <protection locked="0"/>
    </xf>
    <xf numFmtId="49" fontId="0" fillId="2" borderId="1" xfId="0" applyNumberFormat="1" applyFill="1" applyBorder="1"/>
    <xf numFmtId="0" fontId="1" fillId="0" borderId="4" xfId="0" applyFont="1" applyBorder="1" applyAlignment="1" applyProtection="1">
      <protection locked="0"/>
    </xf>
    <xf numFmtId="49" fontId="1" fillId="0" borderId="2" xfId="0" applyNumberFormat="1" applyFont="1" applyBorder="1" applyAlignment="1" applyProtection="1">
      <alignment horizontal="left" indent="1"/>
      <protection locked="0"/>
    </xf>
    <xf numFmtId="49" fontId="0" fillId="0" borderId="1" xfId="0" applyNumberFormat="1" applyBorder="1" applyAlignment="1" applyProtection="1">
      <alignment horizontal="left" indent="1"/>
      <protection hidden="1"/>
    </xf>
    <xf numFmtId="49" fontId="0" fillId="0" borderId="1" xfId="0" quotePrefix="1" applyNumberFormat="1" applyBorder="1" applyAlignment="1" applyProtection="1">
      <alignment horizontal="left" indent="1"/>
      <protection hidden="1"/>
    </xf>
    <xf numFmtId="49" fontId="1" fillId="0" borderId="2" xfId="0" quotePrefix="1" applyNumberFormat="1" applyFont="1" applyBorder="1" applyAlignment="1" applyProtection="1">
      <alignment horizontal="left" indent="1"/>
      <protection locked="0"/>
    </xf>
    <xf numFmtId="0" fontId="1" fillId="3" borderId="6" xfId="0" applyFont="1" applyFill="1" applyBorder="1" applyAlignment="1" applyProtection="1">
      <alignment horizontal="center" vertical="center"/>
      <protection hidden="1"/>
    </xf>
    <xf numFmtId="0" fontId="1" fillId="3" borderId="7" xfId="0" applyFont="1" applyFill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Alignment="1" applyProtection="1">
      <alignment horizontal="left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2" fillId="6" borderId="2" xfId="0" applyFont="1" applyFill="1" applyBorder="1" applyAlignment="1" applyProtection="1">
      <alignment horizontal="center" vertical="center"/>
      <protection hidden="1"/>
    </xf>
    <xf numFmtId="0" fontId="2" fillId="6" borderId="3" xfId="0" applyFont="1" applyFill="1" applyBorder="1" applyAlignment="1" applyProtection="1">
      <alignment horizontal="center" vertical="center"/>
      <protection hidden="1"/>
    </xf>
    <xf numFmtId="0" fontId="2" fillId="6" borderId="4" xfId="0" applyFont="1" applyFill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center" vertical="center" wrapText="1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10" xfId="0" applyFont="1" applyFill="1" applyBorder="1" applyAlignment="1" applyProtection="1">
      <alignment horizontal="center" vertical="center"/>
      <protection hidden="1"/>
    </xf>
    <xf numFmtId="0" fontId="2" fillId="3" borderId="11" xfId="0" applyFont="1" applyFill="1" applyBorder="1" applyAlignment="1" applyProtection="1">
      <alignment horizontal="center" vertical="center"/>
      <protection hidden="1"/>
    </xf>
    <xf numFmtId="0" fontId="2" fillId="3" borderId="12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Border="1" applyAlignment="1" applyProtection="1">
      <alignment horizontal="center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2" fillId="3" borderId="9" xfId="0" applyFont="1" applyFill="1" applyBorder="1" applyAlignment="1" applyProtection="1">
      <alignment horizontal="center" vertical="center"/>
      <protection hidden="1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0" borderId="10" xfId="0" applyFont="1" applyFill="1" applyBorder="1" applyAlignment="1" applyProtection="1">
      <alignment horizontal="center" vertical="center" wrapText="1"/>
      <protection hidden="1"/>
    </xf>
    <xf numFmtId="0" fontId="2" fillId="0" borderId="11" xfId="0" applyFont="1" applyFill="1" applyBorder="1" applyAlignment="1" applyProtection="1">
      <alignment horizontal="center" vertical="center" wrapText="1"/>
      <protection hidden="1"/>
    </xf>
    <xf numFmtId="0" fontId="2" fillId="0" borderId="12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13" xfId="0" applyFont="1" applyFill="1" applyBorder="1" applyAlignment="1" applyProtection="1">
      <alignment horizontal="center" vertical="center" wrapText="1"/>
      <protection hidden="1"/>
    </xf>
    <xf numFmtId="0" fontId="2" fillId="0" borderId="8" xfId="0" applyFont="1" applyFill="1" applyBorder="1" applyAlignment="1" applyProtection="1">
      <alignment horizontal="center" vertical="center" wrapText="1"/>
      <protection hidden="1"/>
    </xf>
    <xf numFmtId="0" fontId="2" fillId="0" borderId="9" xfId="0" applyFont="1" applyFill="1" applyBorder="1" applyAlignment="1" applyProtection="1">
      <alignment horizontal="center" vertical="center" wrapText="1"/>
      <protection hidden="1"/>
    </xf>
    <xf numFmtId="0" fontId="2" fillId="0" borderId="14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164" fontId="1" fillId="0" borderId="0" xfId="0" applyNumberFormat="1" applyFont="1" applyFill="1" applyBorder="1" applyAlignment="1" applyProtection="1">
      <alignment horizontal="left"/>
      <protection hidden="1"/>
    </xf>
    <xf numFmtId="0" fontId="2" fillId="4" borderId="2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49" fontId="1" fillId="0" borderId="1" xfId="0" applyNumberFormat="1" applyFont="1" applyBorder="1" applyAlignment="1" applyProtection="1">
      <alignment horizontal="left" indent="1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49" fontId="1" fillId="0" borderId="0" xfId="0" applyNumberFormat="1" applyFont="1" applyFill="1" applyBorder="1" applyAlignment="1" applyProtection="1">
      <alignment horizontal="left" indent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63"/>
  <sheetViews>
    <sheetView tabSelected="1" zoomScaleNormal="100" workbookViewId="0">
      <selection activeCell="B13" sqref="B13"/>
    </sheetView>
  </sheetViews>
  <sheetFormatPr defaultRowHeight="15" x14ac:dyDescent="0.25"/>
  <cols>
    <col min="1" max="1" width="4.42578125" style="21" customWidth="1"/>
    <col min="2" max="3" width="13.7109375" style="21" customWidth="1"/>
    <col min="4" max="4" width="31.42578125" style="19" bestFit="1" customWidth="1"/>
    <col min="5" max="5" width="5.7109375" style="19" customWidth="1"/>
    <col min="6" max="6" width="15.7109375" style="23" customWidth="1"/>
    <col min="7" max="7" width="15.7109375" style="18" customWidth="1"/>
    <col min="8" max="9" width="6.7109375" style="18" customWidth="1"/>
    <col min="10" max="17" width="5.5703125" style="19" hidden="1" customWidth="1"/>
    <col min="18" max="19" width="15.7109375" style="18" customWidth="1"/>
    <col min="20" max="21" width="6.7109375" style="18" customWidth="1"/>
    <col min="22" max="29" width="5.5703125" style="19" hidden="1" customWidth="1"/>
    <col min="30" max="31" width="15.7109375" style="18" customWidth="1"/>
    <col min="32" max="33" width="6.7109375" style="18" customWidth="1"/>
    <col min="34" max="41" width="5.5703125" style="19" hidden="1" customWidth="1"/>
    <col min="42" max="43" width="15.7109375" style="18" customWidth="1"/>
    <col min="44" max="45" width="6.7109375" style="18" customWidth="1"/>
    <col min="46" max="53" width="5.5703125" style="19" hidden="1" customWidth="1"/>
    <col min="54" max="55" width="15.7109375" style="18" customWidth="1"/>
    <col min="56" max="57" width="6.7109375" style="18" customWidth="1"/>
    <col min="58" max="65" width="5.5703125" style="19" hidden="1" customWidth="1"/>
    <col min="66" max="67" width="15.7109375" style="18" customWidth="1"/>
    <col min="68" max="69" width="6.7109375" style="18" customWidth="1"/>
    <col min="70" max="77" width="5.5703125" style="19" hidden="1" customWidth="1"/>
    <col min="78" max="79" width="15.7109375" style="18" customWidth="1"/>
    <col min="80" max="81" width="6.7109375" style="18" customWidth="1"/>
    <col min="82" max="89" width="5.5703125" style="19" hidden="1" customWidth="1"/>
    <col min="90" max="91" width="15.7109375" style="18" customWidth="1"/>
    <col min="92" max="93" width="6.7109375" style="18" customWidth="1"/>
    <col min="94" max="101" width="5.5703125" style="19" hidden="1" customWidth="1"/>
    <col min="102" max="103" width="15.7109375" style="18" customWidth="1"/>
    <col min="104" max="105" width="6.7109375" style="18" customWidth="1"/>
    <col min="106" max="113" width="5.5703125" style="19" hidden="1" customWidth="1"/>
    <col min="114" max="115" width="15.7109375" style="18" customWidth="1"/>
    <col min="116" max="117" width="6.7109375" style="18" customWidth="1"/>
    <col min="118" max="125" width="5.5703125" style="19" hidden="1" customWidth="1"/>
    <col min="126" max="127" width="15.7109375" style="18" customWidth="1"/>
    <col min="128" max="129" width="6.7109375" style="18" customWidth="1"/>
    <col min="130" max="137" width="5.5703125" style="19" hidden="1" customWidth="1"/>
    <col min="138" max="139" width="15.7109375" style="18" customWidth="1"/>
    <col min="140" max="141" width="6.7109375" style="18" customWidth="1"/>
    <col min="142" max="149" width="5.5703125" style="19" hidden="1" customWidth="1"/>
    <col min="150" max="151" width="15.7109375" style="18" customWidth="1"/>
    <col min="152" max="153" width="6.7109375" style="18" customWidth="1"/>
    <col min="154" max="161" width="5.5703125" style="19" hidden="1" customWidth="1"/>
    <col min="162" max="163" width="15.7109375" style="18" customWidth="1"/>
    <col min="164" max="165" width="6.7109375" style="18" customWidth="1"/>
    <col min="166" max="173" width="5.5703125" style="19" hidden="1" customWidth="1"/>
    <col min="174" max="175" width="15.7109375" style="18" customWidth="1"/>
    <col min="176" max="177" width="6.7109375" style="18" customWidth="1"/>
    <col min="178" max="185" width="5.5703125" style="18" hidden="1" customWidth="1"/>
    <col min="186" max="187" width="15.7109375" style="18" customWidth="1"/>
    <col min="188" max="189" width="6.7109375" style="18" customWidth="1"/>
    <col min="190" max="217" width="5.5703125" style="19" hidden="1" customWidth="1"/>
    <col min="218" max="218" width="8.42578125" style="20" hidden="1" customWidth="1"/>
    <col min="219" max="219" width="9.140625" style="19" hidden="1" customWidth="1"/>
    <col min="220" max="239" width="5.5703125" style="19" hidden="1" customWidth="1"/>
    <col min="240" max="240" width="8.42578125" style="20" hidden="1" customWidth="1"/>
    <col min="241" max="241" width="9.140625" style="19" hidden="1" customWidth="1"/>
    <col min="242" max="242" width="16.42578125" style="19" customWidth="1"/>
    <col min="243" max="243" width="6.7109375" style="20" customWidth="1"/>
    <col min="244" max="244" width="6.7109375" style="19" hidden="1" customWidth="1"/>
    <col min="245" max="245" width="16.42578125" style="19" customWidth="1"/>
    <col min="246" max="246" width="6.7109375" style="21" customWidth="1"/>
    <col min="247" max="247" width="6.7109375" style="19" hidden="1" customWidth="1"/>
    <col min="248" max="248" width="16.42578125" style="19" customWidth="1"/>
    <col min="249" max="249" width="6.7109375" style="20" customWidth="1"/>
    <col min="250" max="250" width="6.7109375" style="19" hidden="1" customWidth="1"/>
    <col min="251" max="251" width="16.42578125" style="19" customWidth="1"/>
    <col min="252" max="252" width="6.7109375" style="20" customWidth="1"/>
    <col min="253" max="253" width="6.7109375" style="19" hidden="1" customWidth="1"/>
    <col min="254" max="254" width="16.42578125" style="19" customWidth="1"/>
    <col min="255" max="255" width="6.7109375" style="20" customWidth="1"/>
    <col min="256" max="256" width="6.7109375" style="19" hidden="1" customWidth="1"/>
    <col min="257" max="259" width="5.7109375" style="19" customWidth="1"/>
    <col min="260" max="260" width="14" style="19" customWidth="1"/>
    <col min="261" max="261" width="9.42578125" style="19" customWidth="1"/>
    <col min="262" max="262" width="10.140625" style="19" bestFit="1" customWidth="1"/>
    <col min="263" max="16384" width="9.140625" style="19"/>
  </cols>
  <sheetData>
    <row r="1" spans="1:262" x14ac:dyDescent="0.25">
      <c r="A1" s="82" t="s">
        <v>26</v>
      </c>
      <c r="B1" s="82"/>
      <c r="C1" s="76" t="s">
        <v>256</v>
      </c>
      <c r="D1" s="75"/>
      <c r="E1" s="82" t="s">
        <v>27</v>
      </c>
      <c r="F1" s="82"/>
      <c r="G1" s="123" t="s">
        <v>262</v>
      </c>
      <c r="H1" s="123"/>
      <c r="I1" s="123"/>
      <c r="J1" s="57"/>
      <c r="K1" s="58"/>
      <c r="L1" s="58"/>
      <c r="M1" s="58"/>
      <c r="N1" s="59"/>
      <c r="O1" s="59"/>
      <c r="P1" s="59"/>
      <c r="Q1" s="59"/>
      <c r="R1" s="59"/>
      <c r="S1" s="57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IJ1" s="19" t="str">
        <f>IZ13</f>
        <v>-</v>
      </c>
    </row>
    <row r="2" spans="1:262" x14ac:dyDescent="0.25">
      <c r="A2" s="82" t="s">
        <v>23</v>
      </c>
      <c r="B2" s="82"/>
      <c r="C2" s="76" t="s">
        <v>222</v>
      </c>
      <c r="D2" s="75"/>
      <c r="E2" s="82" t="s">
        <v>28</v>
      </c>
      <c r="F2" s="82"/>
      <c r="G2" s="123" t="s">
        <v>263</v>
      </c>
      <c r="H2" s="123"/>
      <c r="I2" s="123"/>
      <c r="J2" s="58"/>
      <c r="K2" s="58"/>
      <c r="L2" s="58"/>
      <c r="M2" s="58"/>
      <c r="N2" s="59"/>
      <c r="O2" s="59"/>
      <c r="P2" s="59"/>
      <c r="Q2" s="59"/>
      <c r="R2" s="59"/>
      <c r="S2" s="57"/>
      <c r="T2" s="60"/>
      <c r="U2" s="60"/>
      <c r="V2" s="61"/>
      <c r="W2" s="61"/>
      <c r="X2" s="61"/>
      <c r="Y2" s="61"/>
      <c r="Z2" s="61"/>
      <c r="AA2" s="61"/>
      <c r="AB2" s="61"/>
      <c r="AC2" s="61"/>
      <c r="AD2" s="60"/>
    </row>
    <row r="3" spans="1:262" x14ac:dyDescent="0.25">
      <c r="A3" s="82" t="s">
        <v>24</v>
      </c>
      <c r="B3" s="82"/>
      <c r="C3" s="79">
        <v>1</v>
      </c>
      <c r="D3" s="64"/>
      <c r="E3" s="82" t="s">
        <v>30</v>
      </c>
      <c r="F3" s="82"/>
      <c r="G3" s="123" t="s">
        <v>264</v>
      </c>
      <c r="H3" s="123"/>
      <c r="I3" s="123"/>
      <c r="J3" s="58"/>
      <c r="K3" s="58"/>
      <c r="L3" s="58"/>
      <c r="M3" s="58"/>
      <c r="N3" s="59"/>
      <c r="O3" s="59"/>
      <c r="P3" s="59"/>
      <c r="Q3" s="59"/>
      <c r="R3" s="59"/>
      <c r="S3" s="62"/>
      <c r="T3" s="62"/>
      <c r="U3" s="62"/>
      <c r="V3" s="63"/>
      <c r="W3" s="63"/>
      <c r="X3" s="63"/>
      <c r="Y3" s="63"/>
      <c r="Z3" s="63"/>
      <c r="AA3" s="63"/>
      <c r="AB3" s="63"/>
      <c r="AC3" s="63"/>
      <c r="AD3" s="62"/>
    </row>
    <row r="4" spans="1:262" x14ac:dyDescent="0.25">
      <c r="A4" s="82" t="s">
        <v>25</v>
      </c>
      <c r="B4" s="82"/>
      <c r="C4" s="76" t="s">
        <v>257</v>
      </c>
      <c r="D4" s="64"/>
      <c r="E4" s="82" t="s">
        <v>31</v>
      </c>
      <c r="F4" s="82"/>
      <c r="G4" s="123" t="s">
        <v>265</v>
      </c>
      <c r="H4" s="123"/>
      <c r="I4" s="123"/>
      <c r="J4" s="58"/>
      <c r="K4" s="58"/>
      <c r="L4" s="58"/>
      <c r="M4" s="58"/>
      <c r="N4" s="59"/>
      <c r="O4" s="59"/>
      <c r="P4" s="59"/>
      <c r="Q4" s="59"/>
      <c r="R4" s="59"/>
      <c r="S4" s="62"/>
      <c r="T4" s="62"/>
      <c r="U4" s="62"/>
      <c r="V4" s="63"/>
      <c r="W4" s="63"/>
      <c r="X4" s="63"/>
      <c r="Y4" s="63"/>
      <c r="Z4" s="63"/>
      <c r="AA4" s="63"/>
      <c r="AB4" s="63"/>
      <c r="AC4" s="63"/>
      <c r="AD4" s="62"/>
    </row>
    <row r="5" spans="1:262" x14ac:dyDescent="0.25">
      <c r="A5" s="82" t="s">
        <v>29</v>
      </c>
      <c r="B5" s="82"/>
      <c r="C5" s="76" t="s">
        <v>261</v>
      </c>
      <c r="D5" s="64"/>
      <c r="E5" s="119"/>
      <c r="F5" s="119"/>
      <c r="G5" s="127"/>
      <c r="H5" s="127"/>
      <c r="I5" s="127"/>
      <c r="J5" s="58"/>
      <c r="K5" s="58"/>
      <c r="L5" s="58"/>
      <c r="M5" s="58"/>
      <c r="N5" s="59"/>
      <c r="O5" s="59"/>
      <c r="P5" s="59"/>
      <c r="Q5" s="59"/>
      <c r="R5" s="59"/>
      <c r="S5" s="62"/>
      <c r="T5" s="62"/>
      <c r="U5" s="62"/>
      <c r="V5" s="63"/>
      <c r="W5" s="63"/>
      <c r="X5" s="63"/>
      <c r="Y5" s="63"/>
      <c r="Z5" s="63"/>
      <c r="AA5" s="63"/>
      <c r="AB5" s="63"/>
      <c r="AC5" s="63"/>
      <c r="AD5" s="62"/>
    </row>
    <row r="6" spans="1:262" x14ac:dyDescent="0.25">
      <c r="A6" s="22"/>
    </row>
    <row r="7" spans="1:262" s="20" customFormat="1" ht="15.75" customHeight="1" x14ac:dyDescent="0.25">
      <c r="A7" s="94" t="s">
        <v>0</v>
      </c>
      <c r="B7" s="94" t="s">
        <v>1</v>
      </c>
      <c r="C7" s="94" t="s">
        <v>2</v>
      </c>
      <c r="D7" s="94" t="s">
        <v>3</v>
      </c>
      <c r="E7" s="94" t="s">
        <v>4</v>
      </c>
      <c r="F7" s="124" t="s">
        <v>14</v>
      </c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6"/>
      <c r="BZ7" s="124" t="s">
        <v>22</v>
      </c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6"/>
      <c r="DV7" s="124" t="s">
        <v>32</v>
      </c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6"/>
      <c r="FR7" s="124" t="s">
        <v>33</v>
      </c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  <c r="GO7" s="126"/>
      <c r="GP7" s="118" t="s">
        <v>41</v>
      </c>
      <c r="GQ7" s="118"/>
      <c r="GR7" s="118"/>
      <c r="GS7" s="118"/>
      <c r="GT7" s="118"/>
      <c r="GU7" s="118"/>
      <c r="GV7" s="118"/>
      <c r="GW7" s="118"/>
      <c r="GX7" s="118"/>
      <c r="GY7" s="118"/>
      <c r="GZ7" s="118"/>
      <c r="HA7" s="118"/>
      <c r="HB7" s="118"/>
      <c r="HC7" s="118"/>
      <c r="HD7" s="118"/>
      <c r="HE7" s="118"/>
      <c r="HF7" s="118"/>
      <c r="HG7" s="118"/>
      <c r="HH7" s="118"/>
      <c r="HI7" s="118"/>
      <c r="HJ7" s="118"/>
      <c r="HK7" s="118"/>
      <c r="HL7" s="118"/>
      <c r="HM7" s="118"/>
      <c r="HN7" s="118"/>
      <c r="HO7" s="118"/>
      <c r="HP7" s="118"/>
      <c r="HQ7" s="118"/>
      <c r="HR7" s="118"/>
      <c r="HS7" s="118"/>
      <c r="HT7" s="118"/>
      <c r="HU7" s="118"/>
      <c r="HV7" s="118"/>
      <c r="HW7" s="118"/>
      <c r="HX7" s="118"/>
      <c r="HY7" s="118"/>
      <c r="HZ7" s="118"/>
      <c r="IA7" s="118"/>
      <c r="IB7" s="118"/>
      <c r="IC7" s="118"/>
      <c r="ID7" s="118"/>
      <c r="IE7" s="118"/>
      <c r="IF7" s="118"/>
      <c r="IG7" s="118"/>
      <c r="IH7" s="93" t="s">
        <v>38</v>
      </c>
      <c r="II7" s="93"/>
      <c r="IJ7" s="93"/>
      <c r="IK7" s="93"/>
      <c r="IL7" s="93"/>
      <c r="IM7" s="93"/>
      <c r="IN7" s="93"/>
      <c r="IO7" s="93"/>
      <c r="IP7" s="93"/>
      <c r="IQ7" s="93"/>
      <c r="IR7" s="93"/>
      <c r="IS7" s="93"/>
      <c r="IT7" s="93"/>
      <c r="IU7" s="93"/>
      <c r="IV7" s="24"/>
      <c r="IW7" s="100" t="s">
        <v>34</v>
      </c>
      <c r="IX7" s="101"/>
      <c r="IY7" s="102"/>
      <c r="IZ7" s="99" t="s">
        <v>44</v>
      </c>
      <c r="JA7" s="96" t="s">
        <v>45</v>
      </c>
      <c r="JB7" s="93" t="s">
        <v>46</v>
      </c>
    </row>
    <row r="8" spans="1:262" s="26" customFormat="1" ht="15.75" customHeight="1" x14ac:dyDescent="0.25">
      <c r="A8" s="94"/>
      <c r="B8" s="94"/>
      <c r="C8" s="94"/>
      <c r="D8" s="94"/>
      <c r="E8" s="94"/>
      <c r="F8" s="120" t="s">
        <v>5</v>
      </c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  <c r="R8" s="85" t="s">
        <v>9</v>
      </c>
      <c r="S8" s="86"/>
      <c r="T8" s="86"/>
      <c r="U8" s="86"/>
      <c r="V8" s="86"/>
      <c r="W8" s="86"/>
      <c r="X8" s="86"/>
      <c r="Y8" s="86"/>
      <c r="Z8" s="86"/>
      <c r="AA8" s="86"/>
      <c r="AB8" s="86"/>
      <c r="AC8" s="87"/>
      <c r="AD8" s="120" t="s">
        <v>10</v>
      </c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2"/>
      <c r="AP8" s="85" t="s">
        <v>11</v>
      </c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7"/>
      <c r="BB8" s="120" t="s">
        <v>12</v>
      </c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2"/>
      <c r="BN8" s="85" t="s">
        <v>13</v>
      </c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7"/>
      <c r="BZ8" s="120" t="s">
        <v>18</v>
      </c>
      <c r="CA8" s="121"/>
      <c r="CB8" s="121"/>
      <c r="CC8" s="121"/>
      <c r="CD8" s="121"/>
      <c r="CE8" s="121"/>
      <c r="CF8" s="121"/>
      <c r="CG8" s="121"/>
      <c r="CH8" s="121"/>
      <c r="CI8" s="121"/>
      <c r="CJ8" s="121"/>
      <c r="CK8" s="122"/>
      <c r="CL8" s="85" t="s">
        <v>19</v>
      </c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7"/>
      <c r="CX8" s="120" t="s">
        <v>20</v>
      </c>
      <c r="CY8" s="121"/>
      <c r="CZ8" s="121"/>
      <c r="DA8" s="121"/>
      <c r="DB8" s="121"/>
      <c r="DC8" s="121"/>
      <c r="DD8" s="121"/>
      <c r="DE8" s="121"/>
      <c r="DF8" s="121"/>
      <c r="DG8" s="121"/>
      <c r="DH8" s="121"/>
      <c r="DI8" s="122"/>
      <c r="DJ8" s="85" t="s">
        <v>21</v>
      </c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7"/>
      <c r="DV8" s="120" t="str">
        <f>IF(C1="MIPA","Matematika","Geografi")</f>
        <v>Matematika</v>
      </c>
      <c r="DW8" s="121"/>
      <c r="DX8" s="121"/>
      <c r="DY8" s="121"/>
      <c r="DZ8" s="121"/>
      <c r="EA8" s="121"/>
      <c r="EB8" s="121"/>
      <c r="EC8" s="121"/>
      <c r="ED8" s="121"/>
      <c r="EE8" s="121"/>
      <c r="EF8" s="121"/>
      <c r="EG8" s="122"/>
      <c r="EH8" s="85" t="str">
        <f>IF(C1="MIPA","Biologi","Sejarah")</f>
        <v>Biologi</v>
      </c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7"/>
      <c r="ET8" s="120" t="str">
        <f>IF(C1="MIPA","Fisika","Sosiologi")</f>
        <v>Fisika</v>
      </c>
      <c r="EU8" s="121"/>
      <c r="EV8" s="121"/>
      <c r="EW8" s="121"/>
      <c r="EX8" s="121"/>
      <c r="EY8" s="121"/>
      <c r="EZ8" s="121"/>
      <c r="FA8" s="121"/>
      <c r="FB8" s="121"/>
      <c r="FC8" s="121"/>
      <c r="FD8" s="121"/>
      <c r="FE8" s="122"/>
      <c r="FF8" s="85" t="str">
        <f>IF(C1="MIPA","Kimia","Ekonomi")</f>
        <v>Kimia</v>
      </c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7"/>
      <c r="FR8" s="120" t="s">
        <v>58</v>
      </c>
      <c r="FS8" s="121"/>
      <c r="FT8" s="121"/>
      <c r="FU8" s="121"/>
      <c r="FV8" s="121"/>
      <c r="FW8" s="121"/>
      <c r="FX8" s="121"/>
      <c r="FY8" s="121"/>
      <c r="FZ8" s="121"/>
      <c r="GA8" s="121"/>
      <c r="GB8" s="121"/>
      <c r="GC8" s="122"/>
      <c r="GD8" s="85" t="s">
        <v>58</v>
      </c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7"/>
      <c r="GP8" s="109" t="s">
        <v>42</v>
      </c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0"/>
      <c r="HH8" s="110"/>
      <c r="HI8" s="110"/>
      <c r="HJ8" s="110"/>
      <c r="HK8" s="111"/>
      <c r="HL8" s="109" t="s">
        <v>43</v>
      </c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1"/>
      <c r="IH8" s="93"/>
      <c r="II8" s="93"/>
      <c r="IJ8" s="93"/>
      <c r="IK8" s="93"/>
      <c r="IL8" s="93"/>
      <c r="IM8" s="93"/>
      <c r="IN8" s="93"/>
      <c r="IO8" s="93"/>
      <c r="IP8" s="93"/>
      <c r="IQ8" s="93"/>
      <c r="IR8" s="93"/>
      <c r="IS8" s="93"/>
      <c r="IT8" s="93"/>
      <c r="IU8" s="93"/>
      <c r="IV8" s="25"/>
      <c r="IW8" s="103"/>
      <c r="IX8" s="104"/>
      <c r="IY8" s="105"/>
      <c r="IZ8" s="99"/>
      <c r="JA8" s="97"/>
      <c r="JB8" s="93"/>
    </row>
    <row r="9" spans="1:262" s="20" customFormat="1" ht="15" customHeight="1" x14ac:dyDescent="0.25">
      <c r="A9" s="94"/>
      <c r="B9" s="94"/>
      <c r="C9" s="94"/>
      <c r="D9" s="94"/>
      <c r="E9" s="94"/>
      <c r="F9" s="27" t="s">
        <v>7</v>
      </c>
      <c r="G9" s="65">
        <v>75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56" t="s">
        <v>7</v>
      </c>
      <c r="S9" s="17">
        <v>75</v>
      </c>
      <c r="T9" s="69"/>
      <c r="U9" s="68"/>
      <c r="V9" s="69"/>
      <c r="W9" s="69"/>
      <c r="X9" s="69"/>
      <c r="Y9" s="69"/>
      <c r="Z9" s="69"/>
      <c r="AA9" s="69"/>
      <c r="AB9" s="69"/>
      <c r="AC9" s="69"/>
      <c r="AD9" s="27" t="s">
        <v>7</v>
      </c>
      <c r="AE9" s="17">
        <v>75</v>
      </c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56" t="s">
        <v>7</v>
      </c>
      <c r="AQ9" s="17">
        <v>75</v>
      </c>
      <c r="AR9" s="69"/>
      <c r="AS9" s="68"/>
      <c r="AT9" s="69"/>
      <c r="AU9" s="69"/>
      <c r="AV9" s="69"/>
      <c r="AW9" s="69"/>
      <c r="AX9" s="69"/>
      <c r="AY9" s="69"/>
      <c r="AZ9" s="69"/>
      <c r="BA9" s="69"/>
      <c r="BB9" s="27" t="s">
        <v>7</v>
      </c>
      <c r="BC9" s="17">
        <v>75</v>
      </c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56" t="s">
        <v>7</v>
      </c>
      <c r="BO9" s="17">
        <v>75</v>
      </c>
      <c r="BP9" s="69"/>
      <c r="BQ9" s="68"/>
      <c r="BR9" s="69"/>
      <c r="BS9" s="69"/>
      <c r="BT9" s="69"/>
      <c r="BU9" s="69"/>
      <c r="BV9" s="69"/>
      <c r="BW9" s="69"/>
      <c r="BX9" s="69"/>
      <c r="BY9" s="69"/>
      <c r="BZ9" s="27" t="s">
        <v>7</v>
      </c>
      <c r="CA9" s="17">
        <v>75</v>
      </c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56" t="s">
        <v>7</v>
      </c>
      <c r="CM9" s="17">
        <v>75</v>
      </c>
      <c r="CN9" s="67"/>
      <c r="CO9" s="69"/>
      <c r="CP9" s="69"/>
      <c r="CQ9" s="69"/>
      <c r="CR9" s="69"/>
      <c r="CS9" s="69"/>
      <c r="CT9" s="69"/>
      <c r="CU9" s="69"/>
      <c r="CV9" s="69"/>
      <c r="CW9" s="69"/>
      <c r="CX9" s="27" t="s">
        <v>7</v>
      </c>
      <c r="CY9" s="17">
        <v>75</v>
      </c>
      <c r="CZ9" s="72"/>
      <c r="DA9" s="71"/>
      <c r="DB9" s="72"/>
      <c r="DC9" s="72"/>
      <c r="DD9" s="72"/>
      <c r="DE9" s="72"/>
      <c r="DF9" s="72"/>
      <c r="DG9" s="72"/>
      <c r="DH9" s="72"/>
      <c r="DI9" s="72"/>
      <c r="DJ9" s="56" t="s">
        <v>7</v>
      </c>
      <c r="DK9" s="17">
        <v>75</v>
      </c>
      <c r="DL9" s="67"/>
      <c r="DM9" s="69"/>
      <c r="DN9" s="69"/>
      <c r="DO9" s="69"/>
      <c r="DP9" s="69"/>
      <c r="DQ9" s="69"/>
      <c r="DR9" s="69"/>
      <c r="DS9" s="69"/>
      <c r="DT9" s="69"/>
      <c r="DU9" s="69"/>
      <c r="DV9" s="27" t="s">
        <v>7</v>
      </c>
      <c r="DW9" s="17">
        <v>75</v>
      </c>
      <c r="DX9" s="72"/>
      <c r="DY9" s="71"/>
      <c r="DZ9" s="72"/>
      <c r="EA9" s="72"/>
      <c r="EB9" s="72"/>
      <c r="EC9" s="72"/>
      <c r="ED9" s="72"/>
      <c r="EE9" s="72"/>
      <c r="EF9" s="72"/>
      <c r="EG9" s="72"/>
      <c r="EH9" s="56" t="s">
        <v>7</v>
      </c>
      <c r="EI9" s="17">
        <v>75</v>
      </c>
      <c r="EJ9" s="69"/>
      <c r="EK9" s="68"/>
      <c r="EL9" s="69"/>
      <c r="EM9" s="69"/>
      <c r="EN9" s="69"/>
      <c r="EO9" s="69"/>
      <c r="EP9" s="69"/>
      <c r="EQ9" s="69"/>
      <c r="ER9" s="69"/>
      <c r="ES9" s="69"/>
      <c r="ET9" s="27" t="s">
        <v>7</v>
      </c>
      <c r="EU9" s="17">
        <v>75</v>
      </c>
      <c r="EV9" s="72"/>
      <c r="EW9" s="71"/>
      <c r="EX9" s="72"/>
      <c r="EY9" s="72"/>
      <c r="EZ9" s="72"/>
      <c r="FA9" s="72"/>
      <c r="FB9" s="72"/>
      <c r="FC9" s="72"/>
      <c r="FD9" s="72"/>
      <c r="FE9" s="72"/>
      <c r="FF9" s="56" t="s">
        <v>7</v>
      </c>
      <c r="FG9" s="17">
        <v>75</v>
      </c>
      <c r="FH9" s="69"/>
      <c r="FI9" s="68"/>
      <c r="FJ9" s="69"/>
      <c r="FK9" s="69"/>
      <c r="FL9" s="69"/>
      <c r="FM9" s="69"/>
      <c r="FN9" s="69"/>
      <c r="FO9" s="69"/>
      <c r="FP9" s="69"/>
      <c r="FQ9" s="69"/>
      <c r="FR9" s="27" t="s">
        <v>7</v>
      </c>
      <c r="FS9" s="17">
        <v>75</v>
      </c>
      <c r="FT9" s="70"/>
      <c r="FU9" s="72"/>
      <c r="FV9" s="72"/>
      <c r="FW9" s="72"/>
      <c r="FX9" s="72"/>
      <c r="FY9" s="72"/>
      <c r="FZ9" s="72"/>
      <c r="GA9" s="72"/>
      <c r="GB9" s="72"/>
      <c r="GC9" s="72"/>
      <c r="GD9" s="56" t="s">
        <v>7</v>
      </c>
      <c r="GE9" s="17">
        <v>75</v>
      </c>
      <c r="GF9" s="67"/>
      <c r="GG9" s="69"/>
      <c r="GH9" s="69"/>
      <c r="GI9" s="69"/>
      <c r="GJ9" s="69"/>
      <c r="GK9" s="69"/>
      <c r="GL9" s="69"/>
      <c r="GM9" s="69"/>
      <c r="GN9" s="69"/>
      <c r="GO9" s="69"/>
      <c r="GP9" s="112"/>
      <c r="GQ9" s="113"/>
      <c r="GR9" s="113"/>
      <c r="GS9" s="113"/>
      <c r="GT9" s="113"/>
      <c r="GU9" s="113"/>
      <c r="GV9" s="113"/>
      <c r="GW9" s="113"/>
      <c r="GX9" s="113"/>
      <c r="GY9" s="113"/>
      <c r="GZ9" s="113"/>
      <c r="HA9" s="113"/>
      <c r="HB9" s="113"/>
      <c r="HC9" s="113"/>
      <c r="HD9" s="113"/>
      <c r="HE9" s="113"/>
      <c r="HF9" s="113"/>
      <c r="HG9" s="113"/>
      <c r="HH9" s="113"/>
      <c r="HI9" s="113"/>
      <c r="HJ9" s="113"/>
      <c r="HK9" s="114"/>
      <c r="HL9" s="112"/>
      <c r="HM9" s="113"/>
      <c r="HN9" s="113"/>
      <c r="HO9" s="113"/>
      <c r="HP9" s="113"/>
      <c r="HQ9" s="113"/>
      <c r="HR9" s="113"/>
      <c r="HS9" s="113"/>
      <c r="HT9" s="113"/>
      <c r="HU9" s="113"/>
      <c r="HV9" s="113"/>
      <c r="HW9" s="113"/>
      <c r="HX9" s="113"/>
      <c r="HY9" s="113"/>
      <c r="HZ9" s="113"/>
      <c r="IA9" s="113"/>
      <c r="IB9" s="113"/>
      <c r="IC9" s="113"/>
      <c r="ID9" s="113"/>
      <c r="IE9" s="113"/>
      <c r="IF9" s="113"/>
      <c r="IG9" s="114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25"/>
      <c r="IW9" s="103"/>
      <c r="IX9" s="104"/>
      <c r="IY9" s="105"/>
      <c r="IZ9" s="99"/>
      <c r="JA9" s="97"/>
      <c r="JB9" s="93"/>
    </row>
    <row r="10" spans="1:262" s="20" customFormat="1" ht="15.75" customHeight="1" x14ac:dyDescent="0.25">
      <c r="A10" s="94"/>
      <c r="B10" s="94"/>
      <c r="C10" s="94"/>
      <c r="D10" s="94"/>
      <c r="E10" s="94"/>
      <c r="F10" s="27" t="s">
        <v>8</v>
      </c>
      <c r="G10" s="88"/>
      <c r="H10" s="89"/>
      <c r="I10" s="90"/>
      <c r="J10" s="66"/>
      <c r="K10" s="66"/>
      <c r="L10" s="66"/>
      <c r="M10" s="66"/>
      <c r="N10" s="66"/>
      <c r="O10" s="66"/>
      <c r="P10" s="66"/>
      <c r="Q10" s="66"/>
      <c r="R10" s="56" t="s">
        <v>8</v>
      </c>
      <c r="S10" s="88"/>
      <c r="T10" s="89"/>
      <c r="U10" s="90"/>
      <c r="V10" s="69"/>
      <c r="W10" s="69"/>
      <c r="X10" s="69"/>
      <c r="Y10" s="69"/>
      <c r="Z10" s="69"/>
      <c r="AA10" s="69"/>
      <c r="AB10" s="69"/>
      <c r="AC10" s="69"/>
      <c r="AD10" s="27" t="s">
        <v>8</v>
      </c>
      <c r="AE10" s="88"/>
      <c r="AF10" s="89"/>
      <c r="AG10" s="90"/>
      <c r="AH10" s="72"/>
      <c r="AI10" s="72"/>
      <c r="AJ10" s="72"/>
      <c r="AK10" s="72"/>
      <c r="AL10" s="72"/>
      <c r="AM10" s="72"/>
      <c r="AN10" s="72"/>
      <c r="AO10" s="72"/>
      <c r="AP10" s="56" t="s">
        <v>8</v>
      </c>
      <c r="AQ10" s="88"/>
      <c r="AR10" s="89"/>
      <c r="AS10" s="90"/>
      <c r="AT10" s="69"/>
      <c r="AU10" s="69"/>
      <c r="AV10" s="69"/>
      <c r="AW10" s="69"/>
      <c r="AX10" s="69"/>
      <c r="AY10" s="69"/>
      <c r="AZ10" s="69"/>
      <c r="BA10" s="69"/>
      <c r="BB10" s="27" t="s">
        <v>8</v>
      </c>
      <c r="BC10" s="88"/>
      <c r="BD10" s="89"/>
      <c r="BE10" s="90"/>
      <c r="BF10" s="72"/>
      <c r="BG10" s="72"/>
      <c r="BH10" s="72"/>
      <c r="BI10" s="72"/>
      <c r="BJ10" s="72"/>
      <c r="BK10" s="72"/>
      <c r="BL10" s="72"/>
      <c r="BM10" s="72"/>
      <c r="BN10" s="56" t="s">
        <v>8</v>
      </c>
      <c r="BO10" s="88"/>
      <c r="BP10" s="89"/>
      <c r="BQ10" s="90"/>
      <c r="BR10" s="69"/>
      <c r="BS10" s="69"/>
      <c r="BT10" s="69"/>
      <c r="BU10" s="69"/>
      <c r="BV10" s="69"/>
      <c r="BW10" s="69"/>
      <c r="BX10" s="69"/>
      <c r="BY10" s="69"/>
      <c r="BZ10" s="27" t="s">
        <v>8</v>
      </c>
      <c r="CA10" s="88"/>
      <c r="CB10" s="89"/>
      <c r="CC10" s="90"/>
      <c r="CD10" s="72"/>
      <c r="CE10" s="72"/>
      <c r="CF10" s="72"/>
      <c r="CG10" s="72"/>
      <c r="CH10" s="72"/>
      <c r="CI10" s="72"/>
      <c r="CJ10" s="72"/>
      <c r="CK10" s="72"/>
      <c r="CL10" s="56" t="s">
        <v>8</v>
      </c>
      <c r="CM10" s="88"/>
      <c r="CN10" s="89"/>
      <c r="CO10" s="90"/>
      <c r="CP10" s="69"/>
      <c r="CQ10" s="69"/>
      <c r="CR10" s="69"/>
      <c r="CS10" s="69"/>
      <c r="CT10" s="69"/>
      <c r="CU10" s="69"/>
      <c r="CV10" s="69"/>
      <c r="CW10" s="69"/>
      <c r="CX10" s="27" t="s">
        <v>8</v>
      </c>
      <c r="CY10" s="88"/>
      <c r="CZ10" s="89"/>
      <c r="DA10" s="90"/>
      <c r="DB10" s="72"/>
      <c r="DC10" s="72"/>
      <c r="DD10" s="72"/>
      <c r="DE10" s="72"/>
      <c r="DF10" s="72"/>
      <c r="DG10" s="72"/>
      <c r="DH10" s="72"/>
      <c r="DI10" s="72"/>
      <c r="DJ10" s="56" t="s">
        <v>8</v>
      </c>
      <c r="DK10" s="88"/>
      <c r="DL10" s="89"/>
      <c r="DM10" s="90"/>
      <c r="DN10" s="69"/>
      <c r="DO10" s="69"/>
      <c r="DP10" s="69"/>
      <c r="DQ10" s="69"/>
      <c r="DR10" s="69"/>
      <c r="DS10" s="69"/>
      <c r="DT10" s="69"/>
      <c r="DU10" s="69"/>
      <c r="DV10" s="27" t="s">
        <v>8</v>
      </c>
      <c r="DW10" s="88"/>
      <c r="DX10" s="89"/>
      <c r="DY10" s="90"/>
      <c r="DZ10" s="72"/>
      <c r="EA10" s="72"/>
      <c r="EB10" s="72"/>
      <c r="EC10" s="72"/>
      <c r="ED10" s="72"/>
      <c r="EE10" s="72"/>
      <c r="EF10" s="72"/>
      <c r="EG10" s="72"/>
      <c r="EH10" s="56" t="s">
        <v>8</v>
      </c>
      <c r="EI10" s="88"/>
      <c r="EJ10" s="89"/>
      <c r="EK10" s="90"/>
      <c r="EL10" s="69"/>
      <c r="EM10" s="69"/>
      <c r="EN10" s="69"/>
      <c r="EO10" s="69"/>
      <c r="EP10" s="69"/>
      <c r="EQ10" s="69"/>
      <c r="ER10" s="69"/>
      <c r="ES10" s="69"/>
      <c r="ET10" s="27" t="s">
        <v>8</v>
      </c>
      <c r="EU10" s="88"/>
      <c r="EV10" s="89"/>
      <c r="EW10" s="90"/>
      <c r="EX10" s="72"/>
      <c r="EY10" s="72"/>
      <c r="EZ10" s="72"/>
      <c r="FA10" s="72"/>
      <c r="FB10" s="72"/>
      <c r="FC10" s="72"/>
      <c r="FD10" s="72"/>
      <c r="FE10" s="72"/>
      <c r="FF10" s="56" t="s">
        <v>8</v>
      </c>
      <c r="FG10" s="88"/>
      <c r="FH10" s="89"/>
      <c r="FI10" s="90"/>
      <c r="FJ10" s="69"/>
      <c r="FK10" s="69"/>
      <c r="FL10" s="69"/>
      <c r="FM10" s="69"/>
      <c r="FN10" s="69"/>
      <c r="FO10" s="69"/>
      <c r="FP10" s="69"/>
      <c r="FQ10" s="69"/>
      <c r="FR10" s="27" t="s">
        <v>8</v>
      </c>
      <c r="FS10" s="88"/>
      <c r="FT10" s="89"/>
      <c r="FU10" s="90"/>
      <c r="FV10" s="72"/>
      <c r="FW10" s="72"/>
      <c r="FX10" s="72"/>
      <c r="FY10" s="72"/>
      <c r="FZ10" s="72"/>
      <c r="GA10" s="72"/>
      <c r="GB10" s="72"/>
      <c r="GC10" s="72"/>
      <c r="GD10" s="56" t="s">
        <v>8</v>
      </c>
      <c r="GE10" s="88"/>
      <c r="GF10" s="89"/>
      <c r="GG10" s="90"/>
      <c r="GH10" s="69"/>
      <c r="GI10" s="69"/>
      <c r="GJ10" s="69"/>
      <c r="GK10" s="69"/>
      <c r="GL10" s="69"/>
      <c r="GM10" s="69"/>
      <c r="GN10" s="69"/>
      <c r="GO10" s="69"/>
      <c r="GP10" s="115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7"/>
      <c r="HL10" s="115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7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93"/>
      <c r="IS10" s="93"/>
      <c r="IT10" s="93"/>
      <c r="IU10" s="93"/>
      <c r="IV10" s="28"/>
      <c r="IW10" s="106"/>
      <c r="IX10" s="107"/>
      <c r="IY10" s="108"/>
      <c r="IZ10" s="99"/>
      <c r="JA10" s="97"/>
      <c r="JB10" s="93"/>
    </row>
    <row r="11" spans="1:262" s="20" customFormat="1" ht="15" customHeight="1" x14ac:dyDescent="0.25">
      <c r="A11" s="94"/>
      <c r="B11" s="94"/>
      <c r="C11" s="94"/>
      <c r="D11" s="94"/>
      <c r="E11" s="94"/>
      <c r="F11" s="80" t="s">
        <v>15</v>
      </c>
      <c r="G11" s="80" t="s">
        <v>16</v>
      </c>
      <c r="H11" s="83" t="s">
        <v>41</v>
      </c>
      <c r="I11" s="84"/>
      <c r="J11" s="83" t="s">
        <v>118</v>
      </c>
      <c r="K11" s="84"/>
      <c r="L11" s="83" t="s">
        <v>117</v>
      </c>
      <c r="M11" s="84"/>
      <c r="N11" s="83" t="s">
        <v>99</v>
      </c>
      <c r="O11" s="84"/>
      <c r="P11" s="83" t="s">
        <v>100</v>
      </c>
      <c r="Q11" s="84"/>
      <c r="R11" s="80" t="s">
        <v>15</v>
      </c>
      <c r="S11" s="80" t="s">
        <v>16</v>
      </c>
      <c r="T11" s="83" t="s">
        <v>41</v>
      </c>
      <c r="U11" s="84"/>
      <c r="V11" s="83" t="s">
        <v>118</v>
      </c>
      <c r="W11" s="84"/>
      <c r="X11" s="83" t="s">
        <v>117</v>
      </c>
      <c r="Y11" s="84"/>
      <c r="Z11" s="83" t="s">
        <v>99</v>
      </c>
      <c r="AA11" s="84"/>
      <c r="AB11" s="83" t="s">
        <v>100</v>
      </c>
      <c r="AC11" s="84"/>
      <c r="AD11" s="80" t="s">
        <v>15</v>
      </c>
      <c r="AE11" s="80" t="s">
        <v>16</v>
      </c>
      <c r="AF11" s="83" t="s">
        <v>41</v>
      </c>
      <c r="AG11" s="84"/>
      <c r="AH11" s="83" t="s">
        <v>118</v>
      </c>
      <c r="AI11" s="84"/>
      <c r="AJ11" s="83" t="s">
        <v>117</v>
      </c>
      <c r="AK11" s="84"/>
      <c r="AL11" s="83" t="s">
        <v>99</v>
      </c>
      <c r="AM11" s="84"/>
      <c r="AN11" s="83" t="s">
        <v>100</v>
      </c>
      <c r="AO11" s="84"/>
      <c r="AP11" s="80" t="s">
        <v>15</v>
      </c>
      <c r="AQ11" s="80" t="s">
        <v>16</v>
      </c>
      <c r="AR11" s="83" t="s">
        <v>41</v>
      </c>
      <c r="AS11" s="84"/>
      <c r="AT11" s="83" t="s">
        <v>118</v>
      </c>
      <c r="AU11" s="84"/>
      <c r="AV11" s="83" t="s">
        <v>117</v>
      </c>
      <c r="AW11" s="84"/>
      <c r="AX11" s="83" t="s">
        <v>99</v>
      </c>
      <c r="AY11" s="84"/>
      <c r="AZ11" s="83" t="s">
        <v>100</v>
      </c>
      <c r="BA11" s="84"/>
      <c r="BB11" s="80" t="s">
        <v>15</v>
      </c>
      <c r="BC11" s="80" t="s">
        <v>16</v>
      </c>
      <c r="BD11" s="83" t="s">
        <v>41</v>
      </c>
      <c r="BE11" s="84"/>
      <c r="BF11" s="83" t="s">
        <v>118</v>
      </c>
      <c r="BG11" s="84"/>
      <c r="BH11" s="83" t="s">
        <v>117</v>
      </c>
      <c r="BI11" s="84"/>
      <c r="BJ11" s="83" t="s">
        <v>99</v>
      </c>
      <c r="BK11" s="84"/>
      <c r="BL11" s="83" t="s">
        <v>100</v>
      </c>
      <c r="BM11" s="84"/>
      <c r="BN11" s="80" t="s">
        <v>15</v>
      </c>
      <c r="BO11" s="80" t="s">
        <v>16</v>
      </c>
      <c r="BP11" s="83" t="s">
        <v>41</v>
      </c>
      <c r="BQ11" s="84"/>
      <c r="BR11" s="83" t="s">
        <v>118</v>
      </c>
      <c r="BS11" s="84"/>
      <c r="BT11" s="83" t="s">
        <v>117</v>
      </c>
      <c r="BU11" s="84"/>
      <c r="BV11" s="83" t="s">
        <v>99</v>
      </c>
      <c r="BW11" s="84"/>
      <c r="BX11" s="83" t="s">
        <v>100</v>
      </c>
      <c r="BY11" s="84"/>
      <c r="BZ11" s="80" t="s">
        <v>15</v>
      </c>
      <c r="CA11" s="80" t="s">
        <v>16</v>
      </c>
      <c r="CB11" s="83" t="s">
        <v>41</v>
      </c>
      <c r="CC11" s="84"/>
      <c r="CD11" s="83" t="s">
        <v>118</v>
      </c>
      <c r="CE11" s="84"/>
      <c r="CF11" s="83" t="s">
        <v>117</v>
      </c>
      <c r="CG11" s="84"/>
      <c r="CH11" s="83" t="s">
        <v>99</v>
      </c>
      <c r="CI11" s="84"/>
      <c r="CJ11" s="83" t="s">
        <v>100</v>
      </c>
      <c r="CK11" s="84"/>
      <c r="CL11" s="80" t="s">
        <v>15</v>
      </c>
      <c r="CM11" s="80" t="s">
        <v>16</v>
      </c>
      <c r="CN11" s="83" t="s">
        <v>41</v>
      </c>
      <c r="CO11" s="84"/>
      <c r="CP11" s="83" t="s">
        <v>118</v>
      </c>
      <c r="CQ11" s="84"/>
      <c r="CR11" s="83" t="s">
        <v>117</v>
      </c>
      <c r="CS11" s="84"/>
      <c r="CT11" s="83" t="s">
        <v>99</v>
      </c>
      <c r="CU11" s="84"/>
      <c r="CV11" s="83" t="s">
        <v>100</v>
      </c>
      <c r="CW11" s="84"/>
      <c r="CX11" s="80" t="s">
        <v>15</v>
      </c>
      <c r="CY11" s="80" t="s">
        <v>16</v>
      </c>
      <c r="CZ11" s="83" t="s">
        <v>41</v>
      </c>
      <c r="DA11" s="84"/>
      <c r="DB11" s="83" t="s">
        <v>118</v>
      </c>
      <c r="DC11" s="84"/>
      <c r="DD11" s="83" t="s">
        <v>117</v>
      </c>
      <c r="DE11" s="84"/>
      <c r="DF11" s="83" t="s">
        <v>99</v>
      </c>
      <c r="DG11" s="84"/>
      <c r="DH11" s="83" t="s">
        <v>100</v>
      </c>
      <c r="DI11" s="84"/>
      <c r="DJ11" s="80" t="s">
        <v>15</v>
      </c>
      <c r="DK11" s="80" t="s">
        <v>16</v>
      </c>
      <c r="DL11" s="83" t="s">
        <v>41</v>
      </c>
      <c r="DM11" s="84"/>
      <c r="DN11" s="83" t="s">
        <v>118</v>
      </c>
      <c r="DO11" s="84"/>
      <c r="DP11" s="83" t="s">
        <v>117</v>
      </c>
      <c r="DQ11" s="84"/>
      <c r="DR11" s="83" t="s">
        <v>99</v>
      </c>
      <c r="DS11" s="84"/>
      <c r="DT11" s="83" t="s">
        <v>100</v>
      </c>
      <c r="DU11" s="84"/>
      <c r="DV11" s="80" t="s">
        <v>15</v>
      </c>
      <c r="DW11" s="80" t="s">
        <v>16</v>
      </c>
      <c r="DX11" s="83" t="s">
        <v>41</v>
      </c>
      <c r="DY11" s="84"/>
      <c r="DZ11" s="83" t="s">
        <v>118</v>
      </c>
      <c r="EA11" s="84"/>
      <c r="EB11" s="83" t="s">
        <v>117</v>
      </c>
      <c r="EC11" s="84"/>
      <c r="ED11" s="83" t="s">
        <v>99</v>
      </c>
      <c r="EE11" s="84"/>
      <c r="EF11" s="83" t="s">
        <v>100</v>
      </c>
      <c r="EG11" s="84"/>
      <c r="EH11" s="80" t="s">
        <v>15</v>
      </c>
      <c r="EI11" s="80" t="s">
        <v>16</v>
      </c>
      <c r="EJ11" s="83" t="s">
        <v>41</v>
      </c>
      <c r="EK11" s="84"/>
      <c r="EL11" s="83" t="s">
        <v>118</v>
      </c>
      <c r="EM11" s="84"/>
      <c r="EN11" s="83" t="s">
        <v>117</v>
      </c>
      <c r="EO11" s="84"/>
      <c r="EP11" s="83" t="s">
        <v>99</v>
      </c>
      <c r="EQ11" s="84"/>
      <c r="ER11" s="83" t="s">
        <v>100</v>
      </c>
      <c r="ES11" s="84"/>
      <c r="ET11" s="80" t="s">
        <v>15</v>
      </c>
      <c r="EU11" s="80" t="s">
        <v>16</v>
      </c>
      <c r="EV11" s="83" t="s">
        <v>41</v>
      </c>
      <c r="EW11" s="84"/>
      <c r="EX11" s="83" t="s">
        <v>118</v>
      </c>
      <c r="EY11" s="84"/>
      <c r="EZ11" s="83" t="s">
        <v>117</v>
      </c>
      <c r="FA11" s="84"/>
      <c r="FB11" s="83" t="s">
        <v>99</v>
      </c>
      <c r="FC11" s="84"/>
      <c r="FD11" s="83" t="s">
        <v>100</v>
      </c>
      <c r="FE11" s="84"/>
      <c r="FF11" s="80" t="s">
        <v>15</v>
      </c>
      <c r="FG11" s="80" t="s">
        <v>16</v>
      </c>
      <c r="FH11" s="83" t="s">
        <v>41</v>
      </c>
      <c r="FI11" s="84"/>
      <c r="FJ11" s="83" t="s">
        <v>118</v>
      </c>
      <c r="FK11" s="84"/>
      <c r="FL11" s="83" t="s">
        <v>117</v>
      </c>
      <c r="FM11" s="84"/>
      <c r="FN11" s="83" t="s">
        <v>99</v>
      </c>
      <c r="FO11" s="84"/>
      <c r="FP11" s="83" t="s">
        <v>100</v>
      </c>
      <c r="FQ11" s="84"/>
      <c r="FR11" s="80" t="s">
        <v>15</v>
      </c>
      <c r="FS11" s="80" t="s">
        <v>16</v>
      </c>
      <c r="FT11" s="83" t="s">
        <v>41</v>
      </c>
      <c r="FU11" s="84"/>
      <c r="FV11" s="83" t="s">
        <v>118</v>
      </c>
      <c r="FW11" s="84"/>
      <c r="FX11" s="83" t="s">
        <v>117</v>
      </c>
      <c r="FY11" s="84"/>
      <c r="FZ11" s="83" t="s">
        <v>99</v>
      </c>
      <c r="GA11" s="84"/>
      <c r="GB11" s="83" t="s">
        <v>100</v>
      </c>
      <c r="GC11" s="84"/>
      <c r="GD11" s="80" t="s">
        <v>15</v>
      </c>
      <c r="GE11" s="80" t="s">
        <v>16</v>
      </c>
      <c r="GF11" s="83" t="s">
        <v>41</v>
      </c>
      <c r="GG11" s="84"/>
      <c r="GH11" s="83" t="s">
        <v>118</v>
      </c>
      <c r="GI11" s="84"/>
      <c r="GJ11" s="83" t="s">
        <v>117</v>
      </c>
      <c r="GK11" s="84"/>
      <c r="GL11" s="83" t="s">
        <v>99</v>
      </c>
      <c r="GM11" s="84"/>
      <c r="GN11" s="83" t="s">
        <v>100</v>
      </c>
      <c r="GO11" s="84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94" t="s">
        <v>219</v>
      </c>
      <c r="HG11" s="94"/>
      <c r="HH11" s="94"/>
      <c r="HI11" s="94"/>
      <c r="HJ11" s="80" t="s">
        <v>6</v>
      </c>
      <c r="HK11" s="80" t="s">
        <v>40</v>
      </c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94" t="s">
        <v>219</v>
      </c>
      <c r="IC11" s="94"/>
      <c r="ID11" s="94"/>
      <c r="IE11" s="94"/>
      <c r="IF11" s="80" t="s">
        <v>6</v>
      </c>
      <c r="IG11" s="80" t="s">
        <v>40</v>
      </c>
      <c r="IH11" s="95" t="s">
        <v>39</v>
      </c>
      <c r="II11" s="93" t="s">
        <v>17</v>
      </c>
      <c r="IJ11" s="91" t="s">
        <v>119</v>
      </c>
      <c r="IK11" s="95" t="s">
        <v>120</v>
      </c>
      <c r="IL11" s="93" t="s">
        <v>17</v>
      </c>
      <c r="IM11" s="91" t="s">
        <v>121</v>
      </c>
      <c r="IN11" s="95" t="s">
        <v>124</v>
      </c>
      <c r="IO11" s="93" t="s">
        <v>17</v>
      </c>
      <c r="IP11" s="91" t="s">
        <v>122</v>
      </c>
      <c r="IQ11" s="95" t="s">
        <v>125</v>
      </c>
      <c r="IR11" s="93" t="s">
        <v>17</v>
      </c>
      <c r="IS11" s="91" t="s">
        <v>123</v>
      </c>
      <c r="IT11" s="95" t="s">
        <v>126</v>
      </c>
      <c r="IU11" s="93" t="s">
        <v>17</v>
      </c>
      <c r="IV11" s="91" t="s">
        <v>127</v>
      </c>
      <c r="IW11" s="91" t="s">
        <v>35</v>
      </c>
      <c r="IX11" s="91" t="s">
        <v>36</v>
      </c>
      <c r="IY11" s="93" t="s">
        <v>37</v>
      </c>
      <c r="IZ11" s="99"/>
      <c r="JA11" s="97"/>
      <c r="JB11" s="93"/>
    </row>
    <row r="12" spans="1:262" s="20" customFormat="1" ht="15" customHeight="1" x14ac:dyDescent="0.25">
      <c r="A12" s="94"/>
      <c r="B12" s="94"/>
      <c r="C12" s="94"/>
      <c r="D12" s="94"/>
      <c r="E12" s="94"/>
      <c r="F12" s="81"/>
      <c r="G12" s="81"/>
      <c r="H12" s="30" t="s">
        <v>217</v>
      </c>
      <c r="I12" s="30" t="s">
        <v>218</v>
      </c>
      <c r="J12" s="31" t="s">
        <v>110</v>
      </c>
      <c r="K12" s="31" t="s">
        <v>109</v>
      </c>
      <c r="L12" s="31" t="s">
        <v>97</v>
      </c>
      <c r="M12" s="31" t="s">
        <v>98</v>
      </c>
      <c r="N12" s="31" t="s">
        <v>95</v>
      </c>
      <c r="O12" s="31" t="s">
        <v>96</v>
      </c>
      <c r="P12" s="31" t="s">
        <v>95</v>
      </c>
      <c r="Q12" s="31" t="s">
        <v>96</v>
      </c>
      <c r="R12" s="81"/>
      <c r="S12" s="81"/>
      <c r="T12" s="30" t="s">
        <v>217</v>
      </c>
      <c r="U12" s="30" t="s">
        <v>218</v>
      </c>
      <c r="V12" s="31" t="s">
        <v>110</v>
      </c>
      <c r="W12" s="31" t="s">
        <v>109</v>
      </c>
      <c r="X12" s="31" t="s">
        <v>97</v>
      </c>
      <c r="Y12" s="31" t="s">
        <v>98</v>
      </c>
      <c r="Z12" s="31" t="s">
        <v>95</v>
      </c>
      <c r="AA12" s="31" t="s">
        <v>96</v>
      </c>
      <c r="AB12" s="31" t="s">
        <v>95</v>
      </c>
      <c r="AC12" s="31" t="s">
        <v>96</v>
      </c>
      <c r="AD12" s="81"/>
      <c r="AE12" s="81"/>
      <c r="AF12" s="30" t="s">
        <v>217</v>
      </c>
      <c r="AG12" s="30" t="s">
        <v>218</v>
      </c>
      <c r="AH12" s="31" t="s">
        <v>110</v>
      </c>
      <c r="AI12" s="31" t="s">
        <v>109</v>
      </c>
      <c r="AJ12" s="31" t="s">
        <v>97</v>
      </c>
      <c r="AK12" s="31" t="s">
        <v>98</v>
      </c>
      <c r="AL12" s="31" t="s">
        <v>95</v>
      </c>
      <c r="AM12" s="31" t="s">
        <v>96</v>
      </c>
      <c r="AN12" s="31" t="s">
        <v>95</v>
      </c>
      <c r="AO12" s="31" t="s">
        <v>96</v>
      </c>
      <c r="AP12" s="81"/>
      <c r="AQ12" s="81"/>
      <c r="AR12" s="30" t="s">
        <v>217</v>
      </c>
      <c r="AS12" s="30" t="s">
        <v>218</v>
      </c>
      <c r="AT12" s="31" t="s">
        <v>110</v>
      </c>
      <c r="AU12" s="31" t="s">
        <v>109</v>
      </c>
      <c r="AV12" s="31" t="s">
        <v>97</v>
      </c>
      <c r="AW12" s="31" t="s">
        <v>98</v>
      </c>
      <c r="AX12" s="31" t="s">
        <v>95</v>
      </c>
      <c r="AY12" s="31" t="s">
        <v>96</v>
      </c>
      <c r="AZ12" s="31" t="s">
        <v>95</v>
      </c>
      <c r="BA12" s="31" t="s">
        <v>96</v>
      </c>
      <c r="BB12" s="81"/>
      <c r="BC12" s="81"/>
      <c r="BD12" s="30" t="s">
        <v>217</v>
      </c>
      <c r="BE12" s="30" t="s">
        <v>218</v>
      </c>
      <c r="BF12" s="31" t="s">
        <v>110</v>
      </c>
      <c r="BG12" s="31" t="s">
        <v>109</v>
      </c>
      <c r="BH12" s="31" t="s">
        <v>97</v>
      </c>
      <c r="BI12" s="31" t="s">
        <v>98</v>
      </c>
      <c r="BJ12" s="31" t="s">
        <v>95</v>
      </c>
      <c r="BK12" s="31" t="s">
        <v>96</v>
      </c>
      <c r="BL12" s="31" t="s">
        <v>95</v>
      </c>
      <c r="BM12" s="31" t="s">
        <v>96</v>
      </c>
      <c r="BN12" s="81"/>
      <c r="BO12" s="81"/>
      <c r="BP12" s="30" t="s">
        <v>217</v>
      </c>
      <c r="BQ12" s="30" t="s">
        <v>218</v>
      </c>
      <c r="BR12" s="31" t="s">
        <v>110</v>
      </c>
      <c r="BS12" s="31" t="s">
        <v>109</v>
      </c>
      <c r="BT12" s="31" t="s">
        <v>97</v>
      </c>
      <c r="BU12" s="31" t="s">
        <v>98</v>
      </c>
      <c r="BV12" s="31" t="s">
        <v>95</v>
      </c>
      <c r="BW12" s="31" t="s">
        <v>96</v>
      </c>
      <c r="BX12" s="31" t="s">
        <v>95</v>
      </c>
      <c r="BY12" s="31" t="s">
        <v>96</v>
      </c>
      <c r="BZ12" s="81"/>
      <c r="CA12" s="81"/>
      <c r="CB12" s="30" t="s">
        <v>217</v>
      </c>
      <c r="CC12" s="30" t="s">
        <v>218</v>
      </c>
      <c r="CD12" s="31" t="s">
        <v>110</v>
      </c>
      <c r="CE12" s="31" t="s">
        <v>109</v>
      </c>
      <c r="CF12" s="31" t="s">
        <v>97</v>
      </c>
      <c r="CG12" s="31" t="s">
        <v>98</v>
      </c>
      <c r="CH12" s="31" t="s">
        <v>95</v>
      </c>
      <c r="CI12" s="31" t="s">
        <v>96</v>
      </c>
      <c r="CJ12" s="31" t="s">
        <v>95</v>
      </c>
      <c r="CK12" s="31" t="s">
        <v>96</v>
      </c>
      <c r="CL12" s="81"/>
      <c r="CM12" s="81"/>
      <c r="CN12" s="30" t="s">
        <v>217</v>
      </c>
      <c r="CO12" s="30" t="s">
        <v>218</v>
      </c>
      <c r="CP12" s="31" t="s">
        <v>110</v>
      </c>
      <c r="CQ12" s="31" t="s">
        <v>109</v>
      </c>
      <c r="CR12" s="31" t="s">
        <v>97</v>
      </c>
      <c r="CS12" s="31" t="s">
        <v>98</v>
      </c>
      <c r="CT12" s="31" t="s">
        <v>95</v>
      </c>
      <c r="CU12" s="31" t="s">
        <v>96</v>
      </c>
      <c r="CV12" s="31" t="s">
        <v>95</v>
      </c>
      <c r="CW12" s="31" t="s">
        <v>96</v>
      </c>
      <c r="CX12" s="81"/>
      <c r="CY12" s="81"/>
      <c r="CZ12" s="30" t="s">
        <v>217</v>
      </c>
      <c r="DA12" s="30" t="s">
        <v>218</v>
      </c>
      <c r="DB12" s="31" t="s">
        <v>110</v>
      </c>
      <c r="DC12" s="31" t="s">
        <v>109</v>
      </c>
      <c r="DD12" s="31" t="s">
        <v>97</v>
      </c>
      <c r="DE12" s="31" t="s">
        <v>98</v>
      </c>
      <c r="DF12" s="31" t="s">
        <v>95</v>
      </c>
      <c r="DG12" s="31" t="s">
        <v>96</v>
      </c>
      <c r="DH12" s="31" t="s">
        <v>95</v>
      </c>
      <c r="DI12" s="31" t="s">
        <v>96</v>
      </c>
      <c r="DJ12" s="81"/>
      <c r="DK12" s="81"/>
      <c r="DL12" s="30" t="s">
        <v>217</v>
      </c>
      <c r="DM12" s="30" t="s">
        <v>218</v>
      </c>
      <c r="DN12" s="31" t="s">
        <v>110</v>
      </c>
      <c r="DO12" s="31" t="s">
        <v>109</v>
      </c>
      <c r="DP12" s="31" t="s">
        <v>97</v>
      </c>
      <c r="DQ12" s="31" t="s">
        <v>98</v>
      </c>
      <c r="DR12" s="31" t="s">
        <v>95</v>
      </c>
      <c r="DS12" s="31" t="s">
        <v>96</v>
      </c>
      <c r="DT12" s="31" t="s">
        <v>95</v>
      </c>
      <c r="DU12" s="31" t="s">
        <v>96</v>
      </c>
      <c r="DV12" s="81"/>
      <c r="DW12" s="81"/>
      <c r="DX12" s="30" t="s">
        <v>217</v>
      </c>
      <c r="DY12" s="30" t="s">
        <v>218</v>
      </c>
      <c r="DZ12" s="31" t="s">
        <v>110</v>
      </c>
      <c r="EA12" s="31" t="s">
        <v>109</v>
      </c>
      <c r="EB12" s="31" t="s">
        <v>97</v>
      </c>
      <c r="EC12" s="31" t="s">
        <v>98</v>
      </c>
      <c r="ED12" s="31" t="s">
        <v>95</v>
      </c>
      <c r="EE12" s="31" t="s">
        <v>96</v>
      </c>
      <c r="EF12" s="31" t="s">
        <v>95</v>
      </c>
      <c r="EG12" s="31" t="s">
        <v>96</v>
      </c>
      <c r="EH12" s="81"/>
      <c r="EI12" s="81"/>
      <c r="EJ12" s="30" t="s">
        <v>217</v>
      </c>
      <c r="EK12" s="30" t="s">
        <v>218</v>
      </c>
      <c r="EL12" s="31" t="s">
        <v>110</v>
      </c>
      <c r="EM12" s="31" t="s">
        <v>109</v>
      </c>
      <c r="EN12" s="31" t="s">
        <v>97</v>
      </c>
      <c r="EO12" s="31" t="s">
        <v>98</v>
      </c>
      <c r="EP12" s="31" t="s">
        <v>95</v>
      </c>
      <c r="EQ12" s="31" t="s">
        <v>96</v>
      </c>
      <c r="ER12" s="31" t="s">
        <v>95</v>
      </c>
      <c r="ES12" s="31" t="s">
        <v>96</v>
      </c>
      <c r="ET12" s="81"/>
      <c r="EU12" s="81"/>
      <c r="EV12" s="30" t="s">
        <v>217</v>
      </c>
      <c r="EW12" s="30" t="s">
        <v>218</v>
      </c>
      <c r="EX12" s="31" t="s">
        <v>110</v>
      </c>
      <c r="EY12" s="31" t="s">
        <v>109</v>
      </c>
      <c r="EZ12" s="31" t="s">
        <v>97</v>
      </c>
      <c r="FA12" s="31" t="s">
        <v>98</v>
      </c>
      <c r="FB12" s="31" t="s">
        <v>95</v>
      </c>
      <c r="FC12" s="31" t="s">
        <v>96</v>
      </c>
      <c r="FD12" s="31" t="s">
        <v>95</v>
      </c>
      <c r="FE12" s="31" t="s">
        <v>96</v>
      </c>
      <c r="FF12" s="81"/>
      <c r="FG12" s="81"/>
      <c r="FH12" s="30" t="s">
        <v>217</v>
      </c>
      <c r="FI12" s="30" t="s">
        <v>218</v>
      </c>
      <c r="FJ12" s="31" t="s">
        <v>110</v>
      </c>
      <c r="FK12" s="31" t="s">
        <v>109</v>
      </c>
      <c r="FL12" s="31" t="s">
        <v>97</v>
      </c>
      <c r="FM12" s="31" t="s">
        <v>98</v>
      </c>
      <c r="FN12" s="31" t="s">
        <v>95</v>
      </c>
      <c r="FO12" s="31" t="s">
        <v>96</v>
      </c>
      <c r="FP12" s="31" t="s">
        <v>95</v>
      </c>
      <c r="FQ12" s="31" t="s">
        <v>96</v>
      </c>
      <c r="FR12" s="81"/>
      <c r="FS12" s="81"/>
      <c r="FT12" s="30" t="s">
        <v>217</v>
      </c>
      <c r="FU12" s="30" t="s">
        <v>218</v>
      </c>
      <c r="FV12" s="31" t="s">
        <v>110</v>
      </c>
      <c r="FW12" s="31" t="s">
        <v>109</v>
      </c>
      <c r="FX12" s="31" t="s">
        <v>97</v>
      </c>
      <c r="FY12" s="31" t="s">
        <v>98</v>
      </c>
      <c r="FZ12" s="31" t="s">
        <v>95</v>
      </c>
      <c r="GA12" s="31" t="s">
        <v>96</v>
      </c>
      <c r="GB12" s="31" t="s">
        <v>95</v>
      </c>
      <c r="GC12" s="31" t="s">
        <v>96</v>
      </c>
      <c r="GD12" s="81"/>
      <c r="GE12" s="81"/>
      <c r="GF12" s="30" t="s">
        <v>217</v>
      </c>
      <c r="GG12" s="30" t="s">
        <v>218</v>
      </c>
      <c r="GH12" s="31" t="s">
        <v>110</v>
      </c>
      <c r="GI12" s="31" t="s">
        <v>109</v>
      </c>
      <c r="GJ12" s="31" t="s">
        <v>97</v>
      </c>
      <c r="GK12" s="31" t="s">
        <v>98</v>
      </c>
      <c r="GL12" s="31" t="s">
        <v>95</v>
      </c>
      <c r="GM12" s="31" t="s">
        <v>96</v>
      </c>
      <c r="GN12" s="31" t="s">
        <v>95</v>
      </c>
      <c r="GO12" s="31" t="s">
        <v>96</v>
      </c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1" t="s">
        <v>105</v>
      </c>
      <c r="HG12" s="31" t="s">
        <v>106</v>
      </c>
      <c r="HH12" s="31" t="s">
        <v>107</v>
      </c>
      <c r="HI12" s="31" t="s">
        <v>108</v>
      </c>
      <c r="HJ12" s="81"/>
      <c r="HK12" s="81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1" t="s">
        <v>105</v>
      </c>
      <c r="IC12" s="31" t="s">
        <v>106</v>
      </c>
      <c r="ID12" s="31" t="s">
        <v>107</v>
      </c>
      <c r="IE12" s="31" t="s">
        <v>108</v>
      </c>
      <c r="IF12" s="81"/>
      <c r="IG12" s="81"/>
      <c r="IH12" s="95"/>
      <c r="II12" s="93"/>
      <c r="IJ12" s="92"/>
      <c r="IK12" s="95"/>
      <c r="IL12" s="93"/>
      <c r="IM12" s="92"/>
      <c r="IN12" s="95"/>
      <c r="IO12" s="93"/>
      <c r="IP12" s="92"/>
      <c r="IQ12" s="95"/>
      <c r="IR12" s="93"/>
      <c r="IS12" s="92"/>
      <c r="IT12" s="95"/>
      <c r="IU12" s="93"/>
      <c r="IV12" s="92"/>
      <c r="IW12" s="92"/>
      <c r="IX12" s="92"/>
      <c r="IY12" s="93"/>
      <c r="IZ12" s="99"/>
      <c r="JA12" s="98"/>
      <c r="JB12" s="93"/>
    </row>
    <row r="13" spans="1:262" x14ac:dyDescent="0.25">
      <c r="A13" s="33">
        <v>1</v>
      </c>
      <c r="B13" s="51"/>
      <c r="C13" s="51"/>
      <c r="D13" s="77"/>
      <c r="E13" s="52"/>
      <c r="F13" s="42"/>
      <c r="G13" s="37"/>
      <c r="H13" s="73"/>
      <c r="I13" s="73"/>
      <c r="J13" s="38" t="str">
        <f>IF(F13&lt;&gt;"",ROUND(F13,0),"")</f>
        <v/>
      </c>
      <c r="K13" s="38" t="str">
        <f>IF(G13&lt;&gt;"",ROUND(G13,0),"")</f>
        <v/>
      </c>
      <c r="L13" s="38" t="str">
        <f>IF(J13&lt;&gt;"",IF(AND(J13&gt;='TABEL KONVERSI'!$B$3,'ENTRY DATA'!J13&lt;='TABEL KONVERSI'!$C$3),1,IF(AND(J13&gt;='TABEL KONVERSI'!$B$4,'ENTRY DATA'!J13&lt;='TABEL KONVERSI'!$C$4),2,IF(AND(J13&gt;='TABEL KONVERSI'!$B$5,'ENTRY DATA'!J13&lt;='TABEL KONVERSI'!$C$5),3,IF(AND(J13&gt;='TABEL KONVERSI'!$B$6,'ENTRY DATA'!J13&lt;='TABEL KONVERSI'!$C$6),4,"")))),"-")</f>
        <v>-</v>
      </c>
      <c r="M13" s="38" t="str">
        <f>IF(K13&lt;&gt;"",IF(AND(K13&gt;='TABEL KONVERSI'!$B$3,'ENTRY DATA'!K13&lt;='TABEL KONVERSI'!$C$3),1,IF(AND(K13&gt;='TABEL KONVERSI'!$B$4,'ENTRY DATA'!K13&lt;='TABEL KONVERSI'!$C$4),2,IF(AND(K13&gt;='TABEL KONVERSI'!$B$5,'ENTRY DATA'!K13&lt;='TABEL KONVERSI'!$C$5),3,IF(AND(K13&gt;='TABEL KONVERSI'!$B$6,'ENTRY DATA'!K13&lt;='TABEL KONVERSI'!$C$6),4,"")))),"-")</f>
        <v>-</v>
      </c>
      <c r="N13" s="38" t="str">
        <f>IF(J13&lt;&gt;"",J13,"-")</f>
        <v>-</v>
      </c>
      <c r="O13" s="38" t="str">
        <f>VLOOKUP(L13,'TABEL KONVERSI'!$A$3:$D$7,4)</f>
        <v>-</v>
      </c>
      <c r="P13" s="38" t="str">
        <f>IF(K13&lt;&gt;"",K13,"-")</f>
        <v>-</v>
      </c>
      <c r="Q13" s="38" t="str">
        <f>VLOOKUP(M13,'TABEL KONVERSI'!$A$3:$D$7,4)</f>
        <v>-</v>
      </c>
      <c r="R13" s="42"/>
      <c r="S13" s="37"/>
      <c r="T13" s="73"/>
      <c r="U13" s="73"/>
      <c r="V13" s="38" t="str">
        <f>IF(R13&lt;&gt;"",ROUND(R13,0),"")</f>
        <v/>
      </c>
      <c r="W13" s="38" t="str">
        <f>IF(S13&lt;&gt;"",ROUND(S13,0),"")</f>
        <v/>
      </c>
      <c r="X13" s="38" t="str">
        <f>IF(V13&lt;&gt;"",IF(AND(V13&gt;='TABEL KONVERSI'!$B$3,'ENTRY DATA'!V13&lt;='TABEL KONVERSI'!$C$3),1,IF(AND(V13&gt;='TABEL KONVERSI'!$B$4,'ENTRY DATA'!V13&lt;='TABEL KONVERSI'!$C$4),2,IF(AND(V13&gt;='TABEL KONVERSI'!$B$5,'ENTRY DATA'!V13&lt;='TABEL KONVERSI'!$C$5),3,IF(AND(V13&gt;='TABEL KONVERSI'!$B$6,'ENTRY DATA'!V13&lt;='TABEL KONVERSI'!$C$6),4,"")))),"-")</f>
        <v>-</v>
      </c>
      <c r="Y13" s="38" t="str">
        <f>IF(W13&lt;&gt;"",IF(AND(W13&gt;='TABEL KONVERSI'!$B$3,'ENTRY DATA'!W13&lt;='TABEL KONVERSI'!$C$3),1,IF(AND(W13&gt;='TABEL KONVERSI'!$B$4,'ENTRY DATA'!W13&lt;='TABEL KONVERSI'!$C$4),2,IF(AND(W13&gt;='TABEL KONVERSI'!$B$5,'ENTRY DATA'!W13&lt;='TABEL KONVERSI'!$C$5),3,IF(AND(W13&gt;='TABEL KONVERSI'!$B$6,'ENTRY DATA'!W13&lt;='TABEL KONVERSI'!$C$6),4,"")))),"-")</f>
        <v>-</v>
      </c>
      <c r="Z13" s="38" t="str">
        <f>IF(V13&lt;&gt;"",V13,"-")</f>
        <v>-</v>
      </c>
      <c r="AA13" s="38" t="str">
        <f>VLOOKUP(X13,'TABEL KONVERSI'!$A$3:$D$7,4)</f>
        <v>-</v>
      </c>
      <c r="AB13" s="38" t="str">
        <f>IF(W13&lt;&gt;"",W13,"-")</f>
        <v>-</v>
      </c>
      <c r="AC13" s="38" t="str">
        <f>VLOOKUP(Y13,'TABEL KONVERSI'!$A$3:$D$7,4)</f>
        <v>-</v>
      </c>
      <c r="AD13" s="42"/>
      <c r="AE13" s="37"/>
      <c r="AF13" s="73"/>
      <c r="AG13" s="73"/>
      <c r="AH13" s="38" t="str">
        <f>IF(AD13&lt;&gt;"",ROUND(AD13,0),"")</f>
        <v/>
      </c>
      <c r="AI13" s="38" t="str">
        <f>IF(AE13&lt;&gt;"",ROUND(AE13,0),"")</f>
        <v/>
      </c>
      <c r="AJ13" s="38" t="str">
        <f>IF(AH13&lt;&gt;"",IF(AND(AH13&gt;='TABEL KONVERSI'!$B$3,'ENTRY DATA'!AH13&lt;='TABEL KONVERSI'!$C$3),1,IF(AND(AH13&gt;='TABEL KONVERSI'!$B$4,'ENTRY DATA'!AH13&lt;='TABEL KONVERSI'!$C$4),2,IF(AND(AH13&gt;='TABEL KONVERSI'!$B$5,'ENTRY DATA'!AH13&lt;='TABEL KONVERSI'!$C$5),3,IF(AND(AH13&gt;='TABEL KONVERSI'!$B$6,'ENTRY DATA'!AH13&lt;='TABEL KONVERSI'!$C$6),4,"")))),"-")</f>
        <v>-</v>
      </c>
      <c r="AK13" s="38" t="str">
        <f>IF(AI13&lt;&gt;"",IF(AND(AI13&gt;='TABEL KONVERSI'!$B$3,'ENTRY DATA'!AI13&lt;='TABEL KONVERSI'!$C$3),1,IF(AND(AI13&gt;='TABEL KONVERSI'!$B$4,'ENTRY DATA'!AI13&lt;='TABEL KONVERSI'!$C$4),2,IF(AND(AI13&gt;='TABEL KONVERSI'!$B$5,'ENTRY DATA'!AI13&lt;='TABEL KONVERSI'!$C$5),3,IF(AND(AI13&gt;='TABEL KONVERSI'!$B$6,'ENTRY DATA'!AI13&lt;='TABEL KONVERSI'!$C$6),4,"")))),"-")</f>
        <v>-</v>
      </c>
      <c r="AL13" s="38" t="str">
        <f>IF(AH13&lt;&gt;"",AH13,"-")</f>
        <v>-</v>
      </c>
      <c r="AM13" s="38" t="str">
        <f>VLOOKUP(AJ13,'TABEL KONVERSI'!$A$3:$D$7,4)</f>
        <v>-</v>
      </c>
      <c r="AN13" s="38" t="str">
        <f>IF(AI13&lt;&gt;"",AI13,"-")</f>
        <v>-</v>
      </c>
      <c r="AO13" s="38" t="str">
        <f>VLOOKUP(AK13,'TABEL KONVERSI'!$A$3:$D$7,4)</f>
        <v>-</v>
      </c>
      <c r="AP13" s="42"/>
      <c r="AQ13" s="37"/>
      <c r="AR13" s="73"/>
      <c r="AS13" s="73"/>
      <c r="AT13" s="38" t="str">
        <f>IF(AP13&lt;&gt;"",ROUND(AP13,0),"")</f>
        <v/>
      </c>
      <c r="AU13" s="38" t="str">
        <f>IF(AQ13&lt;&gt;"",ROUND(AQ13,0),"")</f>
        <v/>
      </c>
      <c r="AV13" s="38" t="str">
        <f>IF(AT13&lt;&gt;"",IF(AND(AT13&gt;='TABEL KONVERSI'!$B$3,'ENTRY DATA'!AT13&lt;='TABEL KONVERSI'!$C$3),1,IF(AND(AT13&gt;='TABEL KONVERSI'!$B$4,'ENTRY DATA'!AT13&lt;='TABEL KONVERSI'!$C$4),2,IF(AND(AT13&gt;='TABEL KONVERSI'!$B$5,'ENTRY DATA'!AT13&lt;='TABEL KONVERSI'!$C$5),3,IF(AND(AT13&gt;='TABEL KONVERSI'!$B$6,'ENTRY DATA'!AT13&lt;='TABEL KONVERSI'!$C$6),4,"")))),"-")</f>
        <v>-</v>
      </c>
      <c r="AW13" s="38" t="str">
        <f>IF(AU13&lt;&gt;"",IF(AND(AU13&gt;='TABEL KONVERSI'!$B$3,'ENTRY DATA'!AU13&lt;='TABEL KONVERSI'!$C$3),1,IF(AND(AU13&gt;='TABEL KONVERSI'!$B$4,'ENTRY DATA'!AU13&lt;='TABEL KONVERSI'!$C$4),2,IF(AND(AU13&gt;='TABEL KONVERSI'!$B$5,'ENTRY DATA'!AU13&lt;='TABEL KONVERSI'!$C$5),3,IF(AND(AU13&gt;='TABEL KONVERSI'!$B$6,'ENTRY DATA'!AU13&lt;='TABEL KONVERSI'!$C$6),4,"")))),"-")</f>
        <v>-</v>
      </c>
      <c r="AX13" s="38" t="str">
        <f>IF(AT13&lt;&gt;"",AT13,"-")</f>
        <v>-</v>
      </c>
      <c r="AY13" s="38" t="str">
        <f>VLOOKUP(AV13,'TABEL KONVERSI'!$A$3:$D$7,4)</f>
        <v>-</v>
      </c>
      <c r="AZ13" s="38" t="str">
        <f>IF(AU13&lt;&gt;"",AU13,"-")</f>
        <v>-</v>
      </c>
      <c r="BA13" s="38" t="str">
        <f>VLOOKUP(AW13,'TABEL KONVERSI'!$A$3:$D$7,4)</f>
        <v>-</v>
      </c>
      <c r="BB13" s="42"/>
      <c r="BC13" s="37"/>
      <c r="BD13" s="73"/>
      <c r="BE13" s="73"/>
      <c r="BF13" s="38" t="str">
        <f>IF(BB13&lt;&gt;"",ROUND(BB13,0),"")</f>
        <v/>
      </c>
      <c r="BG13" s="38" t="str">
        <f>IF(BC13&lt;&gt;"",ROUND(BC13,0),"")</f>
        <v/>
      </c>
      <c r="BH13" s="38" t="str">
        <f>IF(BF13&lt;&gt;"",IF(AND(BF13&gt;='TABEL KONVERSI'!$B$3,'ENTRY DATA'!BF13&lt;='TABEL KONVERSI'!$C$3),1,IF(AND(BF13&gt;='TABEL KONVERSI'!$B$4,'ENTRY DATA'!BF13&lt;='TABEL KONVERSI'!$C$4),2,IF(AND(BF13&gt;='TABEL KONVERSI'!$B$5,'ENTRY DATA'!BF13&lt;='TABEL KONVERSI'!$C$5),3,IF(AND(BF13&gt;='TABEL KONVERSI'!$B$6,'ENTRY DATA'!BF13&lt;='TABEL KONVERSI'!$C$6),4,"")))),"-")</f>
        <v>-</v>
      </c>
      <c r="BI13" s="38" t="str">
        <f>IF(BG13&lt;&gt;"",IF(AND(BG13&gt;='TABEL KONVERSI'!$B$3,'ENTRY DATA'!BG13&lt;='TABEL KONVERSI'!$C$3),1,IF(AND(BG13&gt;='TABEL KONVERSI'!$B$4,'ENTRY DATA'!BG13&lt;='TABEL KONVERSI'!$C$4),2,IF(AND(BG13&gt;='TABEL KONVERSI'!$B$5,'ENTRY DATA'!BG13&lt;='TABEL KONVERSI'!$C$5),3,IF(AND(BG13&gt;='TABEL KONVERSI'!$B$6,'ENTRY DATA'!BG13&lt;='TABEL KONVERSI'!$C$6),4,"")))),"-")</f>
        <v>-</v>
      </c>
      <c r="BJ13" s="38" t="str">
        <f>IF(BF13&lt;&gt;"",BF13,"-")</f>
        <v>-</v>
      </c>
      <c r="BK13" s="38" t="str">
        <f>VLOOKUP(BH13,'TABEL KONVERSI'!$A$3:$D$7,4)</f>
        <v>-</v>
      </c>
      <c r="BL13" s="38" t="str">
        <f>IF(BG13&lt;&gt;"",BG13,"-")</f>
        <v>-</v>
      </c>
      <c r="BM13" s="38" t="str">
        <f>VLOOKUP(BI13,'TABEL KONVERSI'!$A$3:$D$7,4)</f>
        <v>-</v>
      </c>
      <c r="BN13" s="42"/>
      <c r="BO13" s="37"/>
      <c r="BP13" s="73"/>
      <c r="BQ13" s="73"/>
      <c r="BR13" s="38" t="str">
        <f>IF(BN13&lt;&gt;"",ROUND(BN13,0),"")</f>
        <v/>
      </c>
      <c r="BS13" s="38" t="str">
        <f>IF(BO13&lt;&gt;"",ROUND(BO13,0),"")</f>
        <v/>
      </c>
      <c r="BT13" s="38" t="str">
        <f>IF(BR13&lt;&gt;"",IF(AND(BR13&gt;='TABEL KONVERSI'!$B$3,'ENTRY DATA'!BR13&lt;='TABEL KONVERSI'!$C$3),1,IF(AND(BR13&gt;='TABEL KONVERSI'!$B$4,'ENTRY DATA'!BR13&lt;='TABEL KONVERSI'!$C$4),2,IF(AND(BR13&gt;='TABEL KONVERSI'!$B$5,'ENTRY DATA'!BR13&lt;='TABEL KONVERSI'!$C$5),3,IF(AND(BR13&gt;='TABEL KONVERSI'!$B$6,'ENTRY DATA'!BR13&lt;='TABEL KONVERSI'!$C$6),4,"")))),"-")</f>
        <v>-</v>
      </c>
      <c r="BU13" s="38" t="str">
        <f>IF(BS13&lt;&gt;"",IF(AND(BS13&gt;='TABEL KONVERSI'!$B$3,'ENTRY DATA'!BS13&lt;='TABEL KONVERSI'!$C$3),1,IF(AND(BS13&gt;='TABEL KONVERSI'!$B$4,'ENTRY DATA'!BS13&lt;='TABEL KONVERSI'!$C$4),2,IF(AND(BS13&gt;='TABEL KONVERSI'!$B$5,'ENTRY DATA'!BS13&lt;='TABEL KONVERSI'!$C$5),3,IF(AND(BS13&gt;='TABEL KONVERSI'!$B$6,'ENTRY DATA'!BS13&lt;='TABEL KONVERSI'!$C$6),4,"")))),"-")</f>
        <v>-</v>
      </c>
      <c r="BV13" s="38" t="str">
        <f>IF(BR13&lt;&gt;"",BR13,"-")</f>
        <v>-</v>
      </c>
      <c r="BW13" s="38" t="str">
        <f>VLOOKUP(BT13,'TABEL KONVERSI'!$A$3:$D$7,4)</f>
        <v>-</v>
      </c>
      <c r="BX13" s="38" t="str">
        <f>IF(BS13&lt;&gt;"",BS13,"-")</f>
        <v>-</v>
      </c>
      <c r="BY13" s="38" t="str">
        <f>VLOOKUP(BU13,'TABEL KONVERSI'!$A$3:$D$7,4)</f>
        <v>-</v>
      </c>
      <c r="BZ13" s="42"/>
      <c r="CA13" s="37"/>
      <c r="CB13" s="73"/>
      <c r="CC13" s="73"/>
      <c r="CD13" s="38" t="str">
        <f>IF(BZ13&lt;&gt;"",ROUND(BZ13,0),"")</f>
        <v/>
      </c>
      <c r="CE13" s="38" t="str">
        <f>IF(CA13&lt;&gt;"",ROUND(CA13,0),"")</f>
        <v/>
      </c>
      <c r="CF13" s="38" t="str">
        <f>IF(CD13&lt;&gt;"",IF(AND(CD13&gt;='TABEL KONVERSI'!$B$3,'ENTRY DATA'!CD13&lt;='TABEL KONVERSI'!$C$3),1,IF(AND(CD13&gt;='TABEL KONVERSI'!$B$4,'ENTRY DATA'!CD13&lt;='TABEL KONVERSI'!$C$4),2,IF(AND(CD13&gt;='TABEL KONVERSI'!$B$5,'ENTRY DATA'!CD13&lt;='TABEL KONVERSI'!$C$5),3,IF(AND(CD13&gt;='TABEL KONVERSI'!$B$6,'ENTRY DATA'!CD13&lt;='TABEL KONVERSI'!$C$6),4,"")))),"-")</f>
        <v>-</v>
      </c>
      <c r="CG13" s="38" t="str">
        <f>IF(CE13&lt;&gt;"",IF(AND(CE13&gt;='TABEL KONVERSI'!$B$3,'ENTRY DATA'!CE13&lt;='TABEL KONVERSI'!$C$3),1,IF(AND(CE13&gt;='TABEL KONVERSI'!$B$4,'ENTRY DATA'!CE13&lt;='TABEL KONVERSI'!$C$4),2,IF(AND(CE13&gt;='TABEL KONVERSI'!$B$5,'ENTRY DATA'!CE13&lt;='TABEL KONVERSI'!$C$5),3,IF(AND(CE13&gt;='TABEL KONVERSI'!$B$6,'ENTRY DATA'!CE13&lt;='TABEL KONVERSI'!$C$6),4,"")))),"-")</f>
        <v>-</v>
      </c>
      <c r="CH13" s="38" t="str">
        <f>IF(CD13&lt;&gt;"",CD13,"-")</f>
        <v>-</v>
      </c>
      <c r="CI13" s="38" t="str">
        <f>VLOOKUP(CF13,'TABEL KONVERSI'!$A$3:$D$7,4)</f>
        <v>-</v>
      </c>
      <c r="CJ13" s="38" t="str">
        <f>IF(CE13&lt;&gt;"",CE13,"-")</f>
        <v>-</v>
      </c>
      <c r="CK13" s="38" t="str">
        <f>VLOOKUP(CG13,'TABEL KONVERSI'!$A$3:$D$7,4)</f>
        <v>-</v>
      </c>
      <c r="CL13" s="42"/>
      <c r="CM13" s="37"/>
      <c r="CN13" s="73"/>
      <c r="CO13" s="73"/>
      <c r="CP13" s="38" t="str">
        <f>IF(CL13&lt;&gt;"",ROUND(CL13,0),"")</f>
        <v/>
      </c>
      <c r="CQ13" s="38" t="str">
        <f>IF(CM13&lt;&gt;"",ROUND(CM13,0),"")</f>
        <v/>
      </c>
      <c r="CR13" s="38" t="str">
        <f>IF(CP13&lt;&gt;"",IF(AND(CP13&gt;='TABEL KONVERSI'!$B$3,'ENTRY DATA'!CP13&lt;='TABEL KONVERSI'!$C$3),1,IF(AND(CP13&gt;='TABEL KONVERSI'!$B$4,'ENTRY DATA'!CP13&lt;='TABEL KONVERSI'!$C$4),2,IF(AND(CP13&gt;='TABEL KONVERSI'!$B$5,'ENTRY DATA'!CP13&lt;='TABEL KONVERSI'!$C$5),3,IF(AND(CP13&gt;='TABEL KONVERSI'!$B$6,'ENTRY DATA'!CP13&lt;='TABEL KONVERSI'!$C$6),4,"")))),"-")</f>
        <v>-</v>
      </c>
      <c r="CS13" s="38" t="str">
        <f>IF(CQ13&lt;&gt;"",IF(AND(CQ13&gt;='TABEL KONVERSI'!$B$3,'ENTRY DATA'!CQ13&lt;='TABEL KONVERSI'!$C$3),1,IF(AND(CQ13&gt;='TABEL KONVERSI'!$B$4,'ENTRY DATA'!CQ13&lt;='TABEL KONVERSI'!$C$4),2,IF(AND(CQ13&gt;='TABEL KONVERSI'!$B$5,'ENTRY DATA'!CQ13&lt;='TABEL KONVERSI'!$C$5),3,IF(AND(CQ13&gt;='TABEL KONVERSI'!$B$6,'ENTRY DATA'!CQ13&lt;='TABEL KONVERSI'!$C$6),4,"")))),"-")</f>
        <v>-</v>
      </c>
      <c r="CT13" s="38" t="str">
        <f>IF(CP13&lt;&gt;"",CP13,"-")</f>
        <v>-</v>
      </c>
      <c r="CU13" s="38" t="str">
        <f>VLOOKUP(CR13,'TABEL KONVERSI'!$A$3:$D$7,4)</f>
        <v>-</v>
      </c>
      <c r="CV13" s="38" t="str">
        <f>IF(CQ13&lt;&gt;"",CQ13,"-")</f>
        <v>-</v>
      </c>
      <c r="CW13" s="38" t="str">
        <f>VLOOKUP(CS13,'TABEL KONVERSI'!$A$3:$D$7,4)</f>
        <v>-</v>
      </c>
      <c r="CX13" s="42"/>
      <c r="CY13" s="37"/>
      <c r="CZ13" s="73"/>
      <c r="DA13" s="73"/>
      <c r="DB13" s="38" t="str">
        <f>IF(CX13&lt;&gt;"",ROUND(CX13,0),"")</f>
        <v/>
      </c>
      <c r="DC13" s="38" t="str">
        <f>IF(CY13&lt;&gt;"",ROUND(CY13,0),"")</f>
        <v/>
      </c>
      <c r="DD13" s="38" t="str">
        <f>IF(DB13&lt;&gt;"",IF(AND(DB13&gt;='TABEL KONVERSI'!$B$3,'ENTRY DATA'!DB13&lt;='TABEL KONVERSI'!$C$3),1,IF(AND(DB13&gt;='TABEL KONVERSI'!$B$4,'ENTRY DATA'!DB13&lt;='TABEL KONVERSI'!$C$4),2,IF(AND(DB13&gt;='TABEL KONVERSI'!$B$5,'ENTRY DATA'!DB13&lt;='TABEL KONVERSI'!$C$5),3,IF(AND(DB13&gt;='TABEL KONVERSI'!$B$6,'ENTRY DATA'!DB13&lt;='TABEL KONVERSI'!$C$6),4,"")))),"-")</f>
        <v>-</v>
      </c>
      <c r="DE13" s="38" t="str">
        <f>IF(DC13&lt;&gt;"",IF(AND(DC13&gt;='TABEL KONVERSI'!$B$3,'ENTRY DATA'!DC13&lt;='TABEL KONVERSI'!$C$3),1,IF(AND(DC13&gt;='TABEL KONVERSI'!$B$4,'ENTRY DATA'!DC13&lt;='TABEL KONVERSI'!$C$4),2,IF(AND(DC13&gt;='TABEL KONVERSI'!$B$5,'ENTRY DATA'!DC13&lt;='TABEL KONVERSI'!$C$5),3,IF(AND(DC13&gt;='TABEL KONVERSI'!$B$6,'ENTRY DATA'!DC13&lt;='TABEL KONVERSI'!$C$6),4,"")))),"-")</f>
        <v>-</v>
      </c>
      <c r="DF13" s="38" t="str">
        <f>IF(DB13&lt;&gt;"",DB13,"-")</f>
        <v>-</v>
      </c>
      <c r="DG13" s="38" t="str">
        <f>VLOOKUP(DD13,'TABEL KONVERSI'!$A$3:$D$7,4)</f>
        <v>-</v>
      </c>
      <c r="DH13" s="38" t="str">
        <f>IF(DC13&lt;&gt;"",DC13,"-")</f>
        <v>-</v>
      </c>
      <c r="DI13" s="38" t="str">
        <f>VLOOKUP(DE13,'TABEL KONVERSI'!$A$3:$D$7,4)</f>
        <v>-</v>
      </c>
      <c r="DJ13" s="42"/>
      <c r="DK13" s="37"/>
      <c r="DL13" s="73"/>
      <c r="DM13" s="73"/>
      <c r="DN13" s="38" t="str">
        <f>IF(DJ13&lt;&gt;"",ROUND(DJ13,0),"")</f>
        <v/>
      </c>
      <c r="DO13" s="38" t="str">
        <f>IF(DK13&lt;&gt;"",ROUND(DK13,0),"")</f>
        <v/>
      </c>
      <c r="DP13" s="38" t="str">
        <f>IF(DN13&lt;&gt;"",IF(AND(DN13&gt;='TABEL KONVERSI'!$B$3,'ENTRY DATA'!DN13&lt;='TABEL KONVERSI'!$C$3),1,IF(AND(DN13&gt;='TABEL KONVERSI'!$B$4,'ENTRY DATA'!DN13&lt;='TABEL KONVERSI'!$C$4),2,IF(AND(DN13&gt;='TABEL KONVERSI'!$B$5,'ENTRY DATA'!DN13&lt;='TABEL KONVERSI'!$C$5),3,IF(AND(DN13&gt;='TABEL KONVERSI'!$B$6,'ENTRY DATA'!DN13&lt;='TABEL KONVERSI'!$C$6),4,"")))),"-")</f>
        <v>-</v>
      </c>
      <c r="DQ13" s="38" t="str">
        <f>IF(DO13&lt;&gt;"",IF(AND(DO13&gt;='TABEL KONVERSI'!$B$3,'ENTRY DATA'!DO13&lt;='TABEL KONVERSI'!$C$3),1,IF(AND(DO13&gt;='TABEL KONVERSI'!$B$4,'ENTRY DATA'!DO13&lt;='TABEL KONVERSI'!$C$4),2,IF(AND(DO13&gt;='TABEL KONVERSI'!$B$5,'ENTRY DATA'!DO13&lt;='TABEL KONVERSI'!$C$5),3,IF(AND(DO13&gt;='TABEL KONVERSI'!$B$6,'ENTRY DATA'!DO13&lt;='TABEL KONVERSI'!$C$6),4,"")))),"-")</f>
        <v>-</v>
      </c>
      <c r="DR13" s="38" t="str">
        <f>IF(DN13&lt;&gt;"",DN13,"-")</f>
        <v>-</v>
      </c>
      <c r="DS13" s="38" t="str">
        <f>VLOOKUP(DP13,'TABEL KONVERSI'!$A$3:$D$7,4)</f>
        <v>-</v>
      </c>
      <c r="DT13" s="38" t="str">
        <f>IF(DO13&lt;&gt;"",DO13,"-")</f>
        <v>-</v>
      </c>
      <c r="DU13" s="38" t="str">
        <f>VLOOKUP(DQ13,'TABEL KONVERSI'!$A$3:$D$7,4)</f>
        <v>-</v>
      </c>
      <c r="DV13" s="42"/>
      <c r="DW13" s="37"/>
      <c r="DX13" s="73"/>
      <c r="DY13" s="73"/>
      <c r="DZ13" s="38" t="str">
        <f>IF(DV13&lt;&gt;"",ROUND(DV13,0),"")</f>
        <v/>
      </c>
      <c r="EA13" s="38" t="str">
        <f>IF(DW13&lt;&gt;"",ROUND(DW13,0),"")</f>
        <v/>
      </c>
      <c r="EB13" s="38" t="str">
        <f>IF(DZ13&lt;&gt;"",IF(AND(DZ13&gt;='TABEL KONVERSI'!$B$3,'ENTRY DATA'!DZ13&lt;='TABEL KONVERSI'!$C$3),1,IF(AND(DZ13&gt;='TABEL KONVERSI'!$B$4,'ENTRY DATA'!DZ13&lt;='TABEL KONVERSI'!$C$4),2,IF(AND(DZ13&gt;='TABEL KONVERSI'!$B$5,'ENTRY DATA'!DZ13&lt;='TABEL KONVERSI'!$C$5),3,IF(AND(DZ13&gt;='TABEL KONVERSI'!$B$6,'ENTRY DATA'!DZ13&lt;='TABEL KONVERSI'!$C$6),4,"")))),"-")</f>
        <v>-</v>
      </c>
      <c r="EC13" s="38" t="str">
        <f>IF(EA13&lt;&gt;"",IF(AND(EA13&gt;='TABEL KONVERSI'!$B$3,'ENTRY DATA'!EA13&lt;='TABEL KONVERSI'!$C$3),1,IF(AND(EA13&gt;='TABEL KONVERSI'!$B$4,'ENTRY DATA'!EA13&lt;='TABEL KONVERSI'!$C$4),2,IF(AND(EA13&gt;='TABEL KONVERSI'!$B$5,'ENTRY DATA'!EA13&lt;='TABEL KONVERSI'!$C$5),3,IF(AND(EA13&gt;='TABEL KONVERSI'!$B$6,'ENTRY DATA'!EA13&lt;='TABEL KONVERSI'!$C$6),4,"")))),"-")</f>
        <v>-</v>
      </c>
      <c r="ED13" s="38" t="str">
        <f>IF(DZ13&lt;&gt;"",DZ13,"-")</f>
        <v>-</v>
      </c>
      <c r="EE13" s="38" t="str">
        <f>VLOOKUP(EB13,'TABEL KONVERSI'!$A$3:$D$7,4)</f>
        <v>-</v>
      </c>
      <c r="EF13" s="38" t="str">
        <f>IF(EA13&lt;&gt;"",EA13,"-")</f>
        <v>-</v>
      </c>
      <c r="EG13" s="38" t="str">
        <f>VLOOKUP(EC13,'TABEL KONVERSI'!$A$3:$D$7,4)</f>
        <v>-</v>
      </c>
      <c r="EH13" s="42"/>
      <c r="EI13" s="37"/>
      <c r="EJ13" s="73"/>
      <c r="EK13" s="73"/>
      <c r="EL13" s="38" t="str">
        <f>IF(EH13&lt;&gt;"",ROUND(EH13,0),"")</f>
        <v/>
      </c>
      <c r="EM13" s="38" t="str">
        <f>IF(EI13&lt;&gt;"",ROUND(EI13,0),"")</f>
        <v/>
      </c>
      <c r="EN13" s="38" t="str">
        <f>IF(EL13&lt;&gt;"",IF(AND(EL13&gt;='TABEL KONVERSI'!$B$3,'ENTRY DATA'!EL13&lt;='TABEL KONVERSI'!$C$3),1,IF(AND(EL13&gt;='TABEL KONVERSI'!$B$4,'ENTRY DATA'!EL13&lt;='TABEL KONVERSI'!$C$4),2,IF(AND(EL13&gt;='TABEL KONVERSI'!$B$5,'ENTRY DATA'!EL13&lt;='TABEL KONVERSI'!$C$5),3,IF(AND(EL13&gt;='TABEL KONVERSI'!$B$6,'ENTRY DATA'!EL13&lt;='TABEL KONVERSI'!$C$6),4,"")))),"-")</f>
        <v>-</v>
      </c>
      <c r="EO13" s="38" t="str">
        <f>IF(EM13&lt;&gt;"",IF(AND(EM13&gt;='TABEL KONVERSI'!$B$3,'ENTRY DATA'!EM13&lt;='TABEL KONVERSI'!$C$3),1,IF(AND(EM13&gt;='TABEL KONVERSI'!$B$4,'ENTRY DATA'!EM13&lt;='TABEL KONVERSI'!$C$4),2,IF(AND(EM13&gt;='TABEL KONVERSI'!$B$5,'ENTRY DATA'!EM13&lt;='TABEL KONVERSI'!$C$5),3,IF(AND(EM13&gt;='TABEL KONVERSI'!$B$6,'ENTRY DATA'!EM13&lt;='TABEL KONVERSI'!$C$6),4,"")))),"-")</f>
        <v>-</v>
      </c>
      <c r="EP13" s="38" t="str">
        <f>IF(EL13&lt;&gt;"",EL13,"-")</f>
        <v>-</v>
      </c>
      <c r="EQ13" s="38" t="str">
        <f>VLOOKUP(EN13,'TABEL KONVERSI'!$A$3:$D$7,4)</f>
        <v>-</v>
      </c>
      <c r="ER13" s="38" t="str">
        <f>IF(EM13&lt;&gt;"",EM13,"-")</f>
        <v>-</v>
      </c>
      <c r="ES13" s="38" t="str">
        <f>VLOOKUP(EO13,'TABEL KONVERSI'!$A$3:$D$7,4)</f>
        <v>-</v>
      </c>
      <c r="ET13" s="42"/>
      <c r="EU13" s="37"/>
      <c r="EV13" s="73"/>
      <c r="EW13" s="73"/>
      <c r="EX13" s="38" t="str">
        <f>IF(ET13&lt;&gt;"",ROUND(ET13,0),"")</f>
        <v/>
      </c>
      <c r="EY13" s="38" t="str">
        <f>IF(EU13&lt;&gt;"",ROUND(EU13,0),"")</f>
        <v/>
      </c>
      <c r="EZ13" s="38" t="str">
        <f>IF(EX13&lt;&gt;"",IF(AND(EX13&gt;='TABEL KONVERSI'!$B$3,'ENTRY DATA'!EX13&lt;='TABEL KONVERSI'!$C$3),1,IF(AND(EX13&gt;='TABEL KONVERSI'!$B$4,'ENTRY DATA'!EX13&lt;='TABEL KONVERSI'!$C$4),2,IF(AND(EX13&gt;='TABEL KONVERSI'!$B$5,'ENTRY DATA'!EX13&lt;='TABEL KONVERSI'!$C$5),3,IF(AND(EX13&gt;='TABEL KONVERSI'!$B$6,'ENTRY DATA'!EX13&lt;='TABEL KONVERSI'!$C$6),4,"")))),"-")</f>
        <v>-</v>
      </c>
      <c r="FA13" s="38" t="str">
        <f>IF(EY13&lt;&gt;"",IF(AND(EY13&gt;='TABEL KONVERSI'!$B$3,'ENTRY DATA'!EY13&lt;='TABEL KONVERSI'!$C$3),1,IF(AND(EY13&gt;='TABEL KONVERSI'!$B$4,'ENTRY DATA'!EY13&lt;='TABEL KONVERSI'!$C$4),2,IF(AND(EY13&gt;='TABEL KONVERSI'!$B$5,'ENTRY DATA'!EY13&lt;='TABEL KONVERSI'!$C$5),3,IF(AND(EY13&gt;='TABEL KONVERSI'!$B$6,'ENTRY DATA'!EY13&lt;='TABEL KONVERSI'!$C$6),4,"")))),"-")</f>
        <v>-</v>
      </c>
      <c r="FB13" s="38" t="str">
        <f>IF(EX13&lt;&gt;"",EX13,"-")</f>
        <v>-</v>
      </c>
      <c r="FC13" s="38" t="str">
        <f>VLOOKUP(EZ13,'TABEL KONVERSI'!$A$3:$D$7,4)</f>
        <v>-</v>
      </c>
      <c r="FD13" s="38" t="str">
        <f>IF(EY13&lt;&gt;"",EY13,"-")</f>
        <v>-</v>
      </c>
      <c r="FE13" s="38" t="str">
        <f>VLOOKUP(FA13,'TABEL KONVERSI'!$A$3:$D$7,4)</f>
        <v>-</v>
      </c>
      <c r="FF13" s="42"/>
      <c r="FG13" s="37"/>
      <c r="FH13" s="73"/>
      <c r="FI13" s="73"/>
      <c r="FJ13" s="38" t="str">
        <f>IF(FF13&lt;&gt;"",ROUND(FF13,0),"")</f>
        <v/>
      </c>
      <c r="FK13" s="38" t="str">
        <f>IF(FG13&lt;&gt;"",ROUND(FG13,0),"")</f>
        <v/>
      </c>
      <c r="FL13" s="38" t="str">
        <f>IF(FJ13&lt;&gt;"",IF(AND(FJ13&gt;='TABEL KONVERSI'!$B$3,'ENTRY DATA'!FJ13&lt;='TABEL KONVERSI'!$C$3),1,IF(AND(FJ13&gt;='TABEL KONVERSI'!$B$4,'ENTRY DATA'!FJ13&lt;='TABEL KONVERSI'!$C$4),2,IF(AND(FJ13&gt;='TABEL KONVERSI'!$B$5,'ENTRY DATA'!FJ13&lt;='TABEL KONVERSI'!$C$5),3,IF(AND(FJ13&gt;='TABEL KONVERSI'!$B$6,'ENTRY DATA'!FJ13&lt;='TABEL KONVERSI'!$C$6),4,"")))),"-")</f>
        <v>-</v>
      </c>
      <c r="FM13" s="38" t="str">
        <f>IF(FK13&lt;&gt;"",IF(AND(FK13&gt;='TABEL KONVERSI'!$B$3,'ENTRY DATA'!FK13&lt;='TABEL KONVERSI'!$C$3),1,IF(AND(FK13&gt;='TABEL KONVERSI'!$B$4,'ENTRY DATA'!FK13&lt;='TABEL KONVERSI'!$C$4),2,IF(AND(FK13&gt;='TABEL KONVERSI'!$B$5,'ENTRY DATA'!FK13&lt;='TABEL KONVERSI'!$C$5),3,IF(AND(FK13&gt;='TABEL KONVERSI'!$B$6,'ENTRY DATA'!FK13&lt;='TABEL KONVERSI'!$C$6),4,"")))),"-")</f>
        <v>-</v>
      </c>
      <c r="FN13" s="38" t="str">
        <f>IF(FJ13&lt;&gt;"",FJ13,"-")</f>
        <v>-</v>
      </c>
      <c r="FO13" s="38" t="str">
        <f>VLOOKUP(FL13,'TABEL KONVERSI'!$A$3:$D$7,4)</f>
        <v>-</v>
      </c>
      <c r="FP13" s="38" t="str">
        <f>IF(FK13&lt;&gt;"",FK13,"-")</f>
        <v>-</v>
      </c>
      <c r="FQ13" s="38" t="str">
        <f>VLOOKUP(FM13,'TABEL KONVERSI'!$A$3:$D$7,4)</f>
        <v>-</v>
      </c>
      <c r="FR13" s="42"/>
      <c r="FS13" s="37"/>
      <c r="FT13" s="73"/>
      <c r="FU13" s="73"/>
      <c r="FV13" s="38" t="str">
        <f>IF(FR13&lt;&gt;"",ROUND(FR13,0),"")</f>
        <v/>
      </c>
      <c r="FW13" s="38" t="str">
        <f>IF(FS13&lt;&gt;"",ROUND(FS13,0),"")</f>
        <v/>
      </c>
      <c r="FX13" s="38" t="str">
        <f>IF(FV13&lt;&gt;"",IF(AND(FV13&gt;='TABEL KONVERSI'!$B$3,'ENTRY DATA'!FV13&lt;='TABEL KONVERSI'!$C$3),1,IF(AND(FV13&gt;='TABEL KONVERSI'!$B$4,'ENTRY DATA'!FV13&lt;='TABEL KONVERSI'!$C$4),2,IF(AND(FV13&gt;='TABEL KONVERSI'!$B$5,'ENTRY DATA'!FV13&lt;='TABEL KONVERSI'!$C$5),3,IF(AND(FV13&gt;='TABEL KONVERSI'!$B$6,'ENTRY DATA'!FV13&lt;='TABEL KONVERSI'!$C$6),4,"")))),"-")</f>
        <v>-</v>
      </c>
      <c r="FY13" s="38" t="str">
        <f>IF(FW13&lt;&gt;"",IF(AND(FW13&gt;='TABEL KONVERSI'!$B$3,'ENTRY DATA'!FW13&lt;='TABEL KONVERSI'!$C$3),1,IF(AND(FW13&gt;='TABEL KONVERSI'!$B$4,'ENTRY DATA'!FW13&lt;='TABEL KONVERSI'!$C$4),2,IF(AND(FW13&gt;='TABEL KONVERSI'!$B$5,'ENTRY DATA'!FW13&lt;='TABEL KONVERSI'!$C$5),3,IF(AND(FW13&gt;='TABEL KONVERSI'!$B$6,'ENTRY DATA'!FW13&lt;='TABEL KONVERSI'!$C$6),4,"")))),"-")</f>
        <v>-</v>
      </c>
      <c r="FZ13" s="38" t="str">
        <f>IF(FV13&lt;&gt;"",FV13,"-")</f>
        <v>-</v>
      </c>
      <c r="GA13" s="38" t="str">
        <f>VLOOKUP(FX13,'TABEL KONVERSI'!$A$3:$D$7,4)</f>
        <v>-</v>
      </c>
      <c r="GB13" s="38" t="str">
        <f>IF(FW13&lt;&gt;"",FW13,"-")</f>
        <v>-</v>
      </c>
      <c r="GC13" s="38" t="str">
        <f>VLOOKUP(FY13,'TABEL KONVERSI'!$A$3:$D$7,4)</f>
        <v>-</v>
      </c>
      <c r="GD13" s="42"/>
      <c r="GE13" s="37"/>
      <c r="GF13" s="73"/>
      <c r="GG13" s="73"/>
      <c r="GH13" s="38" t="str">
        <f>IF(GD13&lt;&gt;"",ROUND(GD13,0),"")</f>
        <v/>
      </c>
      <c r="GI13" s="38" t="str">
        <f>IF(GE13&lt;&gt;"",ROUND(GE13,0),"")</f>
        <v/>
      </c>
      <c r="GJ13" s="38" t="str">
        <f>IF(GH13&lt;&gt;"",IF(AND(GH13&gt;='TABEL KONVERSI'!$B$3,'ENTRY DATA'!GH13&lt;='TABEL KONVERSI'!$C$3),1,IF(AND(GH13&gt;='TABEL KONVERSI'!$B$4,'ENTRY DATA'!GH13&lt;='TABEL KONVERSI'!$C$4),2,IF(AND(GH13&gt;='TABEL KONVERSI'!$B$5,'ENTRY DATA'!GH13&lt;='TABEL KONVERSI'!$C$5),3,IF(AND(GH13&gt;='TABEL KONVERSI'!$B$6,'ENTRY DATA'!GH13&lt;='TABEL KONVERSI'!$C$6),4,"")))),"-")</f>
        <v>-</v>
      </c>
      <c r="GK13" s="38" t="str">
        <f>IF(GI13&lt;&gt;"",IF(AND(GI13&gt;='TABEL KONVERSI'!$B$3,'ENTRY DATA'!GI13&lt;='TABEL KONVERSI'!$C$3),1,IF(AND(GI13&gt;='TABEL KONVERSI'!$B$4,'ENTRY DATA'!GI13&lt;='TABEL KONVERSI'!$C$4),2,IF(AND(GI13&gt;='TABEL KONVERSI'!$B$5,'ENTRY DATA'!GI13&lt;='TABEL KONVERSI'!$C$5),3,IF(AND(GI13&gt;='TABEL KONVERSI'!$B$6,'ENTRY DATA'!GI13&lt;='TABEL KONVERSI'!$C$6),4,"")))),"-")</f>
        <v>-</v>
      </c>
      <c r="GL13" s="38" t="str">
        <f>IF(GH13&lt;&gt;"",GH13,"-")</f>
        <v>-</v>
      </c>
      <c r="GM13" s="38" t="str">
        <f>VLOOKUP(GJ13,'TABEL KONVERSI'!$A$3:$D$7,4)</f>
        <v>-</v>
      </c>
      <c r="GN13" s="38" t="str">
        <f>IF(GI13&lt;&gt;"",GI13,"-")</f>
        <v>-</v>
      </c>
      <c r="GO13" s="38" t="str">
        <f>VLOOKUP(GK13,'TABEL KONVERSI'!$A$3:$D$7,4)</f>
        <v>-</v>
      </c>
      <c r="GP13" s="43">
        <f t="shared" ref="GP13:GP44" si="0">H13</f>
        <v>0</v>
      </c>
      <c r="GQ13" s="43">
        <f t="shared" ref="GQ13:GQ44" si="1">T13</f>
        <v>0</v>
      </c>
      <c r="GR13" s="43">
        <f t="shared" ref="GR13:GR44" si="2">AF13</f>
        <v>0</v>
      </c>
      <c r="GS13" s="43">
        <f t="shared" ref="GS13:GS44" si="3">AR13</f>
        <v>0</v>
      </c>
      <c r="GT13" s="43">
        <f t="shared" ref="GT13:GT44" si="4">BD13</f>
        <v>0</v>
      </c>
      <c r="GU13" s="43">
        <f t="shared" ref="GU13:GU44" si="5">BP13</f>
        <v>0</v>
      </c>
      <c r="GV13" s="43">
        <f t="shared" ref="GV13:GV44" si="6">CB13</f>
        <v>0</v>
      </c>
      <c r="GW13" s="43">
        <f t="shared" ref="GW13:GW44" si="7">CN13</f>
        <v>0</v>
      </c>
      <c r="GX13" s="43">
        <f t="shared" ref="GX13:GX44" si="8">CZ13</f>
        <v>0</v>
      </c>
      <c r="GY13" s="43">
        <f t="shared" ref="GY13:GY44" si="9">DL13</f>
        <v>0</v>
      </c>
      <c r="GZ13" s="43">
        <f t="shared" ref="GZ13:GZ44" si="10">DX13</f>
        <v>0</v>
      </c>
      <c r="HA13" s="43">
        <f t="shared" ref="HA13:HA44" si="11">EJ13</f>
        <v>0</v>
      </c>
      <c r="HB13" s="43">
        <f t="shared" ref="HB13:HB44" si="12">EV13</f>
        <v>0</v>
      </c>
      <c r="HC13" s="43">
        <f t="shared" ref="HC13:HC44" si="13">FH13</f>
        <v>0</v>
      </c>
      <c r="HD13" s="43">
        <f t="shared" ref="HD13:HD44" si="14">FT13</f>
        <v>0</v>
      </c>
      <c r="HE13" s="43">
        <f t="shared" ref="HE13:HE44" si="15">GF13</f>
        <v>0</v>
      </c>
      <c r="HF13" s="38">
        <f>COUNTIF($GP13:$HE13,"=A")</f>
        <v>0</v>
      </c>
      <c r="HG13" s="38">
        <f>COUNTIF($GP13:$HE13,"=B")</f>
        <v>0</v>
      </c>
      <c r="HH13" s="38">
        <f>COUNTIF($GP13:$HE13,"=C")</f>
        <v>0</v>
      </c>
      <c r="HI13" s="39">
        <f>COUNTIF($GP13:$HE13,"=D")</f>
        <v>0</v>
      </c>
      <c r="HJ13" s="44" t="str">
        <f>IF(AND(HF13=0,HG13=0,HH13=0,HI13=0),"-",IF(MAX(HF13:HI13)=HF13,"A",IF(MAX(HF13:HI13)=HG13,"B",IF(MAX(HF13:HI13)=HH13,"C",IF(MAX(HF13:HI13)=HI13,"D","-")))))</f>
        <v>-</v>
      </c>
      <c r="HK13" s="45" t="str">
        <f>VLOOKUP(HJ13,'TABEL KONVERSI'!$B$11:$D$15,2,0)</f>
        <v>-</v>
      </c>
      <c r="HL13" s="43">
        <f t="shared" ref="HL13:HL44" si="16">I13</f>
        <v>0</v>
      </c>
      <c r="HM13" s="43">
        <f t="shared" ref="HM13:HM44" si="17">U13</f>
        <v>0</v>
      </c>
      <c r="HN13" s="43">
        <f t="shared" ref="HN13:HN44" si="18">AG13</f>
        <v>0</v>
      </c>
      <c r="HO13" s="43">
        <f t="shared" ref="HO13:HO44" si="19">AS13</f>
        <v>0</v>
      </c>
      <c r="HP13" s="43">
        <f t="shared" ref="HP13:HP44" si="20">BE13</f>
        <v>0</v>
      </c>
      <c r="HQ13" s="43">
        <f t="shared" ref="HQ13:HQ44" si="21">BQ13</f>
        <v>0</v>
      </c>
      <c r="HR13" s="43">
        <f t="shared" ref="HR13:HR44" si="22">CC13</f>
        <v>0</v>
      </c>
      <c r="HS13" s="43">
        <f t="shared" ref="HS13:HS44" si="23">CO13</f>
        <v>0</v>
      </c>
      <c r="HT13" s="43">
        <f t="shared" ref="HT13:HT44" si="24">DA13</f>
        <v>0</v>
      </c>
      <c r="HU13" s="43">
        <f t="shared" ref="HU13:HU44" si="25">DM13</f>
        <v>0</v>
      </c>
      <c r="HV13" s="43">
        <f t="shared" ref="HV13:HV44" si="26">DY13</f>
        <v>0</v>
      </c>
      <c r="HW13" s="43">
        <f t="shared" ref="HW13:HW44" si="27">EK13</f>
        <v>0</v>
      </c>
      <c r="HX13" s="43">
        <f t="shared" ref="HX13:HX44" si="28">EW13</f>
        <v>0</v>
      </c>
      <c r="HY13" s="43">
        <f t="shared" ref="HY13:HY44" si="29">FI13</f>
        <v>0</v>
      </c>
      <c r="HZ13" s="43">
        <f t="shared" ref="HZ13:HZ44" si="30">FU13</f>
        <v>0</v>
      </c>
      <c r="IA13" s="43">
        <f t="shared" ref="IA13:IA44" si="31">GG13</f>
        <v>0</v>
      </c>
      <c r="IB13" s="38">
        <f>COUNTIF($HL13:$IA13,"=A")</f>
        <v>0</v>
      </c>
      <c r="IC13" s="38">
        <f>COUNTIF($HL13:$IA13,"=B")</f>
        <v>0</v>
      </c>
      <c r="ID13" s="38">
        <f>COUNTIF($HL13:$IA13,"=C")</f>
        <v>0</v>
      </c>
      <c r="IE13" s="38">
        <f>COUNTIF($HL13:$IA13,"=D")</f>
        <v>0</v>
      </c>
      <c r="IF13" s="46" t="str">
        <f>IF(AND(IB13=0,IC13=0,ID13=0,IE13=0),"-",IF(MAX(IB13:IE13)=IB13,"A",IF(MAX(IB13:IE13)=IC13,"B",IF(MAX(IB13:IE13)=ID13,"C",IF(MAX(IB13:IE13)=IE13,"D","-")))))</f>
        <v>-</v>
      </c>
      <c r="IG13" s="45" t="str">
        <f>VLOOKUP(IF13,'TABEL KONVERSI'!$B$11:$D$15,3,0)</f>
        <v>-</v>
      </c>
      <c r="IH13" s="40" t="s">
        <v>223</v>
      </c>
      <c r="II13" s="41" t="s">
        <v>106</v>
      </c>
      <c r="IJ13" s="45" t="str">
        <f>IF(II13&lt;&gt;"",VLOOKUP(II13,'TABEL KONVERSI'!$A$19:$B$23,2,0),"")</f>
        <v>Aktif dalam mengikuti kegiatan</v>
      </c>
      <c r="IK13" s="47" t="s">
        <v>58</v>
      </c>
      <c r="IL13" s="50" t="s">
        <v>58</v>
      </c>
      <c r="IM13" s="45" t="str">
        <f>IF(IL13&lt;&gt;"",VLOOKUP(IL13,'TABEL KONVERSI'!$A$19:$B$23,2,0),"")</f>
        <v>-</v>
      </c>
      <c r="IN13" s="49" t="s">
        <v>58</v>
      </c>
      <c r="IO13" s="48" t="s">
        <v>58</v>
      </c>
      <c r="IP13" s="45" t="str">
        <f>IF(IO13&lt;&gt;"",VLOOKUP(IO13,'TABEL KONVERSI'!$A$19:$B$23,2,0),"")</f>
        <v>-</v>
      </c>
      <c r="IQ13" s="49" t="s">
        <v>58</v>
      </c>
      <c r="IR13" s="50" t="s">
        <v>58</v>
      </c>
      <c r="IS13" s="45" t="str">
        <f>IF(IR13&lt;&gt;"",VLOOKUP(IR13,'TABEL KONVERSI'!$A$19:$B$23,2,0),"")</f>
        <v>-</v>
      </c>
      <c r="IT13" s="49" t="s">
        <v>58</v>
      </c>
      <c r="IU13" s="50" t="s">
        <v>58</v>
      </c>
      <c r="IV13" s="45" t="str">
        <f>IF(IU13&lt;&gt;"",VLOOKUP(IU13,'TABEL KONVERSI'!$A$19:$B$23,2,0),"")</f>
        <v>-</v>
      </c>
      <c r="IW13" s="48" t="s">
        <v>58</v>
      </c>
      <c r="IX13" s="48" t="s">
        <v>58</v>
      </c>
      <c r="IY13" s="48" t="s">
        <v>58</v>
      </c>
      <c r="IZ13" s="47" t="s">
        <v>58</v>
      </c>
      <c r="JA13" s="45">
        <f t="shared" ref="JA13:JA44" si="32">SUM(N13,P13,Z13,AB13,AL13,AN13,AX13,AZ13,BJ13,BL13,BV13,BX13,CH13,CJ13,CT13,CV13,DF13,DH13,DR13,DT13,ED13,EF13,EP13,ER13,FB13,FD13,FN13,FP13,FZ13,GB13,GL13,GN13)</f>
        <v>0</v>
      </c>
      <c r="JB13" s="45">
        <f t="shared" ref="JB13:JB48" si="33">RANK(JA13,$JA$13:$JA$62,0)</f>
        <v>1</v>
      </c>
    </row>
    <row r="14" spans="1:262" x14ac:dyDescent="0.25">
      <c r="A14" s="33">
        <v>2</v>
      </c>
      <c r="B14" s="51"/>
      <c r="C14" s="51"/>
      <c r="D14" s="77"/>
      <c r="E14" s="52"/>
      <c r="F14" s="42"/>
      <c r="G14" s="37"/>
      <c r="H14" s="73"/>
      <c r="I14" s="73"/>
      <c r="J14" s="38" t="str">
        <f t="shared" ref="J14:J62" si="34">IF(F14&lt;&gt;"",ROUND(F14,0),"")</f>
        <v/>
      </c>
      <c r="K14" s="38" t="str">
        <f t="shared" ref="K14:K62" si="35">IF(G14&lt;&gt;"",ROUND(G14,0),"")</f>
        <v/>
      </c>
      <c r="L14" s="38" t="str">
        <f>IF(J14&lt;&gt;"",IF(AND(J14&gt;='TABEL KONVERSI'!$B$3,'ENTRY DATA'!J14&lt;='TABEL KONVERSI'!$C$3),1,IF(AND(J14&gt;='TABEL KONVERSI'!$B$4,'ENTRY DATA'!J14&lt;='TABEL KONVERSI'!$C$4),2,IF(AND(J14&gt;='TABEL KONVERSI'!$B$5,'ENTRY DATA'!J14&lt;='TABEL KONVERSI'!$C$5),3,IF(AND(J14&gt;='TABEL KONVERSI'!$B$6,'ENTRY DATA'!J14&lt;='TABEL KONVERSI'!$C$6),4,"")))),"-")</f>
        <v>-</v>
      </c>
      <c r="M14" s="38" t="str">
        <f>IF(K14&lt;&gt;"",IF(AND(K14&gt;='TABEL KONVERSI'!$B$3,'ENTRY DATA'!K14&lt;='TABEL KONVERSI'!$C$3),1,IF(AND(K14&gt;='TABEL KONVERSI'!$B$4,'ENTRY DATA'!K14&lt;='TABEL KONVERSI'!$C$4),2,IF(AND(K14&gt;='TABEL KONVERSI'!$B$5,'ENTRY DATA'!K14&lt;='TABEL KONVERSI'!$C$5),3,IF(AND(K14&gt;='TABEL KONVERSI'!$B$6,'ENTRY DATA'!K14&lt;='TABEL KONVERSI'!$C$6),4,"")))),"-")</f>
        <v>-</v>
      </c>
      <c r="N14" s="38" t="str">
        <f t="shared" ref="N14:N62" si="36">IF(J14&lt;&gt;"",J14,"-")</f>
        <v>-</v>
      </c>
      <c r="O14" s="38" t="str">
        <f>VLOOKUP(L14,'TABEL KONVERSI'!$A$3:$D$7,4)</f>
        <v>-</v>
      </c>
      <c r="P14" s="38" t="str">
        <f t="shared" ref="P14:P62" si="37">IF(K14&lt;&gt;"",K14,"-")</f>
        <v>-</v>
      </c>
      <c r="Q14" s="38" t="str">
        <f>VLOOKUP(M14,'TABEL KONVERSI'!$A$3:$D$7,4)</f>
        <v>-</v>
      </c>
      <c r="R14" s="42"/>
      <c r="S14" s="37"/>
      <c r="T14" s="73"/>
      <c r="U14" s="73"/>
      <c r="V14" s="38" t="str">
        <f t="shared" ref="V14:V62" si="38">IF(R14&lt;&gt;"",ROUND(R14,0),"")</f>
        <v/>
      </c>
      <c r="W14" s="38" t="str">
        <f t="shared" ref="W14:W62" si="39">IF(S14&lt;&gt;"",ROUND(S14,0),"")</f>
        <v/>
      </c>
      <c r="X14" s="38" t="str">
        <f>IF(V14&lt;&gt;"",IF(AND(V14&gt;='TABEL KONVERSI'!$B$3,'ENTRY DATA'!V14&lt;='TABEL KONVERSI'!$C$3),1,IF(AND(V14&gt;='TABEL KONVERSI'!$B$4,'ENTRY DATA'!V14&lt;='TABEL KONVERSI'!$C$4),2,IF(AND(V14&gt;='TABEL KONVERSI'!$B$5,'ENTRY DATA'!V14&lt;='TABEL KONVERSI'!$C$5),3,IF(AND(V14&gt;='TABEL KONVERSI'!$B$6,'ENTRY DATA'!V14&lt;='TABEL KONVERSI'!$C$6),4,"")))),"-")</f>
        <v>-</v>
      </c>
      <c r="Y14" s="38" t="str">
        <f>IF(W14&lt;&gt;"",IF(AND(W14&gt;='TABEL KONVERSI'!$B$3,'ENTRY DATA'!W14&lt;='TABEL KONVERSI'!$C$3),1,IF(AND(W14&gt;='TABEL KONVERSI'!$B$4,'ENTRY DATA'!W14&lt;='TABEL KONVERSI'!$C$4),2,IF(AND(W14&gt;='TABEL KONVERSI'!$B$5,'ENTRY DATA'!W14&lt;='TABEL KONVERSI'!$C$5),3,IF(AND(W14&gt;='TABEL KONVERSI'!$B$6,'ENTRY DATA'!W14&lt;='TABEL KONVERSI'!$C$6),4,"")))),"-")</f>
        <v>-</v>
      </c>
      <c r="Z14" s="38" t="str">
        <f t="shared" ref="Z14:Z62" si="40">IF(V14&lt;&gt;"",V14,"-")</f>
        <v>-</v>
      </c>
      <c r="AA14" s="38" t="str">
        <f>VLOOKUP(X14,'TABEL KONVERSI'!$A$3:$D$7,4)</f>
        <v>-</v>
      </c>
      <c r="AB14" s="38" t="str">
        <f t="shared" ref="AB14:AB62" si="41">IF(W14&lt;&gt;"",W14,"-")</f>
        <v>-</v>
      </c>
      <c r="AC14" s="38" t="str">
        <f>VLOOKUP(Y14,'TABEL KONVERSI'!$A$3:$D$7,4)</f>
        <v>-</v>
      </c>
      <c r="AD14" s="42"/>
      <c r="AE14" s="37"/>
      <c r="AF14" s="73"/>
      <c r="AG14" s="73"/>
      <c r="AH14" s="38" t="str">
        <f t="shared" ref="AH14:AH62" si="42">IF(AD14&lt;&gt;"",ROUND(AD14,0),"")</f>
        <v/>
      </c>
      <c r="AI14" s="38" t="str">
        <f t="shared" ref="AI14:AI62" si="43">IF(AE14&lt;&gt;"",ROUND(AE14,0),"")</f>
        <v/>
      </c>
      <c r="AJ14" s="38" t="str">
        <f>IF(AH14&lt;&gt;"",IF(AND(AH14&gt;='TABEL KONVERSI'!$B$3,'ENTRY DATA'!AH14&lt;='TABEL KONVERSI'!$C$3),1,IF(AND(AH14&gt;='TABEL KONVERSI'!$B$4,'ENTRY DATA'!AH14&lt;='TABEL KONVERSI'!$C$4),2,IF(AND(AH14&gt;='TABEL KONVERSI'!$B$5,'ENTRY DATA'!AH14&lt;='TABEL KONVERSI'!$C$5),3,IF(AND(AH14&gt;='TABEL KONVERSI'!$B$6,'ENTRY DATA'!AH14&lt;='TABEL KONVERSI'!$C$6),4,"")))),"-")</f>
        <v>-</v>
      </c>
      <c r="AK14" s="38" t="str">
        <f>IF(AI14&lt;&gt;"",IF(AND(AI14&gt;='TABEL KONVERSI'!$B$3,'ENTRY DATA'!AI14&lt;='TABEL KONVERSI'!$C$3),1,IF(AND(AI14&gt;='TABEL KONVERSI'!$B$4,'ENTRY DATA'!AI14&lt;='TABEL KONVERSI'!$C$4),2,IF(AND(AI14&gt;='TABEL KONVERSI'!$B$5,'ENTRY DATA'!AI14&lt;='TABEL KONVERSI'!$C$5),3,IF(AND(AI14&gt;='TABEL KONVERSI'!$B$6,'ENTRY DATA'!AI14&lt;='TABEL KONVERSI'!$C$6),4,"")))),"-")</f>
        <v>-</v>
      </c>
      <c r="AL14" s="38" t="str">
        <f t="shared" ref="AL14:AL62" si="44">IF(AH14&lt;&gt;"",AH14,"-")</f>
        <v>-</v>
      </c>
      <c r="AM14" s="38" t="str">
        <f>VLOOKUP(AJ14,'TABEL KONVERSI'!$A$3:$D$7,4)</f>
        <v>-</v>
      </c>
      <c r="AN14" s="38" t="str">
        <f t="shared" ref="AN14:AN62" si="45">IF(AI14&lt;&gt;"",AI14,"-")</f>
        <v>-</v>
      </c>
      <c r="AO14" s="38" t="str">
        <f>VLOOKUP(AK14,'TABEL KONVERSI'!$A$3:$D$7,4)</f>
        <v>-</v>
      </c>
      <c r="AP14" s="42"/>
      <c r="AQ14" s="37"/>
      <c r="AR14" s="73"/>
      <c r="AS14" s="73"/>
      <c r="AT14" s="38" t="str">
        <f t="shared" ref="AT14:AT62" si="46">IF(AP14&lt;&gt;"",ROUND(AP14,0),"")</f>
        <v/>
      </c>
      <c r="AU14" s="38" t="str">
        <f t="shared" ref="AU14:AU62" si="47">IF(AQ14&lt;&gt;"",ROUND(AQ14,0),"")</f>
        <v/>
      </c>
      <c r="AV14" s="38" t="str">
        <f>IF(AT14&lt;&gt;"",IF(AND(AT14&gt;='TABEL KONVERSI'!$B$3,'ENTRY DATA'!AT14&lt;='TABEL KONVERSI'!$C$3),1,IF(AND(AT14&gt;='TABEL KONVERSI'!$B$4,'ENTRY DATA'!AT14&lt;='TABEL KONVERSI'!$C$4),2,IF(AND(AT14&gt;='TABEL KONVERSI'!$B$5,'ENTRY DATA'!AT14&lt;='TABEL KONVERSI'!$C$5),3,IF(AND(AT14&gt;='TABEL KONVERSI'!$B$6,'ENTRY DATA'!AT14&lt;='TABEL KONVERSI'!$C$6),4,"")))),"-")</f>
        <v>-</v>
      </c>
      <c r="AW14" s="38" t="str">
        <f>IF(AU14&lt;&gt;"",IF(AND(AU14&gt;='TABEL KONVERSI'!$B$3,'ENTRY DATA'!AU14&lt;='TABEL KONVERSI'!$C$3),1,IF(AND(AU14&gt;='TABEL KONVERSI'!$B$4,'ENTRY DATA'!AU14&lt;='TABEL KONVERSI'!$C$4),2,IF(AND(AU14&gt;='TABEL KONVERSI'!$B$5,'ENTRY DATA'!AU14&lt;='TABEL KONVERSI'!$C$5),3,IF(AND(AU14&gt;='TABEL KONVERSI'!$B$6,'ENTRY DATA'!AU14&lt;='TABEL KONVERSI'!$C$6),4,"")))),"-")</f>
        <v>-</v>
      </c>
      <c r="AX14" s="38" t="str">
        <f t="shared" ref="AX14:AX62" si="48">IF(AT14&lt;&gt;"",AT14,"-")</f>
        <v>-</v>
      </c>
      <c r="AY14" s="38" t="str">
        <f>VLOOKUP(AV14,'TABEL KONVERSI'!$A$3:$D$7,4)</f>
        <v>-</v>
      </c>
      <c r="AZ14" s="38" t="str">
        <f t="shared" ref="AZ14:AZ62" si="49">IF(AU14&lt;&gt;"",AU14,"-")</f>
        <v>-</v>
      </c>
      <c r="BA14" s="38" t="str">
        <f>VLOOKUP(AW14,'TABEL KONVERSI'!$A$3:$D$7,4)</f>
        <v>-</v>
      </c>
      <c r="BB14" s="42"/>
      <c r="BC14" s="37"/>
      <c r="BD14" s="73"/>
      <c r="BE14" s="73"/>
      <c r="BF14" s="38" t="str">
        <f t="shared" ref="BF14:BF62" si="50">IF(BB14&lt;&gt;"",ROUND(BB14,0),"")</f>
        <v/>
      </c>
      <c r="BG14" s="38" t="str">
        <f t="shared" ref="BG14:BG62" si="51">IF(BC14&lt;&gt;"",ROUND(BC14,0),"")</f>
        <v/>
      </c>
      <c r="BH14" s="38" t="str">
        <f>IF(BF14&lt;&gt;"",IF(AND(BF14&gt;='TABEL KONVERSI'!$B$3,'ENTRY DATA'!BF14&lt;='TABEL KONVERSI'!$C$3),1,IF(AND(BF14&gt;='TABEL KONVERSI'!$B$4,'ENTRY DATA'!BF14&lt;='TABEL KONVERSI'!$C$4),2,IF(AND(BF14&gt;='TABEL KONVERSI'!$B$5,'ENTRY DATA'!BF14&lt;='TABEL KONVERSI'!$C$5),3,IF(AND(BF14&gt;='TABEL KONVERSI'!$B$6,'ENTRY DATA'!BF14&lt;='TABEL KONVERSI'!$C$6),4,"")))),"-")</f>
        <v>-</v>
      </c>
      <c r="BI14" s="38" t="str">
        <f>IF(BG14&lt;&gt;"",IF(AND(BG14&gt;='TABEL KONVERSI'!$B$3,'ENTRY DATA'!BG14&lt;='TABEL KONVERSI'!$C$3),1,IF(AND(BG14&gt;='TABEL KONVERSI'!$B$4,'ENTRY DATA'!BG14&lt;='TABEL KONVERSI'!$C$4),2,IF(AND(BG14&gt;='TABEL KONVERSI'!$B$5,'ENTRY DATA'!BG14&lt;='TABEL KONVERSI'!$C$5),3,IF(AND(BG14&gt;='TABEL KONVERSI'!$B$6,'ENTRY DATA'!BG14&lt;='TABEL KONVERSI'!$C$6),4,"")))),"-")</f>
        <v>-</v>
      </c>
      <c r="BJ14" s="38" t="str">
        <f t="shared" ref="BJ14:BJ62" si="52">IF(BF14&lt;&gt;"",BF14,"-")</f>
        <v>-</v>
      </c>
      <c r="BK14" s="38" t="str">
        <f>VLOOKUP(BH14,'TABEL KONVERSI'!$A$3:$D$7,4)</f>
        <v>-</v>
      </c>
      <c r="BL14" s="38" t="str">
        <f t="shared" ref="BL14:BL62" si="53">IF(BG14&lt;&gt;"",BG14,"-")</f>
        <v>-</v>
      </c>
      <c r="BM14" s="38" t="str">
        <f>VLOOKUP(BI14,'TABEL KONVERSI'!$A$3:$D$7,4)</f>
        <v>-</v>
      </c>
      <c r="BN14" s="42"/>
      <c r="BO14" s="37"/>
      <c r="BP14" s="73"/>
      <c r="BQ14" s="73"/>
      <c r="BR14" s="38" t="str">
        <f t="shared" ref="BR14:BR62" si="54">IF(BN14&lt;&gt;"",ROUND(BN14,0),"")</f>
        <v/>
      </c>
      <c r="BS14" s="38" t="str">
        <f t="shared" ref="BS14:BS62" si="55">IF(BO14&lt;&gt;"",ROUND(BO14,0),"")</f>
        <v/>
      </c>
      <c r="BT14" s="38" t="str">
        <f>IF(BR14&lt;&gt;"",IF(AND(BR14&gt;='TABEL KONVERSI'!$B$3,'ENTRY DATA'!BR14&lt;='TABEL KONVERSI'!$C$3),1,IF(AND(BR14&gt;='TABEL KONVERSI'!$B$4,'ENTRY DATA'!BR14&lt;='TABEL KONVERSI'!$C$4),2,IF(AND(BR14&gt;='TABEL KONVERSI'!$B$5,'ENTRY DATA'!BR14&lt;='TABEL KONVERSI'!$C$5),3,IF(AND(BR14&gt;='TABEL KONVERSI'!$B$6,'ENTRY DATA'!BR14&lt;='TABEL KONVERSI'!$C$6),4,"")))),"-")</f>
        <v>-</v>
      </c>
      <c r="BU14" s="38" t="str">
        <f>IF(BS14&lt;&gt;"",IF(AND(BS14&gt;='TABEL KONVERSI'!$B$3,'ENTRY DATA'!BS14&lt;='TABEL KONVERSI'!$C$3),1,IF(AND(BS14&gt;='TABEL KONVERSI'!$B$4,'ENTRY DATA'!BS14&lt;='TABEL KONVERSI'!$C$4),2,IF(AND(BS14&gt;='TABEL KONVERSI'!$B$5,'ENTRY DATA'!BS14&lt;='TABEL KONVERSI'!$C$5),3,IF(AND(BS14&gt;='TABEL KONVERSI'!$B$6,'ENTRY DATA'!BS14&lt;='TABEL KONVERSI'!$C$6),4,"")))),"-")</f>
        <v>-</v>
      </c>
      <c r="BV14" s="38" t="str">
        <f t="shared" ref="BV14:BV62" si="56">IF(BR14&lt;&gt;"",BR14,"-")</f>
        <v>-</v>
      </c>
      <c r="BW14" s="38" t="str">
        <f>VLOOKUP(BT14,'TABEL KONVERSI'!$A$3:$D$7,4)</f>
        <v>-</v>
      </c>
      <c r="BX14" s="38" t="str">
        <f t="shared" ref="BX14:BX62" si="57">IF(BS14&lt;&gt;"",BS14,"-")</f>
        <v>-</v>
      </c>
      <c r="BY14" s="38" t="str">
        <f>VLOOKUP(BU14,'TABEL KONVERSI'!$A$3:$D$7,4)</f>
        <v>-</v>
      </c>
      <c r="BZ14" s="42"/>
      <c r="CA14" s="37"/>
      <c r="CB14" s="73"/>
      <c r="CC14" s="73"/>
      <c r="CD14" s="38" t="str">
        <f t="shared" ref="CD14:CD62" si="58">IF(BZ14&lt;&gt;"",ROUND(BZ14,0),"")</f>
        <v/>
      </c>
      <c r="CE14" s="38" t="str">
        <f t="shared" ref="CE14:CE62" si="59">IF(CA14&lt;&gt;"",ROUND(CA14,0),"")</f>
        <v/>
      </c>
      <c r="CF14" s="38" t="str">
        <f>IF(CD14&lt;&gt;"",IF(AND(CD14&gt;='TABEL KONVERSI'!$B$3,'ENTRY DATA'!CD14&lt;='TABEL KONVERSI'!$C$3),1,IF(AND(CD14&gt;='TABEL KONVERSI'!$B$4,'ENTRY DATA'!CD14&lt;='TABEL KONVERSI'!$C$4),2,IF(AND(CD14&gt;='TABEL KONVERSI'!$B$5,'ENTRY DATA'!CD14&lt;='TABEL KONVERSI'!$C$5),3,IF(AND(CD14&gt;='TABEL KONVERSI'!$B$6,'ENTRY DATA'!CD14&lt;='TABEL KONVERSI'!$C$6),4,"")))),"-")</f>
        <v>-</v>
      </c>
      <c r="CG14" s="38" t="str">
        <f>IF(CE14&lt;&gt;"",IF(AND(CE14&gt;='TABEL KONVERSI'!$B$3,'ENTRY DATA'!CE14&lt;='TABEL KONVERSI'!$C$3),1,IF(AND(CE14&gt;='TABEL KONVERSI'!$B$4,'ENTRY DATA'!CE14&lt;='TABEL KONVERSI'!$C$4),2,IF(AND(CE14&gt;='TABEL KONVERSI'!$B$5,'ENTRY DATA'!CE14&lt;='TABEL KONVERSI'!$C$5),3,IF(AND(CE14&gt;='TABEL KONVERSI'!$B$6,'ENTRY DATA'!CE14&lt;='TABEL KONVERSI'!$C$6),4,"")))),"-")</f>
        <v>-</v>
      </c>
      <c r="CH14" s="38" t="str">
        <f t="shared" ref="CH14:CH62" si="60">IF(CD14&lt;&gt;"",CD14,"-")</f>
        <v>-</v>
      </c>
      <c r="CI14" s="38" t="str">
        <f>VLOOKUP(CF14,'TABEL KONVERSI'!$A$3:$D$7,4)</f>
        <v>-</v>
      </c>
      <c r="CJ14" s="38" t="str">
        <f t="shared" ref="CJ14:CJ62" si="61">IF(CE14&lt;&gt;"",CE14,"-")</f>
        <v>-</v>
      </c>
      <c r="CK14" s="38" t="str">
        <f>VLOOKUP(CG14,'TABEL KONVERSI'!$A$3:$D$7,4)</f>
        <v>-</v>
      </c>
      <c r="CL14" s="42"/>
      <c r="CM14" s="37"/>
      <c r="CN14" s="73"/>
      <c r="CO14" s="73"/>
      <c r="CP14" s="38" t="str">
        <f t="shared" ref="CP14:CP62" si="62">IF(CL14&lt;&gt;"",ROUND(CL14,0),"")</f>
        <v/>
      </c>
      <c r="CQ14" s="38" t="str">
        <f t="shared" ref="CQ14:CQ62" si="63">IF(CM14&lt;&gt;"",ROUND(CM14,0),"")</f>
        <v/>
      </c>
      <c r="CR14" s="38" t="str">
        <f>IF(CP14&lt;&gt;"",IF(AND(CP14&gt;='TABEL KONVERSI'!$B$3,'ENTRY DATA'!CP14&lt;='TABEL KONVERSI'!$C$3),1,IF(AND(CP14&gt;='TABEL KONVERSI'!$B$4,'ENTRY DATA'!CP14&lt;='TABEL KONVERSI'!$C$4),2,IF(AND(CP14&gt;='TABEL KONVERSI'!$B$5,'ENTRY DATA'!CP14&lt;='TABEL KONVERSI'!$C$5),3,IF(AND(CP14&gt;='TABEL KONVERSI'!$B$6,'ENTRY DATA'!CP14&lt;='TABEL KONVERSI'!$C$6),4,"")))),"-")</f>
        <v>-</v>
      </c>
      <c r="CS14" s="38" t="str">
        <f>IF(CQ14&lt;&gt;"",IF(AND(CQ14&gt;='TABEL KONVERSI'!$B$3,'ENTRY DATA'!CQ14&lt;='TABEL KONVERSI'!$C$3),1,IF(AND(CQ14&gt;='TABEL KONVERSI'!$B$4,'ENTRY DATA'!CQ14&lt;='TABEL KONVERSI'!$C$4),2,IF(AND(CQ14&gt;='TABEL KONVERSI'!$B$5,'ENTRY DATA'!CQ14&lt;='TABEL KONVERSI'!$C$5),3,IF(AND(CQ14&gt;='TABEL KONVERSI'!$B$6,'ENTRY DATA'!CQ14&lt;='TABEL KONVERSI'!$C$6),4,"")))),"-")</f>
        <v>-</v>
      </c>
      <c r="CT14" s="38" t="str">
        <f t="shared" ref="CT14:CT62" si="64">IF(CP14&lt;&gt;"",CP14,"-")</f>
        <v>-</v>
      </c>
      <c r="CU14" s="38" t="str">
        <f>VLOOKUP(CR14,'TABEL KONVERSI'!$A$3:$D$7,4)</f>
        <v>-</v>
      </c>
      <c r="CV14" s="38" t="str">
        <f t="shared" ref="CV14:CV62" si="65">IF(CQ14&lt;&gt;"",CQ14,"-")</f>
        <v>-</v>
      </c>
      <c r="CW14" s="38" t="str">
        <f>VLOOKUP(CS14,'TABEL KONVERSI'!$A$3:$D$7,4)</f>
        <v>-</v>
      </c>
      <c r="CX14" s="42"/>
      <c r="CY14" s="37"/>
      <c r="CZ14" s="73"/>
      <c r="DA14" s="73"/>
      <c r="DB14" s="38" t="str">
        <f t="shared" ref="DB14:DB62" si="66">IF(CX14&lt;&gt;"",ROUND(CX14,0),"")</f>
        <v/>
      </c>
      <c r="DC14" s="38" t="str">
        <f t="shared" ref="DC14:DC62" si="67">IF(CY14&lt;&gt;"",ROUND(CY14,0),"")</f>
        <v/>
      </c>
      <c r="DD14" s="38" t="str">
        <f>IF(DB14&lt;&gt;"",IF(AND(DB14&gt;='TABEL KONVERSI'!$B$3,'ENTRY DATA'!DB14&lt;='TABEL KONVERSI'!$C$3),1,IF(AND(DB14&gt;='TABEL KONVERSI'!$B$4,'ENTRY DATA'!DB14&lt;='TABEL KONVERSI'!$C$4),2,IF(AND(DB14&gt;='TABEL KONVERSI'!$B$5,'ENTRY DATA'!DB14&lt;='TABEL KONVERSI'!$C$5),3,IF(AND(DB14&gt;='TABEL KONVERSI'!$B$6,'ENTRY DATA'!DB14&lt;='TABEL KONVERSI'!$C$6),4,"")))),"-")</f>
        <v>-</v>
      </c>
      <c r="DE14" s="38" t="str">
        <f>IF(DC14&lt;&gt;"",IF(AND(DC14&gt;='TABEL KONVERSI'!$B$3,'ENTRY DATA'!DC14&lt;='TABEL KONVERSI'!$C$3),1,IF(AND(DC14&gt;='TABEL KONVERSI'!$B$4,'ENTRY DATA'!DC14&lt;='TABEL KONVERSI'!$C$4),2,IF(AND(DC14&gt;='TABEL KONVERSI'!$B$5,'ENTRY DATA'!DC14&lt;='TABEL KONVERSI'!$C$5),3,IF(AND(DC14&gt;='TABEL KONVERSI'!$B$6,'ENTRY DATA'!DC14&lt;='TABEL KONVERSI'!$C$6),4,"")))),"-")</f>
        <v>-</v>
      </c>
      <c r="DF14" s="38" t="str">
        <f t="shared" ref="DF14:DF62" si="68">IF(DB14&lt;&gt;"",DB14,"-")</f>
        <v>-</v>
      </c>
      <c r="DG14" s="38" t="str">
        <f>VLOOKUP(DD14,'TABEL KONVERSI'!$A$3:$D$7,4)</f>
        <v>-</v>
      </c>
      <c r="DH14" s="38" t="str">
        <f t="shared" ref="DH14:DH62" si="69">IF(DC14&lt;&gt;"",DC14,"-")</f>
        <v>-</v>
      </c>
      <c r="DI14" s="38" t="str">
        <f>VLOOKUP(DE14,'TABEL KONVERSI'!$A$3:$D$7,4)</f>
        <v>-</v>
      </c>
      <c r="DJ14" s="42"/>
      <c r="DK14" s="37"/>
      <c r="DL14" s="73"/>
      <c r="DM14" s="73"/>
      <c r="DN14" s="38" t="str">
        <f t="shared" ref="DN14:DN62" si="70">IF(DJ14&lt;&gt;"",ROUND(DJ14,0),"")</f>
        <v/>
      </c>
      <c r="DO14" s="38" t="str">
        <f t="shared" ref="DO14:DO62" si="71">IF(DK14&lt;&gt;"",ROUND(DK14,0),"")</f>
        <v/>
      </c>
      <c r="DP14" s="38" t="str">
        <f>IF(DN14&lt;&gt;"",IF(AND(DN14&gt;='TABEL KONVERSI'!$B$3,'ENTRY DATA'!DN14&lt;='TABEL KONVERSI'!$C$3),1,IF(AND(DN14&gt;='TABEL KONVERSI'!$B$4,'ENTRY DATA'!DN14&lt;='TABEL KONVERSI'!$C$4),2,IF(AND(DN14&gt;='TABEL KONVERSI'!$B$5,'ENTRY DATA'!DN14&lt;='TABEL KONVERSI'!$C$5),3,IF(AND(DN14&gt;='TABEL KONVERSI'!$B$6,'ENTRY DATA'!DN14&lt;='TABEL KONVERSI'!$C$6),4,"")))),"-")</f>
        <v>-</v>
      </c>
      <c r="DQ14" s="38" t="str">
        <f>IF(DO14&lt;&gt;"",IF(AND(DO14&gt;='TABEL KONVERSI'!$B$3,'ENTRY DATA'!DO14&lt;='TABEL KONVERSI'!$C$3),1,IF(AND(DO14&gt;='TABEL KONVERSI'!$B$4,'ENTRY DATA'!DO14&lt;='TABEL KONVERSI'!$C$4),2,IF(AND(DO14&gt;='TABEL KONVERSI'!$B$5,'ENTRY DATA'!DO14&lt;='TABEL KONVERSI'!$C$5),3,IF(AND(DO14&gt;='TABEL KONVERSI'!$B$6,'ENTRY DATA'!DO14&lt;='TABEL KONVERSI'!$C$6),4,"")))),"-")</f>
        <v>-</v>
      </c>
      <c r="DR14" s="38" t="str">
        <f t="shared" ref="DR14:DR62" si="72">IF(DN14&lt;&gt;"",DN14,"-")</f>
        <v>-</v>
      </c>
      <c r="DS14" s="38" t="str">
        <f>VLOOKUP(DP14,'TABEL KONVERSI'!$A$3:$D$7,4)</f>
        <v>-</v>
      </c>
      <c r="DT14" s="38" t="str">
        <f t="shared" ref="DT14:DT62" si="73">IF(DO14&lt;&gt;"",DO14,"-")</f>
        <v>-</v>
      </c>
      <c r="DU14" s="38" t="str">
        <f>VLOOKUP(DQ14,'TABEL KONVERSI'!$A$3:$D$7,4)</f>
        <v>-</v>
      </c>
      <c r="DV14" s="42"/>
      <c r="DW14" s="37"/>
      <c r="DX14" s="73"/>
      <c r="DY14" s="73"/>
      <c r="DZ14" s="38" t="str">
        <f t="shared" ref="DZ14:DZ62" si="74">IF(DV14&lt;&gt;"",ROUND(DV14,0),"")</f>
        <v/>
      </c>
      <c r="EA14" s="38" t="str">
        <f t="shared" ref="EA14:EA62" si="75">IF(DW14&lt;&gt;"",ROUND(DW14,0),"")</f>
        <v/>
      </c>
      <c r="EB14" s="38" t="str">
        <f>IF(DZ14&lt;&gt;"",IF(AND(DZ14&gt;='TABEL KONVERSI'!$B$3,'ENTRY DATA'!DZ14&lt;='TABEL KONVERSI'!$C$3),1,IF(AND(DZ14&gt;='TABEL KONVERSI'!$B$4,'ENTRY DATA'!DZ14&lt;='TABEL KONVERSI'!$C$4),2,IF(AND(DZ14&gt;='TABEL KONVERSI'!$B$5,'ENTRY DATA'!DZ14&lt;='TABEL KONVERSI'!$C$5),3,IF(AND(DZ14&gt;='TABEL KONVERSI'!$B$6,'ENTRY DATA'!DZ14&lt;='TABEL KONVERSI'!$C$6),4,"")))),"-")</f>
        <v>-</v>
      </c>
      <c r="EC14" s="38" t="str">
        <f>IF(EA14&lt;&gt;"",IF(AND(EA14&gt;='TABEL KONVERSI'!$B$3,'ENTRY DATA'!EA14&lt;='TABEL KONVERSI'!$C$3),1,IF(AND(EA14&gt;='TABEL KONVERSI'!$B$4,'ENTRY DATA'!EA14&lt;='TABEL KONVERSI'!$C$4),2,IF(AND(EA14&gt;='TABEL KONVERSI'!$B$5,'ENTRY DATA'!EA14&lt;='TABEL KONVERSI'!$C$5),3,IF(AND(EA14&gt;='TABEL KONVERSI'!$B$6,'ENTRY DATA'!EA14&lt;='TABEL KONVERSI'!$C$6),4,"")))),"-")</f>
        <v>-</v>
      </c>
      <c r="ED14" s="38" t="str">
        <f t="shared" ref="ED14:ED62" si="76">IF(DZ14&lt;&gt;"",DZ14,"-")</f>
        <v>-</v>
      </c>
      <c r="EE14" s="38" t="str">
        <f>VLOOKUP(EB14,'TABEL KONVERSI'!$A$3:$D$7,4)</f>
        <v>-</v>
      </c>
      <c r="EF14" s="38" t="str">
        <f t="shared" ref="EF14:EF62" si="77">IF(EA14&lt;&gt;"",EA14,"-")</f>
        <v>-</v>
      </c>
      <c r="EG14" s="38" t="str">
        <f>VLOOKUP(EC14,'TABEL KONVERSI'!$A$3:$D$7,4)</f>
        <v>-</v>
      </c>
      <c r="EH14" s="42"/>
      <c r="EI14" s="37"/>
      <c r="EJ14" s="73"/>
      <c r="EK14" s="73"/>
      <c r="EL14" s="38" t="str">
        <f t="shared" ref="EL14:EL62" si="78">IF(EH14&lt;&gt;"",ROUND(EH14,0),"")</f>
        <v/>
      </c>
      <c r="EM14" s="38" t="str">
        <f t="shared" ref="EM14:EM62" si="79">IF(EI14&lt;&gt;"",ROUND(EI14,0),"")</f>
        <v/>
      </c>
      <c r="EN14" s="38" t="str">
        <f>IF(EL14&lt;&gt;"",IF(AND(EL14&gt;='TABEL KONVERSI'!$B$3,'ENTRY DATA'!EL14&lt;='TABEL KONVERSI'!$C$3),1,IF(AND(EL14&gt;='TABEL KONVERSI'!$B$4,'ENTRY DATA'!EL14&lt;='TABEL KONVERSI'!$C$4),2,IF(AND(EL14&gt;='TABEL KONVERSI'!$B$5,'ENTRY DATA'!EL14&lt;='TABEL KONVERSI'!$C$5),3,IF(AND(EL14&gt;='TABEL KONVERSI'!$B$6,'ENTRY DATA'!EL14&lt;='TABEL KONVERSI'!$C$6),4,"")))),"-")</f>
        <v>-</v>
      </c>
      <c r="EO14" s="38" t="str">
        <f>IF(EM14&lt;&gt;"",IF(AND(EM14&gt;='TABEL KONVERSI'!$B$3,'ENTRY DATA'!EM14&lt;='TABEL KONVERSI'!$C$3),1,IF(AND(EM14&gt;='TABEL KONVERSI'!$B$4,'ENTRY DATA'!EM14&lt;='TABEL KONVERSI'!$C$4),2,IF(AND(EM14&gt;='TABEL KONVERSI'!$B$5,'ENTRY DATA'!EM14&lt;='TABEL KONVERSI'!$C$5),3,IF(AND(EM14&gt;='TABEL KONVERSI'!$B$6,'ENTRY DATA'!EM14&lt;='TABEL KONVERSI'!$C$6),4,"")))),"-")</f>
        <v>-</v>
      </c>
      <c r="EP14" s="38" t="str">
        <f t="shared" ref="EP14:EP62" si="80">IF(EL14&lt;&gt;"",EL14,"-")</f>
        <v>-</v>
      </c>
      <c r="EQ14" s="38" t="str">
        <f>VLOOKUP(EN14,'TABEL KONVERSI'!$A$3:$D$7,4)</f>
        <v>-</v>
      </c>
      <c r="ER14" s="38" t="str">
        <f t="shared" ref="ER14:ER62" si="81">IF(EM14&lt;&gt;"",EM14,"-")</f>
        <v>-</v>
      </c>
      <c r="ES14" s="38" t="str">
        <f>VLOOKUP(EO14,'TABEL KONVERSI'!$A$3:$D$7,4)</f>
        <v>-</v>
      </c>
      <c r="ET14" s="42"/>
      <c r="EU14" s="37"/>
      <c r="EV14" s="73"/>
      <c r="EW14" s="73"/>
      <c r="EX14" s="38" t="str">
        <f t="shared" ref="EX14:EX62" si="82">IF(ET14&lt;&gt;"",ROUND(ET14,0),"")</f>
        <v/>
      </c>
      <c r="EY14" s="38" t="str">
        <f t="shared" ref="EY14:EY62" si="83">IF(EU14&lt;&gt;"",ROUND(EU14,0),"")</f>
        <v/>
      </c>
      <c r="EZ14" s="38" t="str">
        <f>IF(EX14&lt;&gt;"",IF(AND(EX14&gt;='TABEL KONVERSI'!$B$3,'ENTRY DATA'!EX14&lt;='TABEL KONVERSI'!$C$3),1,IF(AND(EX14&gt;='TABEL KONVERSI'!$B$4,'ENTRY DATA'!EX14&lt;='TABEL KONVERSI'!$C$4),2,IF(AND(EX14&gt;='TABEL KONVERSI'!$B$5,'ENTRY DATA'!EX14&lt;='TABEL KONVERSI'!$C$5),3,IF(AND(EX14&gt;='TABEL KONVERSI'!$B$6,'ENTRY DATA'!EX14&lt;='TABEL KONVERSI'!$C$6),4,"")))),"-")</f>
        <v>-</v>
      </c>
      <c r="FA14" s="38" t="str">
        <f>IF(EY14&lt;&gt;"",IF(AND(EY14&gt;='TABEL KONVERSI'!$B$3,'ENTRY DATA'!EY14&lt;='TABEL KONVERSI'!$C$3),1,IF(AND(EY14&gt;='TABEL KONVERSI'!$B$4,'ENTRY DATA'!EY14&lt;='TABEL KONVERSI'!$C$4),2,IF(AND(EY14&gt;='TABEL KONVERSI'!$B$5,'ENTRY DATA'!EY14&lt;='TABEL KONVERSI'!$C$5),3,IF(AND(EY14&gt;='TABEL KONVERSI'!$B$6,'ENTRY DATA'!EY14&lt;='TABEL KONVERSI'!$C$6),4,"")))),"-")</f>
        <v>-</v>
      </c>
      <c r="FB14" s="38" t="str">
        <f t="shared" ref="FB14:FB62" si="84">IF(EX14&lt;&gt;"",EX14,"-")</f>
        <v>-</v>
      </c>
      <c r="FC14" s="38" t="str">
        <f>VLOOKUP(EZ14,'TABEL KONVERSI'!$A$3:$D$7,4)</f>
        <v>-</v>
      </c>
      <c r="FD14" s="38" t="str">
        <f t="shared" ref="FD14:FD62" si="85">IF(EY14&lt;&gt;"",EY14,"-")</f>
        <v>-</v>
      </c>
      <c r="FE14" s="38" t="str">
        <f>VLOOKUP(FA14,'TABEL KONVERSI'!$A$3:$D$7,4)</f>
        <v>-</v>
      </c>
      <c r="FF14" s="42"/>
      <c r="FG14" s="37"/>
      <c r="FH14" s="73"/>
      <c r="FI14" s="73"/>
      <c r="FJ14" s="38" t="str">
        <f t="shared" ref="FJ14:FJ62" si="86">IF(FF14&lt;&gt;"",ROUND(FF14,0),"")</f>
        <v/>
      </c>
      <c r="FK14" s="38" t="str">
        <f t="shared" ref="FK14:FK62" si="87">IF(FG14&lt;&gt;"",ROUND(FG14,0),"")</f>
        <v/>
      </c>
      <c r="FL14" s="38" t="str">
        <f>IF(FJ14&lt;&gt;"",IF(AND(FJ14&gt;='TABEL KONVERSI'!$B$3,'ENTRY DATA'!FJ14&lt;='TABEL KONVERSI'!$C$3),1,IF(AND(FJ14&gt;='TABEL KONVERSI'!$B$4,'ENTRY DATA'!FJ14&lt;='TABEL KONVERSI'!$C$4),2,IF(AND(FJ14&gt;='TABEL KONVERSI'!$B$5,'ENTRY DATA'!FJ14&lt;='TABEL KONVERSI'!$C$5),3,IF(AND(FJ14&gt;='TABEL KONVERSI'!$B$6,'ENTRY DATA'!FJ14&lt;='TABEL KONVERSI'!$C$6),4,"")))),"-")</f>
        <v>-</v>
      </c>
      <c r="FM14" s="38" t="str">
        <f>IF(FK14&lt;&gt;"",IF(AND(FK14&gt;='TABEL KONVERSI'!$B$3,'ENTRY DATA'!FK14&lt;='TABEL KONVERSI'!$C$3),1,IF(AND(FK14&gt;='TABEL KONVERSI'!$B$4,'ENTRY DATA'!FK14&lt;='TABEL KONVERSI'!$C$4),2,IF(AND(FK14&gt;='TABEL KONVERSI'!$B$5,'ENTRY DATA'!FK14&lt;='TABEL KONVERSI'!$C$5),3,IF(AND(FK14&gt;='TABEL KONVERSI'!$B$6,'ENTRY DATA'!FK14&lt;='TABEL KONVERSI'!$C$6),4,"")))),"-")</f>
        <v>-</v>
      </c>
      <c r="FN14" s="38" t="str">
        <f t="shared" ref="FN14:FN62" si="88">IF(FJ14&lt;&gt;"",FJ14,"-")</f>
        <v>-</v>
      </c>
      <c r="FO14" s="38" t="str">
        <f>VLOOKUP(FL14,'TABEL KONVERSI'!$A$3:$D$7,4)</f>
        <v>-</v>
      </c>
      <c r="FP14" s="38" t="str">
        <f t="shared" ref="FP14:FP62" si="89">IF(FK14&lt;&gt;"",FK14,"-")</f>
        <v>-</v>
      </c>
      <c r="FQ14" s="38" t="str">
        <f>VLOOKUP(FM14,'TABEL KONVERSI'!$A$3:$D$7,4)</f>
        <v>-</v>
      </c>
      <c r="FR14" s="42"/>
      <c r="FS14" s="37"/>
      <c r="FT14" s="73"/>
      <c r="FU14" s="73"/>
      <c r="FV14" s="38" t="str">
        <f t="shared" ref="FV14:FV62" si="90">IF(FR14&lt;&gt;"",ROUND(FR14,0),"")</f>
        <v/>
      </c>
      <c r="FW14" s="38" t="str">
        <f t="shared" ref="FW14:FW62" si="91">IF(FS14&lt;&gt;"",ROUND(FS14,0),"")</f>
        <v/>
      </c>
      <c r="FX14" s="38" t="str">
        <f>IF(FV14&lt;&gt;"",IF(AND(FV14&gt;='TABEL KONVERSI'!$B$3,'ENTRY DATA'!FV14&lt;='TABEL KONVERSI'!$C$3),1,IF(AND(FV14&gt;='TABEL KONVERSI'!$B$4,'ENTRY DATA'!FV14&lt;='TABEL KONVERSI'!$C$4),2,IF(AND(FV14&gt;='TABEL KONVERSI'!$B$5,'ENTRY DATA'!FV14&lt;='TABEL KONVERSI'!$C$5),3,IF(AND(FV14&gt;='TABEL KONVERSI'!$B$6,'ENTRY DATA'!FV14&lt;='TABEL KONVERSI'!$C$6),4,"")))),"-")</f>
        <v>-</v>
      </c>
      <c r="FY14" s="38" t="str">
        <f>IF(FW14&lt;&gt;"",IF(AND(FW14&gt;='TABEL KONVERSI'!$B$3,'ENTRY DATA'!FW14&lt;='TABEL KONVERSI'!$C$3),1,IF(AND(FW14&gt;='TABEL KONVERSI'!$B$4,'ENTRY DATA'!FW14&lt;='TABEL KONVERSI'!$C$4),2,IF(AND(FW14&gt;='TABEL KONVERSI'!$B$5,'ENTRY DATA'!FW14&lt;='TABEL KONVERSI'!$C$5),3,IF(AND(FW14&gt;='TABEL KONVERSI'!$B$6,'ENTRY DATA'!FW14&lt;='TABEL KONVERSI'!$C$6),4,"")))),"-")</f>
        <v>-</v>
      </c>
      <c r="FZ14" s="38" t="str">
        <f t="shared" ref="FZ14:FZ62" si="92">IF(FV14&lt;&gt;"",FV14,"-")</f>
        <v>-</v>
      </c>
      <c r="GA14" s="38" t="str">
        <f>VLOOKUP(FX14,'TABEL KONVERSI'!$A$3:$D$7,4)</f>
        <v>-</v>
      </c>
      <c r="GB14" s="38" t="str">
        <f t="shared" ref="GB14:GB62" si="93">IF(FW14&lt;&gt;"",FW14,"-")</f>
        <v>-</v>
      </c>
      <c r="GC14" s="38" t="str">
        <f>VLOOKUP(FY14,'TABEL KONVERSI'!$A$3:$D$7,4)</f>
        <v>-</v>
      </c>
      <c r="GD14" s="42"/>
      <c r="GE14" s="37"/>
      <c r="GF14" s="73"/>
      <c r="GG14" s="73"/>
      <c r="GH14" s="38" t="str">
        <f t="shared" ref="GH14:GH62" si="94">IF(GD14&lt;&gt;"",ROUND(GD14,0),"")</f>
        <v/>
      </c>
      <c r="GI14" s="38" t="str">
        <f t="shared" ref="GI14:GI62" si="95">IF(GE14&lt;&gt;"",ROUND(GE14,0),"")</f>
        <v/>
      </c>
      <c r="GJ14" s="38" t="str">
        <f>IF(GH14&lt;&gt;"",IF(AND(GH14&gt;='TABEL KONVERSI'!$B$3,'ENTRY DATA'!GH14&lt;='TABEL KONVERSI'!$C$3),1,IF(AND(GH14&gt;='TABEL KONVERSI'!$B$4,'ENTRY DATA'!GH14&lt;='TABEL KONVERSI'!$C$4),2,IF(AND(GH14&gt;='TABEL KONVERSI'!$B$5,'ENTRY DATA'!GH14&lt;='TABEL KONVERSI'!$C$5),3,IF(AND(GH14&gt;='TABEL KONVERSI'!$B$6,'ENTRY DATA'!GH14&lt;='TABEL KONVERSI'!$C$6),4,"")))),"-")</f>
        <v>-</v>
      </c>
      <c r="GK14" s="38" t="str">
        <f>IF(GI14&lt;&gt;"",IF(AND(GI14&gt;='TABEL KONVERSI'!$B$3,'ENTRY DATA'!GI14&lt;='TABEL KONVERSI'!$C$3),1,IF(AND(GI14&gt;='TABEL KONVERSI'!$B$4,'ENTRY DATA'!GI14&lt;='TABEL KONVERSI'!$C$4),2,IF(AND(GI14&gt;='TABEL KONVERSI'!$B$5,'ENTRY DATA'!GI14&lt;='TABEL KONVERSI'!$C$5),3,IF(AND(GI14&gt;='TABEL KONVERSI'!$B$6,'ENTRY DATA'!GI14&lt;='TABEL KONVERSI'!$C$6),4,"")))),"-")</f>
        <v>-</v>
      </c>
      <c r="GL14" s="38" t="str">
        <f t="shared" ref="GL14:GL62" si="96">IF(GH14&lt;&gt;"",GH14,"-")</f>
        <v>-</v>
      </c>
      <c r="GM14" s="38" t="str">
        <f>VLOOKUP(GJ14,'TABEL KONVERSI'!$A$3:$D$7,4)</f>
        <v>-</v>
      </c>
      <c r="GN14" s="38" t="str">
        <f t="shared" ref="GN14:GN62" si="97">IF(GI14&lt;&gt;"",GI14,"-")</f>
        <v>-</v>
      </c>
      <c r="GO14" s="38" t="str">
        <f>VLOOKUP(GK14,'TABEL KONVERSI'!$A$3:$D$7,4)</f>
        <v>-</v>
      </c>
      <c r="GP14" s="43">
        <f t="shared" si="0"/>
        <v>0</v>
      </c>
      <c r="GQ14" s="43">
        <f t="shared" si="1"/>
        <v>0</v>
      </c>
      <c r="GR14" s="43">
        <f t="shared" si="2"/>
        <v>0</v>
      </c>
      <c r="GS14" s="43">
        <f t="shared" si="3"/>
        <v>0</v>
      </c>
      <c r="GT14" s="43">
        <f t="shared" si="4"/>
        <v>0</v>
      </c>
      <c r="GU14" s="43">
        <f t="shared" si="5"/>
        <v>0</v>
      </c>
      <c r="GV14" s="43">
        <f t="shared" si="6"/>
        <v>0</v>
      </c>
      <c r="GW14" s="43">
        <f t="shared" si="7"/>
        <v>0</v>
      </c>
      <c r="GX14" s="43">
        <f t="shared" si="8"/>
        <v>0</v>
      </c>
      <c r="GY14" s="43">
        <f t="shared" si="9"/>
        <v>0</v>
      </c>
      <c r="GZ14" s="43">
        <f t="shared" si="10"/>
        <v>0</v>
      </c>
      <c r="HA14" s="43">
        <f t="shared" si="11"/>
        <v>0</v>
      </c>
      <c r="HB14" s="43">
        <f t="shared" si="12"/>
        <v>0</v>
      </c>
      <c r="HC14" s="43">
        <f t="shared" si="13"/>
        <v>0</v>
      </c>
      <c r="HD14" s="43">
        <f t="shared" si="14"/>
        <v>0</v>
      </c>
      <c r="HE14" s="43">
        <f t="shared" si="15"/>
        <v>0</v>
      </c>
      <c r="HF14" s="38">
        <f t="shared" ref="HF14:HF62" si="98">COUNTIF($GP14:$HE14,"=A")</f>
        <v>0</v>
      </c>
      <c r="HG14" s="38">
        <f t="shared" ref="HG14:HG62" si="99">COUNTIF($GP14:$HE14,"=B")</f>
        <v>0</v>
      </c>
      <c r="HH14" s="38">
        <f t="shared" ref="HH14:HH62" si="100">COUNTIF($GP14:$HE14,"=C")</f>
        <v>0</v>
      </c>
      <c r="HI14" s="39">
        <f t="shared" ref="HI14:HI62" si="101">COUNTIF($GP14:$HE14,"=D")</f>
        <v>0</v>
      </c>
      <c r="HJ14" s="44" t="str">
        <f t="shared" ref="HJ14:HJ62" si="102">IF(AND(HF14=0,HG14=0,HH14=0,HI14=0),"-",IF(MAX(HF14:HI14)=HF14,"A",IF(MAX(HF14:HI14)=HG14,"B",IF(MAX(HF14:HI14)=HH14,"C",IF(MAX(HF14:HI14)=HI14,"D","-")))))</f>
        <v>-</v>
      </c>
      <c r="HK14" s="45" t="str">
        <f>VLOOKUP(HJ14,'TABEL KONVERSI'!$B$11:$D$15,2,0)</f>
        <v>-</v>
      </c>
      <c r="HL14" s="43">
        <f t="shared" si="16"/>
        <v>0</v>
      </c>
      <c r="HM14" s="43">
        <f t="shared" si="17"/>
        <v>0</v>
      </c>
      <c r="HN14" s="43">
        <f t="shared" si="18"/>
        <v>0</v>
      </c>
      <c r="HO14" s="43">
        <f t="shared" si="19"/>
        <v>0</v>
      </c>
      <c r="HP14" s="43">
        <f t="shared" si="20"/>
        <v>0</v>
      </c>
      <c r="HQ14" s="43">
        <f t="shared" si="21"/>
        <v>0</v>
      </c>
      <c r="HR14" s="43">
        <f t="shared" si="22"/>
        <v>0</v>
      </c>
      <c r="HS14" s="43">
        <f t="shared" si="23"/>
        <v>0</v>
      </c>
      <c r="HT14" s="43">
        <f t="shared" si="24"/>
        <v>0</v>
      </c>
      <c r="HU14" s="43">
        <f t="shared" si="25"/>
        <v>0</v>
      </c>
      <c r="HV14" s="43">
        <f t="shared" si="26"/>
        <v>0</v>
      </c>
      <c r="HW14" s="43">
        <f t="shared" si="27"/>
        <v>0</v>
      </c>
      <c r="HX14" s="43">
        <f t="shared" si="28"/>
        <v>0</v>
      </c>
      <c r="HY14" s="43">
        <f t="shared" si="29"/>
        <v>0</v>
      </c>
      <c r="HZ14" s="43">
        <f t="shared" si="30"/>
        <v>0</v>
      </c>
      <c r="IA14" s="43">
        <f t="shared" si="31"/>
        <v>0</v>
      </c>
      <c r="IB14" s="38">
        <f t="shared" ref="IB14:IB62" si="103">COUNTIF($HL14:$IA14,"=A")</f>
        <v>0</v>
      </c>
      <c r="IC14" s="38">
        <f t="shared" ref="IC14:IC62" si="104">COUNTIF($HL14:$IA14,"=B")</f>
        <v>0</v>
      </c>
      <c r="ID14" s="38">
        <f t="shared" ref="ID14:ID62" si="105">COUNTIF($HL14:$IA14,"=C")</f>
        <v>0</v>
      </c>
      <c r="IE14" s="38">
        <f t="shared" ref="IE14:IE62" si="106">COUNTIF($HL14:$IA14,"=D")</f>
        <v>0</v>
      </c>
      <c r="IF14" s="46" t="str">
        <f t="shared" ref="IF14:IF62" si="107">IF(AND(IB14=0,IC14=0,ID14=0,IE14=0),"-",IF(MAX(IB14:IE14)=IB14,"A",IF(MAX(IB14:IE14)=IC14,"B",IF(MAX(IB14:IE14)=ID14,"C",IF(MAX(IB14:IE14)=IE14,"D","-")))))</f>
        <v>-</v>
      </c>
      <c r="IG14" s="45" t="str">
        <f>VLOOKUP(IF14,'TABEL KONVERSI'!$B$11:$D$15,3,0)</f>
        <v>-</v>
      </c>
      <c r="IH14" s="40" t="s">
        <v>223</v>
      </c>
      <c r="II14" s="41" t="s">
        <v>106</v>
      </c>
      <c r="IJ14" s="45" t="str">
        <f>IF(II14&lt;&gt;"",VLOOKUP(II14,'TABEL KONVERSI'!$A$19:$B$23,2,0),"")</f>
        <v>Aktif dalam mengikuti kegiatan</v>
      </c>
      <c r="IK14" s="47" t="s">
        <v>58</v>
      </c>
      <c r="IL14" s="50" t="s">
        <v>58</v>
      </c>
      <c r="IM14" s="45" t="str">
        <f>IF(IL14&lt;&gt;"",VLOOKUP(IL14,'TABEL KONVERSI'!$A$19:$B$23,2,0),"")</f>
        <v>-</v>
      </c>
      <c r="IN14" s="49" t="s">
        <v>58</v>
      </c>
      <c r="IO14" s="48" t="s">
        <v>58</v>
      </c>
      <c r="IP14" s="45" t="str">
        <f>IF(IO14&lt;&gt;"",VLOOKUP(IO14,'TABEL KONVERSI'!$A$19:$B$23,2,0),"")</f>
        <v>-</v>
      </c>
      <c r="IQ14" s="49" t="s">
        <v>58</v>
      </c>
      <c r="IR14" s="50" t="s">
        <v>58</v>
      </c>
      <c r="IS14" s="45" t="str">
        <f>IF(IR14&lt;&gt;"",VLOOKUP(IR14,'TABEL KONVERSI'!$A$19:$B$23,2,0),"")</f>
        <v>-</v>
      </c>
      <c r="IT14" s="49" t="s">
        <v>58</v>
      </c>
      <c r="IU14" s="50" t="s">
        <v>58</v>
      </c>
      <c r="IV14" s="45" t="str">
        <f>IF(IU14&lt;&gt;"",VLOOKUP(IU14,'TABEL KONVERSI'!$A$19:$B$23,2,0),"")</f>
        <v>-</v>
      </c>
      <c r="IW14" s="48" t="s">
        <v>58</v>
      </c>
      <c r="IX14" s="48" t="s">
        <v>58</v>
      </c>
      <c r="IY14" s="48" t="s">
        <v>58</v>
      </c>
      <c r="IZ14" s="47" t="s">
        <v>58</v>
      </c>
      <c r="JA14" s="45">
        <f t="shared" si="32"/>
        <v>0</v>
      </c>
      <c r="JB14" s="45">
        <f t="shared" si="33"/>
        <v>1</v>
      </c>
    </row>
    <row r="15" spans="1:262" x14ac:dyDescent="0.25">
      <c r="A15" s="33">
        <v>3</v>
      </c>
      <c r="B15" s="51"/>
      <c r="C15" s="51"/>
      <c r="D15" s="77"/>
      <c r="E15" s="52"/>
      <c r="F15" s="42"/>
      <c r="G15" s="37"/>
      <c r="H15" s="73"/>
      <c r="I15" s="73"/>
      <c r="J15" s="38" t="str">
        <f t="shared" si="34"/>
        <v/>
      </c>
      <c r="K15" s="38" t="str">
        <f t="shared" si="35"/>
        <v/>
      </c>
      <c r="L15" s="38" t="str">
        <f>IF(J15&lt;&gt;"",IF(AND(J15&gt;='TABEL KONVERSI'!$B$3,'ENTRY DATA'!J15&lt;='TABEL KONVERSI'!$C$3),1,IF(AND(J15&gt;='TABEL KONVERSI'!$B$4,'ENTRY DATA'!J15&lt;='TABEL KONVERSI'!$C$4),2,IF(AND(J15&gt;='TABEL KONVERSI'!$B$5,'ENTRY DATA'!J15&lt;='TABEL KONVERSI'!$C$5),3,IF(AND(J15&gt;='TABEL KONVERSI'!$B$6,'ENTRY DATA'!J15&lt;='TABEL KONVERSI'!$C$6),4,"")))),"-")</f>
        <v>-</v>
      </c>
      <c r="M15" s="38" t="str">
        <f>IF(K15&lt;&gt;"",IF(AND(K15&gt;='TABEL KONVERSI'!$B$3,'ENTRY DATA'!K15&lt;='TABEL KONVERSI'!$C$3),1,IF(AND(K15&gt;='TABEL KONVERSI'!$B$4,'ENTRY DATA'!K15&lt;='TABEL KONVERSI'!$C$4),2,IF(AND(K15&gt;='TABEL KONVERSI'!$B$5,'ENTRY DATA'!K15&lt;='TABEL KONVERSI'!$C$5),3,IF(AND(K15&gt;='TABEL KONVERSI'!$B$6,'ENTRY DATA'!K15&lt;='TABEL KONVERSI'!$C$6),4,"")))),"-")</f>
        <v>-</v>
      </c>
      <c r="N15" s="38" t="str">
        <f t="shared" si="36"/>
        <v>-</v>
      </c>
      <c r="O15" s="38" t="str">
        <f>VLOOKUP(L15,'TABEL KONVERSI'!$A$3:$D$7,4)</f>
        <v>-</v>
      </c>
      <c r="P15" s="38" t="str">
        <f t="shared" si="37"/>
        <v>-</v>
      </c>
      <c r="Q15" s="38" t="str">
        <f>VLOOKUP(M15,'TABEL KONVERSI'!$A$3:$D$7,4)</f>
        <v>-</v>
      </c>
      <c r="R15" s="42"/>
      <c r="S15" s="37"/>
      <c r="T15" s="73"/>
      <c r="U15" s="73"/>
      <c r="V15" s="38" t="str">
        <f t="shared" si="38"/>
        <v/>
      </c>
      <c r="W15" s="38" t="str">
        <f t="shared" si="39"/>
        <v/>
      </c>
      <c r="X15" s="38" t="str">
        <f>IF(V15&lt;&gt;"",IF(AND(V15&gt;='TABEL KONVERSI'!$B$3,'ENTRY DATA'!V15&lt;='TABEL KONVERSI'!$C$3),1,IF(AND(V15&gt;='TABEL KONVERSI'!$B$4,'ENTRY DATA'!V15&lt;='TABEL KONVERSI'!$C$4),2,IF(AND(V15&gt;='TABEL KONVERSI'!$B$5,'ENTRY DATA'!V15&lt;='TABEL KONVERSI'!$C$5),3,IF(AND(V15&gt;='TABEL KONVERSI'!$B$6,'ENTRY DATA'!V15&lt;='TABEL KONVERSI'!$C$6),4,"")))),"-")</f>
        <v>-</v>
      </c>
      <c r="Y15" s="38" t="str">
        <f>IF(W15&lt;&gt;"",IF(AND(W15&gt;='TABEL KONVERSI'!$B$3,'ENTRY DATA'!W15&lt;='TABEL KONVERSI'!$C$3),1,IF(AND(W15&gt;='TABEL KONVERSI'!$B$4,'ENTRY DATA'!W15&lt;='TABEL KONVERSI'!$C$4),2,IF(AND(W15&gt;='TABEL KONVERSI'!$B$5,'ENTRY DATA'!W15&lt;='TABEL KONVERSI'!$C$5),3,IF(AND(W15&gt;='TABEL KONVERSI'!$B$6,'ENTRY DATA'!W15&lt;='TABEL KONVERSI'!$C$6),4,"")))),"-")</f>
        <v>-</v>
      </c>
      <c r="Z15" s="38" t="str">
        <f t="shared" si="40"/>
        <v>-</v>
      </c>
      <c r="AA15" s="38" t="str">
        <f>VLOOKUP(X15,'TABEL KONVERSI'!$A$3:$D$7,4)</f>
        <v>-</v>
      </c>
      <c r="AB15" s="38" t="str">
        <f t="shared" si="41"/>
        <v>-</v>
      </c>
      <c r="AC15" s="38" t="str">
        <f>VLOOKUP(Y15,'TABEL KONVERSI'!$A$3:$D$7,4)</f>
        <v>-</v>
      </c>
      <c r="AD15" s="42"/>
      <c r="AE15" s="37"/>
      <c r="AF15" s="73"/>
      <c r="AG15" s="73"/>
      <c r="AH15" s="38" t="str">
        <f t="shared" si="42"/>
        <v/>
      </c>
      <c r="AI15" s="38" t="str">
        <f t="shared" si="43"/>
        <v/>
      </c>
      <c r="AJ15" s="38" t="str">
        <f>IF(AH15&lt;&gt;"",IF(AND(AH15&gt;='TABEL KONVERSI'!$B$3,'ENTRY DATA'!AH15&lt;='TABEL KONVERSI'!$C$3),1,IF(AND(AH15&gt;='TABEL KONVERSI'!$B$4,'ENTRY DATA'!AH15&lt;='TABEL KONVERSI'!$C$4),2,IF(AND(AH15&gt;='TABEL KONVERSI'!$B$5,'ENTRY DATA'!AH15&lt;='TABEL KONVERSI'!$C$5),3,IF(AND(AH15&gt;='TABEL KONVERSI'!$B$6,'ENTRY DATA'!AH15&lt;='TABEL KONVERSI'!$C$6),4,"")))),"-")</f>
        <v>-</v>
      </c>
      <c r="AK15" s="38" t="str">
        <f>IF(AI15&lt;&gt;"",IF(AND(AI15&gt;='TABEL KONVERSI'!$B$3,'ENTRY DATA'!AI15&lt;='TABEL KONVERSI'!$C$3),1,IF(AND(AI15&gt;='TABEL KONVERSI'!$B$4,'ENTRY DATA'!AI15&lt;='TABEL KONVERSI'!$C$4),2,IF(AND(AI15&gt;='TABEL KONVERSI'!$B$5,'ENTRY DATA'!AI15&lt;='TABEL KONVERSI'!$C$5),3,IF(AND(AI15&gt;='TABEL KONVERSI'!$B$6,'ENTRY DATA'!AI15&lt;='TABEL KONVERSI'!$C$6),4,"")))),"-")</f>
        <v>-</v>
      </c>
      <c r="AL15" s="38" t="str">
        <f t="shared" si="44"/>
        <v>-</v>
      </c>
      <c r="AM15" s="38" t="str">
        <f>VLOOKUP(AJ15,'TABEL KONVERSI'!$A$3:$D$7,4)</f>
        <v>-</v>
      </c>
      <c r="AN15" s="38" t="str">
        <f t="shared" si="45"/>
        <v>-</v>
      </c>
      <c r="AO15" s="38" t="str">
        <f>VLOOKUP(AK15,'TABEL KONVERSI'!$A$3:$D$7,4)</f>
        <v>-</v>
      </c>
      <c r="AP15" s="42"/>
      <c r="AQ15" s="37"/>
      <c r="AR15" s="73"/>
      <c r="AS15" s="73"/>
      <c r="AT15" s="38" t="str">
        <f t="shared" si="46"/>
        <v/>
      </c>
      <c r="AU15" s="38" t="str">
        <f t="shared" si="47"/>
        <v/>
      </c>
      <c r="AV15" s="38" t="str">
        <f>IF(AT15&lt;&gt;"",IF(AND(AT15&gt;='TABEL KONVERSI'!$B$3,'ENTRY DATA'!AT15&lt;='TABEL KONVERSI'!$C$3),1,IF(AND(AT15&gt;='TABEL KONVERSI'!$B$4,'ENTRY DATA'!AT15&lt;='TABEL KONVERSI'!$C$4),2,IF(AND(AT15&gt;='TABEL KONVERSI'!$B$5,'ENTRY DATA'!AT15&lt;='TABEL KONVERSI'!$C$5),3,IF(AND(AT15&gt;='TABEL KONVERSI'!$B$6,'ENTRY DATA'!AT15&lt;='TABEL KONVERSI'!$C$6),4,"")))),"-")</f>
        <v>-</v>
      </c>
      <c r="AW15" s="38" t="str">
        <f>IF(AU15&lt;&gt;"",IF(AND(AU15&gt;='TABEL KONVERSI'!$B$3,'ENTRY DATA'!AU15&lt;='TABEL KONVERSI'!$C$3),1,IF(AND(AU15&gt;='TABEL KONVERSI'!$B$4,'ENTRY DATA'!AU15&lt;='TABEL KONVERSI'!$C$4),2,IF(AND(AU15&gt;='TABEL KONVERSI'!$B$5,'ENTRY DATA'!AU15&lt;='TABEL KONVERSI'!$C$5),3,IF(AND(AU15&gt;='TABEL KONVERSI'!$B$6,'ENTRY DATA'!AU15&lt;='TABEL KONVERSI'!$C$6),4,"")))),"-")</f>
        <v>-</v>
      </c>
      <c r="AX15" s="38" t="str">
        <f t="shared" si="48"/>
        <v>-</v>
      </c>
      <c r="AY15" s="38" t="str">
        <f>VLOOKUP(AV15,'TABEL KONVERSI'!$A$3:$D$7,4)</f>
        <v>-</v>
      </c>
      <c r="AZ15" s="38" t="str">
        <f t="shared" si="49"/>
        <v>-</v>
      </c>
      <c r="BA15" s="38" t="str">
        <f>VLOOKUP(AW15,'TABEL KONVERSI'!$A$3:$D$7,4)</f>
        <v>-</v>
      </c>
      <c r="BB15" s="42"/>
      <c r="BC15" s="37"/>
      <c r="BD15" s="73"/>
      <c r="BE15" s="73"/>
      <c r="BF15" s="38" t="str">
        <f t="shared" si="50"/>
        <v/>
      </c>
      <c r="BG15" s="38" t="str">
        <f t="shared" si="51"/>
        <v/>
      </c>
      <c r="BH15" s="38" t="str">
        <f>IF(BF15&lt;&gt;"",IF(AND(BF15&gt;='TABEL KONVERSI'!$B$3,'ENTRY DATA'!BF15&lt;='TABEL KONVERSI'!$C$3),1,IF(AND(BF15&gt;='TABEL KONVERSI'!$B$4,'ENTRY DATA'!BF15&lt;='TABEL KONVERSI'!$C$4),2,IF(AND(BF15&gt;='TABEL KONVERSI'!$B$5,'ENTRY DATA'!BF15&lt;='TABEL KONVERSI'!$C$5),3,IF(AND(BF15&gt;='TABEL KONVERSI'!$B$6,'ENTRY DATA'!BF15&lt;='TABEL KONVERSI'!$C$6),4,"")))),"-")</f>
        <v>-</v>
      </c>
      <c r="BI15" s="38" t="str">
        <f>IF(BG15&lt;&gt;"",IF(AND(BG15&gt;='TABEL KONVERSI'!$B$3,'ENTRY DATA'!BG15&lt;='TABEL KONVERSI'!$C$3),1,IF(AND(BG15&gt;='TABEL KONVERSI'!$B$4,'ENTRY DATA'!BG15&lt;='TABEL KONVERSI'!$C$4),2,IF(AND(BG15&gt;='TABEL KONVERSI'!$B$5,'ENTRY DATA'!BG15&lt;='TABEL KONVERSI'!$C$5),3,IF(AND(BG15&gt;='TABEL KONVERSI'!$B$6,'ENTRY DATA'!BG15&lt;='TABEL KONVERSI'!$C$6),4,"")))),"-")</f>
        <v>-</v>
      </c>
      <c r="BJ15" s="38" t="str">
        <f t="shared" si="52"/>
        <v>-</v>
      </c>
      <c r="BK15" s="38" t="str">
        <f>VLOOKUP(BH15,'TABEL KONVERSI'!$A$3:$D$7,4)</f>
        <v>-</v>
      </c>
      <c r="BL15" s="38" t="str">
        <f t="shared" si="53"/>
        <v>-</v>
      </c>
      <c r="BM15" s="38" t="str">
        <f>VLOOKUP(BI15,'TABEL KONVERSI'!$A$3:$D$7,4)</f>
        <v>-</v>
      </c>
      <c r="BN15" s="42"/>
      <c r="BO15" s="37"/>
      <c r="BP15" s="73"/>
      <c r="BQ15" s="73"/>
      <c r="BR15" s="38" t="str">
        <f t="shared" si="54"/>
        <v/>
      </c>
      <c r="BS15" s="38" t="str">
        <f t="shared" si="55"/>
        <v/>
      </c>
      <c r="BT15" s="38" t="str">
        <f>IF(BR15&lt;&gt;"",IF(AND(BR15&gt;='TABEL KONVERSI'!$B$3,'ENTRY DATA'!BR15&lt;='TABEL KONVERSI'!$C$3),1,IF(AND(BR15&gt;='TABEL KONVERSI'!$B$4,'ENTRY DATA'!BR15&lt;='TABEL KONVERSI'!$C$4),2,IF(AND(BR15&gt;='TABEL KONVERSI'!$B$5,'ENTRY DATA'!BR15&lt;='TABEL KONVERSI'!$C$5),3,IF(AND(BR15&gt;='TABEL KONVERSI'!$B$6,'ENTRY DATA'!BR15&lt;='TABEL KONVERSI'!$C$6),4,"")))),"-")</f>
        <v>-</v>
      </c>
      <c r="BU15" s="38" t="str">
        <f>IF(BS15&lt;&gt;"",IF(AND(BS15&gt;='TABEL KONVERSI'!$B$3,'ENTRY DATA'!BS15&lt;='TABEL KONVERSI'!$C$3),1,IF(AND(BS15&gt;='TABEL KONVERSI'!$B$4,'ENTRY DATA'!BS15&lt;='TABEL KONVERSI'!$C$4),2,IF(AND(BS15&gt;='TABEL KONVERSI'!$B$5,'ENTRY DATA'!BS15&lt;='TABEL KONVERSI'!$C$5),3,IF(AND(BS15&gt;='TABEL KONVERSI'!$B$6,'ENTRY DATA'!BS15&lt;='TABEL KONVERSI'!$C$6),4,"")))),"-")</f>
        <v>-</v>
      </c>
      <c r="BV15" s="38" t="str">
        <f t="shared" si="56"/>
        <v>-</v>
      </c>
      <c r="BW15" s="38" t="str">
        <f>VLOOKUP(BT15,'TABEL KONVERSI'!$A$3:$D$7,4)</f>
        <v>-</v>
      </c>
      <c r="BX15" s="38" t="str">
        <f t="shared" si="57"/>
        <v>-</v>
      </c>
      <c r="BY15" s="38" t="str">
        <f>VLOOKUP(BU15,'TABEL KONVERSI'!$A$3:$D$7,4)</f>
        <v>-</v>
      </c>
      <c r="BZ15" s="42"/>
      <c r="CA15" s="37"/>
      <c r="CB15" s="73"/>
      <c r="CC15" s="73"/>
      <c r="CD15" s="38" t="str">
        <f t="shared" si="58"/>
        <v/>
      </c>
      <c r="CE15" s="38" t="str">
        <f t="shared" si="59"/>
        <v/>
      </c>
      <c r="CF15" s="38" t="str">
        <f>IF(CD15&lt;&gt;"",IF(AND(CD15&gt;='TABEL KONVERSI'!$B$3,'ENTRY DATA'!CD15&lt;='TABEL KONVERSI'!$C$3),1,IF(AND(CD15&gt;='TABEL KONVERSI'!$B$4,'ENTRY DATA'!CD15&lt;='TABEL KONVERSI'!$C$4),2,IF(AND(CD15&gt;='TABEL KONVERSI'!$B$5,'ENTRY DATA'!CD15&lt;='TABEL KONVERSI'!$C$5),3,IF(AND(CD15&gt;='TABEL KONVERSI'!$B$6,'ENTRY DATA'!CD15&lt;='TABEL KONVERSI'!$C$6),4,"")))),"-")</f>
        <v>-</v>
      </c>
      <c r="CG15" s="38" t="str">
        <f>IF(CE15&lt;&gt;"",IF(AND(CE15&gt;='TABEL KONVERSI'!$B$3,'ENTRY DATA'!CE15&lt;='TABEL KONVERSI'!$C$3),1,IF(AND(CE15&gt;='TABEL KONVERSI'!$B$4,'ENTRY DATA'!CE15&lt;='TABEL KONVERSI'!$C$4),2,IF(AND(CE15&gt;='TABEL KONVERSI'!$B$5,'ENTRY DATA'!CE15&lt;='TABEL KONVERSI'!$C$5),3,IF(AND(CE15&gt;='TABEL KONVERSI'!$B$6,'ENTRY DATA'!CE15&lt;='TABEL KONVERSI'!$C$6),4,"")))),"-")</f>
        <v>-</v>
      </c>
      <c r="CH15" s="38" t="str">
        <f t="shared" si="60"/>
        <v>-</v>
      </c>
      <c r="CI15" s="38" t="str">
        <f>VLOOKUP(CF15,'TABEL KONVERSI'!$A$3:$D$7,4)</f>
        <v>-</v>
      </c>
      <c r="CJ15" s="38" t="str">
        <f t="shared" si="61"/>
        <v>-</v>
      </c>
      <c r="CK15" s="38" t="str">
        <f>VLOOKUP(CG15,'TABEL KONVERSI'!$A$3:$D$7,4)</f>
        <v>-</v>
      </c>
      <c r="CL15" s="42"/>
      <c r="CM15" s="37"/>
      <c r="CN15" s="73"/>
      <c r="CO15" s="73"/>
      <c r="CP15" s="38" t="str">
        <f t="shared" si="62"/>
        <v/>
      </c>
      <c r="CQ15" s="38" t="str">
        <f t="shared" si="63"/>
        <v/>
      </c>
      <c r="CR15" s="38" t="str">
        <f>IF(CP15&lt;&gt;"",IF(AND(CP15&gt;='TABEL KONVERSI'!$B$3,'ENTRY DATA'!CP15&lt;='TABEL KONVERSI'!$C$3),1,IF(AND(CP15&gt;='TABEL KONVERSI'!$B$4,'ENTRY DATA'!CP15&lt;='TABEL KONVERSI'!$C$4),2,IF(AND(CP15&gt;='TABEL KONVERSI'!$B$5,'ENTRY DATA'!CP15&lt;='TABEL KONVERSI'!$C$5),3,IF(AND(CP15&gt;='TABEL KONVERSI'!$B$6,'ENTRY DATA'!CP15&lt;='TABEL KONVERSI'!$C$6),4,"")))),"-")</f>
        <v>-</v>
      </c>
      <c r="CS15" s="38" t="str">
        <f>IF(CQ15&lt;&gt;"",IF(AND(CQ15&gt;='TABEL KONVERSI'!$B$3,'ENTRY DATA'!CQ15&lt;='TABEL KONVERSI'!$C$3),1,IF(AND(CQ15&gt;='TABEL KONVERSI'!$B$4,'ENTRY DATA'!CQ15&lt;='TABEL KONVERSI'!$C$4),2,IF(AND(CQ15&gt;='TABEL KONVERSI'!$B$5,'ENTRY DATA'!CQ15&lt;='TABEL KONVERSI'!$C$5),3,IF(AND(CQ15&gt;='TABEL KONVERSI'!$B$6,'ENTRY DATA'!CQ15&lt;='TABEL KONVERSI'!$C$6),4,"")))),"-")</f>
        <v>-</v>
      </c>
      <c r="CT15" s="38" t="str">
        <f t="shared" si="64"/>
        <v>-</v>
      </c>
      <c r="CU15" s="38" t="str">
        <f>VLOOKUP(CR15,'TABEL KONVERSI'!$A$3:$D$7,4)</f>
        <v>-</v>
      </c>
      <c r="CV15" s="38" t="str">
        <f t="shared" si="65"/>
        <v>-</v>
      </c>
      <c r="CW15" s="38" t="str">
        <f>VLOOKUP(CS15,'TABEL KONVERSI'!$A$3:$D$7,4)</f>
        <v>-</v>
      </c>
      <c r="CX15" s="42"/>
      <c r="CY15" s="37"/>
      <c r="CZ15" s="73"/>
      <c r="DA15" s="73"/>
      <c r="DB15" s="38" t="str">
        <f t="shared" si="66"/>
        <v/>
      </c>
      <c r="DC15" s="38" t="str">
        <f t="shared" si="67"/>
        <v/>
      </c>
      <c r="DD15" s="38" t="str">
        <f>IF(DB15&lt;&gt;"",IF(AND(DB15&gt;='TABEL KONVERSI'!$B$3,'ENTRY DATA'!DB15&lt;='TABEL KONVERSI'!$C$3),1,IF(AND(DB15&gt;='TABEL KONVERSI'!$B$4,'ENTRY DATA'!DB15&lt;='TABEL KONVERSI'!$C$4),2,IF(AND(DB15&gt;='TABEL KONVERSI'!$B$5,'ENTRY DATA'!DB15&lt;='TABEL KONVERSI'!$C$5),3,IF(AND(DB15&gt;='TABEL KONVERSI'!$B$6,'ENTRY DATA'!DB15&lt;='TABEL KONVERSI'!$C$6),4,"")))),"-")</f>
        <v>-</v>
      </c>
      <c r="DE15" s="38" t="str">
        <f>IF(DC15&lt;&gt;"",IF(AND(DC15&gt;='TABEL KONVERSI'!$B$3,'ENTRY DATA'!DC15&lt;='TABEL KONVERSI'!$C$3),1,IF(AND(DC15&gt;='TABEL KONVERSI'!$B$4,'ENTRY DATA'!DC15&lt;='TABEL KONVERSI'!$C$4),2,IF(AND(DC15&gt;='TABEL KONVERSI'!$B$5,'ENTRY DATA'!DC15&lt;='TABEL KONVERSI'!$C$5),3,IF(AND(DC15&gt;='TABEL KONVERSI'!$B$6,'ENTRY DATA'!DC15&lt;='TABEL KONVERSI'!$C$6),4,"")))),"-")</f>
        <v>-</v>
      </c>
      <c r="DF15" s="38" t="str">
        <f t="shared" si="68"/>
        <v>-</v>
      </c>
      <c r="DG15" s="38" t="str">
        <f>VLOOKUP(DD15,'TABEL KONVERSI'!$A$3:$D$7,4)</f>
        <v>-</v>
      </c>
      <c r="DH15" s="38" t="str">
        <f t="shared" si="69"/>
        <v>-</v>
      </c>
      <c r="DI15" s="38" t="str">
        <f>VLOOKUP(DE15,'TABEL KONVERSI'!$A$3:$D$7,4)</f>
        <v>-</v>
      </c>
      <c r="DJ15" s="42"/>
      <c r="DK15" s="37"/>
      <c r="DL15" s="73"/>
      <c r="DM15" s="73"/>
      <c r="DN15" s="38" t="str">
        <f t="shared" si="70"/>
        <v/>
      </c>
      <c r="DO15" s="38" t="str">
        <f t="shared" si="71"/>
        <v/>
      </c>
      <c r="DP15" s="38" t="str">
        <f>IF(DN15&lt;&gt;"",IF(AND(DN15&gt;='TABEL KONVERSI'!$B$3,'ENTRY DATA'!DN15&lt;='TABEL KONVERSI'!$C$3),1,IF(AND(DN15&gt;='TABEL KONVERSI'!$B$4,'ENTRY DATA'!DN15&lt;='TABEL KONVERSI'!$C$4),2,IF(AND(DN15&gt;='TABEL KONVERSI'!$B$5,'ENTRY DATA'!DN15&lt;='TABEL KONVERSI'!$C$5),3,IF(AND(DN15&gt;='TABEL KONVERSI'!$B$6,'ENTRY DATA'!DN15&lt;='TABEL KONVERSI'!$C$6),4,"")))),"-")</f>
        <v>-</v>
      </c>
      <c r="DQ15" s="38" t="str">
        <f>IF(DO15&lt;&gt;"",IF(AND(DO15&gt;='TABEL KONVERSI'!$B$3,'ENTRY DATA'!DO15&lt;='TABEL KONVERSI'!$C$3),1,IF(AND(DO15&gt;='TABEL KONVERSI'!$B$4,'ENTRY DATA'!DO15&lt;='TABEL KONVERSI'!$C$4),2,IF(AND(DO15&gt;='TABEL KONVERSI'!$B$5,'ENTRY DATA'!DO15&lt;='TABEL KONVERSI'!$C$5),3,IF(AND(DO15&gt;='TABEL KONVERSI'!$B$6,'ENTRY DATA'!DO15&lt;='TABEL KONVERSI'!$C$6),4,"")))),"-")</f>
        <v>-</v>
      </c>
      <c r="DR15" s="38" t="str">
        <f t="shared" si="72"/>
        <v>-</v>
      </c>
      <c r="DS15" s="38" t="str">
        <f>VLOOKUP(DP15,'TABEL KONVERSI'!$A$3:$D$7,4)</f>
        <v>-</v>
      </c>
      <c r="DT15" s="38" t="str">
        <f t="shared" si="73"/>
        <v>-</v>
      </c>
      <c r="DU15" s="38" t="str">
        <f>VLOOKUP(DQ15,'TABEL KONVERSI'!$A$3:$D$7,4)</f>
        <v>-</v>
      </c>
      <c r="DV15" s="42"/>
      <c r="DW15" s="37"/>
      <c r="DX15" s="73"/>
      <c r="DY15" s="73"/>
      <c r="DZ15" s="38" t="str">
        <f t="shared" si="74"/>
        <v/>
      </c>
      <c r="EA15" s="38" t="str">
        <f t="shared" si="75"/>
        <v/>
      </c>
      <c r="EB15" s="38" t="str">
        <f>IF(DZ15&lt;&gt;"",IF(AND(DZ15&gt;='TABEL KONVERSI'!$B$3,'ENTRY DATA'!DZ15&lt;='TABEL KONVERSI'!$C$3),1,IF(AND(DZ15&gt;='TABEL KONVERSI'!$B$4,'ENTRY DATA'!DZ15&lt;='TABEL KONVERSI'!$C$4),2,IF(AND(DZ15&gt;='TABEL KONVERSI'!$B$5,'ENTRY DATA'!DZ15&lt;='TABEL KONVERSI'!$C$5),3,IF(AND(DZ15&gt;='TABEL KONVERSI'!$B$6,'ENTRY DATA'!DZ15&lt;='TABEL KONVERSI'!$C$6),4,"")))),"-")</f>
        <v>-</v>
      </c>
      <c r="EC15" s="38" t="str">
        <f>IF(EA15&lt;&gt;"",IF(AND(EA15&gt;='TABEL KONVERSI'!$B$3,'ENTRY DATA'!EA15&lt;='TABEL KONVERSI'!$C$3),1,IF(AND(EA15&gt;='TABEL KONVERSI'!$B$4,'ENTRY DATA'!EA15&lt;='TABEL KONVERSI'!$C$4),2,IF(AND(EA15&gt;='TABEL KONVERSI'!$B$5,'ENTRY DATA'!EA15&lt;='TABEL KONVERSI'!$C$5),3,IF(AND(EA15&gt;='TABEL KONVERSI'!$B$6,'ENTRY DATA'!EA15&lt;='TABEL KONVERSI'!$C$6),4,"")))),"-")</f>
        <v>-</v>
      </c>
      <c r="ED15" s="38" t="str">
        <f t="shared" si="76"/>
        <v>-</v>
      </c>
      <c r="EE15" s="38" t="str">
        <f>VLOOKUP(EB15,'TABEL KONVERSI'!$A$3:$D$7,4)</f>
        <v>-</v>
      </c>
      <c r="EF15" s="38" t="str">
        <f t="shared" si="77"/>
        <v>-</v>
      </c>
      <c r="EG15" s="38" t="str">
        <f>VLOOKUP(EC15,'TABEL KONVERSI'!$A$3:$D$7,4)</f>
        <v>-</v>
      </c>
      <c r="EH15" s="42"/>
      <c r="EI15" s="37"/>
      <c r="EJ15" s="73"/>
      <c r="EK15" s="73"/>
      <c r="EL15" s="38" t="str">
        <f t="shared" si="78"/>
        <v/>
      </c>
      <c r="EM15" s="38" t="str">
        <f t="shared" si="79"/>
        <v/>
      </c>
      <c r="EN15" s="38" t="str">
        <f>IF(EL15&lt;&gt;"",IF(AND(EL15&gt;='TABEL KONVERSI'!$B$3,'ENTRY DATA'!EL15&lt;='TABEL KONVERSI'!$C$3),1,IF(AND(EL15&gt;='TABEL KONVERSI'!$B$4,'ENTRY DATA'!EL15&lt;='TABEL KONVERSI'!$C$4),2,IF(AND(EL15&gt;='TABEL KONVERSI'!$B$5,'ENTRY DATA'!EL15&lt;='TABEL KONVERSI'!$C$5),3,IF(AND(EL15&gt;='TABEL KONVERSI'!$B$6,'ENTRY DATA'!EL15&lt;='TABEL KONVERSI'!$C$6),4,"")))),"-")</f>
        <v>-</v>
      </c>
      <c r="EO15" s="38" t="str">
        <f>IF(EM15&lt;&gt;"",IF(AND(EM15&gt;='TABEL KONVERSI'!$B$3,'ENTRY DATA'!EM15&lt;='TABEL KONVERSI'!$C$3),1,IF(AND(EM15&gt;='TABEL KONVERSI'!$B$4,'ENTRY DATA'!EM15&lt;='TABEL KONVERSI'!$C$4),2,IF(AND(EM15&gt;='TABEL KONVERSI'!$B$5,'ENTRY DATA'!EM15&lt;='TABEL KONVERSI'!$C$5),3,IF(AND(EM15&gt;='TABEL KONVERSI'!$B$6,'ENTRY DATA'!EM15&lt;='TABEL KONVERSI'!$C$6),4,"")))),"-")</f>
        <v>-</v>
      </c>
      <c r="EP15" s="38" t="str">
        <f t="shared" si="80"/>
        <v>-</v>
      </c>
      <c r="EQ15" s="38" t="str">
        <f>VLOOKUP(EN15,'TABEL KONVERSI'!$A$3:$D$7,4)</f>
        <v>-</v>
      </c>
      <c r="ER15" s="38" t="str">
        <f t="shared" si="81"/>
        <v>-</v>
      </c>
      <c r="ES15" s="38" t="str">
        <f>VLOOKUP(EO15,'TABEL KONVERSI'!$A$3:$D$7,4)</f>
        <v>-</v>
      </c>
      <c r="ET15" s="42"/>
      <c r="EU15" s="37"/>
      <c r="EV15" s="73"/>
      <c r="EW15" s="73"/>
      <c r="EX15" s="38" t="str">
        <f t="shared" si="82"/>
        <v/>
      </c>
      <c r="EY15" s="38" t="str">
        <f t="shared" si="83"/>
        <v/>
      </c>
      <c r="EZ15" s="38" t="str">
        <f>IF(EX15&lt;&gt;"",IF(AND(EX15&gt;='TABEL KONVERSI'!$B$3,'ENTRY DATA'!EX15&lt;='TABEL KONVERSI'!$C$3),1,IF(AND(EX15&gt;='TABEL KONVERSI'!$B$4,'ENTRY DATA'!EX15&lt;='TABEL KONVERSI'!$C$4),2,IF(AND(EX15&gt;='TABEL KONVERSI'!$B$5,'ENTRY DATA'!EX15&lt;='TABEL KONVERSI'!$C$5),3,IF(AND(EX15&gt;='TABEL KONVERSI'!$B$6,'ENTRY DATA'!EX15&lt;='TABEL KONVERSI'!$C$6),4,"")))),"-")</f>
        <v>-</v>
      </c>
      <c r="FA15" s="38" t="str">
        <f>IF(EY15&lt;&gt;"",IF(AND(EY15&gt;='TABEL KONVERSI'!$B$3,'ENTRY DATA'!EY15&lt;='TABEL KONVERSI'!$C$3),1,IF(AND(EY15&gt;='TABEL KONVERSI'!$B$4,'ENTRY DATA'!EY15&lt;='TABEL KONVERSI'!$C$4),2,IF(AND(EY15&gt;='TABEL KONVERSI'!$B$5,'ENTRY DATA'!EY15&lt;='TABEL KONVERSI'!$C$5),3,IF(AND(EY15&gt;='TABEL KONVERSI'!$B$6,'ENTRY DATA'!EY15&lt;='TABEL KONVERSI'!$C$6),4,"")))),"-")</f>
        <v>-</v>
      </c>
      <c r="FB15" s="38" t="str">
        <f t="shared" si="84"/>
        <v>-</v>
      </c>
      <c r="FC15" s="38" t="str">
        <f>VLOOKUP(EZ15,'TABEL KONVERSI'!$A$3:$D$7,4)</f>
        <v>-</v>
      </c>
      <c r="FD15" s="38" t="str">
        <f t="shared" si="85"/>
        <v>-</v>
      </c>
      <c r="FE15" s="38" t="str">
        <f>VLOOKUP(FA15,'TABEL KONVERSI'!$A$3:$D$7,4)</f>
        <v>-</v>
      </c>
      <c r="FF15" s="42"/>
      <c r="FG15" s="37"/>
      <c r="FH15" s="73"/>
      <c r="FI15" s="73"/>
      <c r="FJ15" s="38" t="str">
        <f t="shared" si="86"/>
        <v/>
      </c>
      <c r="FK15" s="38" t="str">
        <f t="shared" si="87"/>
        <v/>
      </c>
      <c r="FL15" s="38" t="str">
        <f>IF(FJ15&lt;&gt;"",IF(AND(FJ15&gt;='TABEL KONVERSI'!$B$3,'ENTRY DATA'!FJ15&lt;='TABEL KONVERSI'!$C$3),1,IF(AND(FJ15&gt;='TABEL KONVERSI'!$B$4,'ENTRY DATA'!FJ15&lt;='TABEL KONVERSI'!$C$4),2,IF(AND(FJ15&gt;='TABEL KONVERSI'!$B$5,'ENTRY DATA'!FJ15&lt;='TABEL KONVERSI'!$C$5),3,IF(AND(FJ15&gt;='TABEL KONVERSI'!$B$6,'ENTRY DATA'!FJ15&lt;='TABEL KONVERSI'!$C$6),4,"")))),"-")</f>
        <v>-</v>
      </c>
      <c r="FM15" s="38" t="str">
        <f>IF(FK15&lt;&gt;"",IF(AND(FK15&gt;='TABEL KONVERSI'!$B$3,'ENTRY DATA'!FK15&lt;='TABEL KONVERSI'!$C$3),1,IF(AND(FK15&gt;='TABEL KONVERSI'!$B$4,'ENTRY DATA'!FK15&lt;='TABEL KONVERSI'!$C$4),2,IF(AND(FK15&gt;='TABEL KONVERSI'!$B$5,'ENTRY DATA'!FK15&lt;='TABEL KONVERSI'!$C$5),3,IF(AND(FK15&gt;='TABEL KONVERSI'!$B$6,'ENTRY DATA'!FK15&lt;='TABEL KONVERSI'!$C$6),4,"")))),"-")</f>
        <v>-</v>
      </c>
      <c r="FN15" s="38" t="str">
        <f t="shared" si="88"/>
        <v>-</v>
      </c>
      <c r="FO15" s="38" t="str">
        <f>VLOOKUP(FL15,'TABEL KONVERSI'!$A$3:$D$7,4)</f>
        <v>-</v>
      </c>
      <c r="FP15" s="38" t="str">
        <f t="shared" si="89"/>
        <v>-</v>
      </c>
      <c r="FQ15" s="38" t="str">
        <f>VLOOKUP(FM15,'TABEL KONVERSI'!$A$3:$D$7,4)</f>
        <v>-</v>
      </c>
      <c r="FR15" s="42"/>
      <c r="FS15" s="37"/>
      <c r="FT15" s="73"/>
      <c r="FU15" s="73"/>
      <c r="FV15" s="38" t="str">
        <f t="shared" si="90"/>
        <v/>
      </c>
      <c r="FW15" s="38" t="str">
        <f t="shared" si="91"/>
        <v/>
      </c>
      <c r="FX15" s="38" t="str">
        <f>IF(FV15&lt;&gt;"",IF(AND(FV15&gt;='TABEL KONVERSI'!$B$3,'ENTRY DATA'!FV15&lt;='TABEL KONVERSI'!$C$3),1,IF(AND(FV15&gt;='TABEL KONVERSI'!$B$4,'ENTRY DATA'!FV15&lt;='TABEL KONVERSI'!$C$4),2,IF(AND(FV15&gt;='TABEL KONVERSI'!$B$5,'ENTRY DATA'!FV15&lt;='TABEL KONVERSI'!$C$5),3,IF(AND(FV15&gt;='TABEL KONVERSI'!$B$6,'ENTRY DATA'!FV15&lt;='TABEL KONVERSI'!$C$6),4,"")))),"-")</f>
        <v>-</v>
      </c>
      <c r="FY15" s="38" t="str">
        <f>IF(FW15&lt;&gt;"",IF(AND(FW15&gt;='TABEL KONVERSI'!$B$3,'ENTRY DATA'!FW15&lt;='TABEL KONVERSI'!$C$3),1,IF(AND(FW15&gt;='TABEL KONVERSI'!$B$4,'ENTRY DATA'!FW15&lt;='TABEL KONVERSI'!$C$4),2,IF(AND(FW15&gt;='TABEL KONVERSI'!$B$5,'ENTRY DATA'!FW15&lt;='TABEL KONVERSI'!$C$5),3,IF(AND(FW15&gt;='TABEL KONVERSI'!$B$6,'ENTRY DATA'!FW15&lt;='TABEL KONVERSI'!$C$6),4,"")))),"-")</f>
        <v>-</v>
      </c>
      <c r="FZ15" s="38" t="str">
        <f t="shared" si="92"/>
        <v>-</v>
      </c>
      <c r="GA15" s="38" t="str">
        <f>VLOOKUP(FX15,'TABEL KONVERSI'!$A$3:$D$7,4)</f>
        <v>-</v>
      </c>
      <c r="GB15" s="38" t="str">
        <f t="shared" si="93"/>
        <v>-</v>
      </c>
      <c r="GC15" s="38" t="str">
        <f>VLOOKUP(FY15,'TABEL KONVERSI'!$A$3:$D$7,4)</f>
        <v>-</v>
      </c>
      <c r="GD15" s="42"/>
      <c r="GE15" s="37"/>
      <c r="GF15" s="73"/>
      <c r="GG15" s="73"/>
      <c r="GH15" s="38" t="str">
        <f t="shared" si="94"/>
        <v/>
      </c>
      <c r="GI15" s="38" t="str">
        <f t="shared" si="95"/>
        <v/>
      </c>
      <c r="GJ15" s="38" t="str">
        <f>IF(GH15&lt;&gt;"",IF(AND(GH15&gt;='TABEL KONVERSI'!$B$3,'ENTRY DATA'!GH15&lt;='TABEL KONVERSI'!$C$3),1,IF(AND(GH15&gt;='TABEL KONVERSI'!$B$4,'ENTRY DATA'!GH15&lt;='TABEL KONVERSI'!$C$4),2,IF(AND(GH15&gt;='TABEL KONVERSI'!$B$5,'ENTRY DATA'!GH15&lt;='TABEL KONVERSI'!$C$5),3,IF(AND(GH15&gt;='TABEL KONVERSI'!$B$6,'ENTRY DATA'!GH15&lt;='TABEL KONVERSI'!$C$6),4,"")))),"-")</f>
        <v>-</v>
      </c>
      <c r="GK15" s="38" t="str">
        <f>IF(GI15&lt;&gt;"",IF(AND(GI15&gt;='TABEL KONVERSI'!$B$3,'ENTRY DATA'!GI15&lt;='TABEL KONVERSI'!$C$3),1,IF(AND(GI15&gt;='TABEL KONVERSI'!$B$4,'ENTRY DATA'!GI15&lt;='TABEL KONVERSI'!$C$4),2,IF(AND(GI15&gt;='TABEL KONVERSI'!$B$5,'ENTRY DATA'!GI15&lt;='TABEL KONVERSI'!$C$5),3,IF(AND(GI15&gt;='TABEL KONVERSI'!$B$6,'ENTRY DATA'!GI15&lt;='TABEL KONVERSI'!$C$6),4,"")))),"-")</f>
        <v>-</v>
      </c>
      <c r="GL15" s="38" t="str">
        <f t="shared" si="96"/>
        <v>-</v>
      </c>
      <c r="GM15" s="38" t="str">
        <f>VLOOKUP(GJ15,'TABEL KONVERSI'!$A$3:$D$7,4)</f>
        <v>-</v>
      </c>
      <c r="GN15" s="38" t="str">
        <f t="shared" si="97"/>
        <v>-</v>
      </c>
      <c r="GO15" s="38" t="str">
        <f>VLOOKUP(GK15,'TABEL KONVERSI'!$A$3:$D$7,4)</f>
        <v>-</v>
      </c>
      <c r="GP15" s="43">
        <f t="shared" si="0"/>
        <v>0</v>
      </c>
      <c r="GQ15" s="43">
        <f t="shared" si="1"/>
        <v>0</v>
      </c>
      <c r="GR15" s="43">
        <f t="shared" si="2"/>
        <v>0</v>
      </c>
      <c r="GS15" s="43">
        <f t="shared" si="3"/>
        <v>0</v>
      </c>
      <c r="GT15" s="43">
        <f t="shared" si="4"/>
        <v>0</v>
      </c>
      <c r="GU15" s="43">
        <f t="shared" si="5"/>
        <v>0</v>
      </c>
      <c r="GV15" s="43">
        <f t="shared" si="6"/>
        <v>0</v>
      </c>
      <c r="GW15" s="43">
        <f t="shared" si="7"/>
        <v>0</v>
      </c>
      <c r="GX15" s="43">
        <f t="shared" si="8"/>
        <v>0</v>
      </c>
      <c r="GY15" s="43">
        <f t="shared" si="9"/>
        <v>0</v>
      </c>
      <c r="GZ15" s="43">
        <f t="shared" si="10"/>
        <v>0</v>
      </c>
      <c r="HA15" s="43">
        <f t="shared" si="11"/>
        <v>0</v>
      </c>
      <c r="HB15" s="43">
        <f t="shared" si="12"/>
        <v>0</v>
      </c>
      <c r="HC15" s="43">
        <f t="shared" si="13"/>
        <v>0</v>
      </c>
      <c r="HD15" s="43">
        <f t="shared" si="14"/>
        <v>0</v>
      </c>
      <c r="HE15" s="43">
        <f t="shared" si="15"/>
        <v>0</v>
      </c>
      <c r="HF15" s="38">
        <f t="shared" si="98"/>
        <v>0</v>
      </c>
      <c r="HG15" s="38">
        <f t="shared" si="99"/>
        <v>0</v>
      </c>
      <c r="HH15" s="38">
        <f t="shared" si="100"/>
        <v>0</v>
      </c>
      <c r="HI15" s="39">
        <f t="shared" si="101"/>
        <v>0</v>
      </c>
      <c r="HJ15" s="44" t="str">
        <f t="shared" si="102"/>
        <v>-</v>
      </c>
      <c r="HK15" s="45" t="str">
        <f>VLOOKUP(HJ15,'TABEL KONVERSI'!$B$11:$D$15,2,0)</f>
        <v>-</v>
      </c>
      <c r="HL15" s="43">
        <f t="shared" si="16"/>
        <v>0</v>
      </c>
      <c r="HM15" s="43">
        <f t="shared" si="17"/>
        <v>0</v>
      </c>
      <c r="HN15" s="43">
        <f t="shared" si="18"/>
        <v>0</v>
      </c>
      <c r="HO15" s="43">
        <f t="shared" si="19"/>
        <v>0</v>
      </c>
      <c r="HP15" s="43">
        <f t="shared" si="20"/>
        <v>0</v>
      </c>
      <c r="HQ15" s="43">
        <f t="shared" si="21"/>
        <v>0</v>
      </c>
      <c r="HR15" s="43">
        <f t="shared" si="22"/>
        <v>0</v>
      </c>
      <c r="HS15" s="43">
        <f t="shared" si="23"/>
        <v>0</v>
      </c>
      <c r="HT15" s="43">
        <f t="shared" si="24"/>
        <v>0</v>
      </c>
      <c r="HU15" s="43">
        <f t="shared" si="25"/>
        <v>0</v>
      </c>
      <c r="HV15" s="43">
        <f t="shared" si="26"/>
        <v>0</v>
      </c>
      <c r="HW15" s="43">
        <f t="shared" si="27"/>
        <v>0</v>
      </c>
      <c r="HX15" s="43">
        <f t="shared" si="28"/>
        <v>0</v>
      </c>
      <c r="HY15" s="43">
        <f t="shared" si="29"/>
        <v>0</v>
      </c>
      <c r="HZ15" s="43">
        <f t="shared" si="30"/>
        <v>0</v>
      </c>
      <c r="IA15" s="43">
        <f t="shared" si="31"/>
        <v>0</v>
      </c>
      <c r="IB15" s="38">
        <f t="shared" si="103"/>
        <v>0</v>
      </c>
      <c r="IC15" s="38">
        <f t="shared" si="104"/>
        <v>0</v>
      </c>
      <c r="ID15" s="38">
        <f t="shared" si="105"/>
        <v>0</v>
      </c>
      <c r="IE15" s="38">
        <f t="shared" si="106"/>
        <v>0</v>
      </c>
      <c r="IF15" s="46" t="str">
        <f t="shared" si="107"/>
        <v>-</v>
      </c>
      <c r="IG15" s="45" t="str">
        <f>VLOOKUP(IF15,'TABEL KONVERSI'!$B$11:$D$15,3,0)</f>
        <v>-</v>
      </c>
      <c r="IH15" s="40" t="s">
        <v>223</v>
      </c>
      <c r="II15" s="41" t="s">
        <v>106</v>
      </c>
      <c r="IJ15" s="45" t="str">
        <f>IF(II15&lt;&gt;"",VLOOKUP(II15,'TABEL KONVERSI'!$A$19:$B$23,2,0),"")</f>
        <v>Aktif dalam mengikuti kegiatan</v>
      </c>
      <c r="IK15" s="47" t="s">
        <v>58</v>
      </c>
      <c r="IL15" s="50" t="s">
        <v>58</v>
      </c>
      <c r="IM15" s="45" t="str">
        <f>IF(IL15&lt;&gt;"",VLOOKUP(IL15,'TABEL KONVERSI'!$A$19:$B$23,2,0),"")</f>
        <v>-</v>
      </c>
      <c r="IN15" s="49" t="s">
        <v>58</v>
      </c>
      <c r="IO15" s="48" t="s">
        <v>58</v>
      </c>
      <c r="IP15" s="45" t="str">
        <f>IF(IO15&lt;&gt;"",VLOOKUP(IO15,'TABEL KONVERSI'!$A$19:$B$23,2,0),"")</f>
        <v>-</v>
      </c>
      <c r="IQ15" s="49" t="s">
        <v>58</v>
      </c>
      <c r="IR15" s="50" t="s">
        <v>58</v>
      </c>
      <c r="IS15" s="45" t="str">
        <f>IF(IR15&lt;&gt;"",VLOOKUP(IR15,'TABEL KONVERSI'!$A$19:$B$23,2,0),"")</f>
        <v>-</v>
      </c>
      <c r="IT15" s="49" t="s">
        <v>58</v>
      </c>
      <c r="IU15" s="50" t="s">
        <v>58</v>
      </c>
      <c r="IV15" s="45" t="str">
        <f>IF(IU15&lt;&gt;"",VLOOKUP(IU15,'TABEL KONVERSI'!$A$19:$B$23,2,0),"")</f>
        <v>-</v>
      </c>
      <c r="IW15" s="48" t="s">
        <v>58</v>
      </c>
      <c r="IX15" s="48" t="s">
        <v>58</v>
      </c>
      <c r="IY15" s="48" t="s">
        <v>58</v>
      </c>
      <c r="IZ15" s="47" t="s">
        <v>58</v>
      </c>
      <c r="JA15" s="45">
        <f t="shared" si="32"/>
        <v>0</v>
      </c>
      <c r="JB15" s="45">
        <f t="shared" si="33"/>
        <v>1</v>
      </c>
    </row>
    <row r="16" spans="1:262" x14ac:dyDescent="0.25">
      <c r="A16" s="33">
        <v>4</v>
      </c>
      <c r="B16" s="51"/>
      <c r="C16" s="51"/>
      <c r="D16" s="77"/>
      <c r="E16" s="52"/>
      <c r="F16" s="42"/>
      <c r="G16" s="37"/>
      <c r="H16" s="73"/>
      <c r="I16" s="73"/>
      <c r="J16" s="38" t="str">
        <f t="shared" si="34"/>
        <v/>
      </c>
      <c r="K16" s="38" t="str">
        <f t="shared" si="35"/>
        <v/>
      </c>
      <c r="L16" s="38" t="str">
        <f>IF(J16&lt;&gt;"",IF(AND(J16&gt;='TABEL KONVERSI'!$B$3,'ENTRY DATA'!J16&lt;='TABEL KONVERSI'!$C$3),1,IF(AND(J16&gt;='TABEL KONVERSI'!$B$4,'ENTRY DATA'!J16&lt;='TABEL KONVERSI'!$C$4),2,IF(AND(J16&gt;='TABEL KONVERSI'!$B$5,'ENTRY DATA'!J16&lt;='TABEL KONVERSI'!$C$5),3,IF(AND(J16&gt;='TABEL KONVERSI'!$B$6,'ENTRY DATA'!J16&lt;='TABEL KONVERSI'!$C$6),4,"")))),"-")</f>
        <v>-</v>
      </c>
      <c r="M16" s="38" t="str">
        <f>IF(K16&lt;&gt;"",IF(AND(K16&gt;='TABEL KONVERSI'!$B$3,'ENTRY DATA'!K16&lt;='TABEL KONVERSI'!$C$3),1,IF(AND(K16&gt;='TABEL KONVERSI'!$B$4,'ENTRY DATA'!K16&lt;='TABEL KONVERSI'!$C$4),2,IF(AND(K16&gt;='TABEL KONVERSI'!$B$5,'ENTRY DATA'!K16&lt;='TABEL KONVERSI'!$C$5),3,IF(AND(K16&gt;='TABEL KONVERSI'!$B$6,'ENTRY DATA'!K16&lt;='TABEL KONVERSI'!$C$6),4,"")))),"-")</f>
        <v>-</v>
      </c>
      <c r="N16" s="38" t="str">
        <f t="shared" si="36"/>
        <v>-</v>
      </c>
      <c r="O16" s="38" t="str">
        <f>VLOOKUP(L16,'TABEL KONVERSI'!$A$3:$D$7,4)</f>
        <v>-</v>
      </c>
      <c r="P16" s="38" t="str">
        <f t="shared" si="37"/>
        <v>-</v>
      </c>
      <c r="Q16" s="38" t="str">
        <f>VLOOKUP(M16,'TABEL KONVERSI'!$A$3:$D$7,4)</f>
        <v>-</v>
      </c>
      <c r="R16" s="42"/>
      <c r="S16" s="37"/>
      <c r="T16" s="73"/>
      <c r="U16" s="73"/>
      <c r="V16" s="38" t="str">
        <f t="shared" si="38"/>
        <v/>
      </c>
      <c r="W16" s="38" t="str">
        <f t="shared" si="39"/>
        <v/>
      </c>
      <c r="X16" s="38" t="str">
        <f>IF(V16&lt;&gt;"",IF(AND(V16&gt;='TABEL KONVERSI'!$B$3,'ENTRY DATA'!V16&lt;='TABEL KONVERSI'!$C$3),1,IF(AND(V16&gt;='TABEL KONVERSI'!$B$4,'ENTRY DATA'!V16&lt;='TABEL KONVERSI'!$C$4),2,IF(AND(V16&gt;='TABEL KONVERSI'!$B$5,'ENTRY DATA'!V16&lt;='TABEL KONVERSI'!$C$5),3,IF(AND(V16&gt;='TABEL KONVERSI'!$B$6,'ENTRY DATA'!V16&lt;='TABEL KONVERSI'!$C$6),4,"")))),"-")</f>
        <v>-</v>
      </c>
      <c r="Y16" s="38" t="str">
        <f>IF(W16&lt;&gt;"",IF(AND(W16&gt;='TABEL KONVERSI'!$B$3,'ENTRY DATA'!W16&lt;='TABEL KONVERSI'!$C$3),1,IF(AND(W16&gt;='TABEL KONVERSI'!$B$4,'ENTRY DATA'!W16&lt;='TABEL KONVERSI'!$C$4),2,IF(AND(W16&gt;='TABEL KONVERSI'!$B$5,'ENTRY DATA'!W16&lt;='TABEL KONVERSI'!$C$5),3,IF(AND(W16&gt;='TABEL KONVERSI'!$B$6,'ENTRY DATA'!W16&lt;='TABEL KONVERSI'!$C$6),4,"")))),"-")</f>
        <v>-</v>
      </c>
      <c r="Z16" s="38" t="str">
        <f t="shared" si="40"/>
        <v>-</v>
      </c>
      <c r="AA16" s="38" t="str">
        <f>VLOOKUP(X16,'TABEL KONVERSI'!$A$3:$D$7,4)</f>
        <v>-</v>
      </c>
      <c r="AB16" s="38" t="str">
        <f t="shared" si="41"/>
        <v>-</v>
      </c>
      <c r="AC16" s="38" t="str">
        <f>VLOOKUP(Y16,'TABEL KONVERSI'!$A$3:$D$7,4)</f>
        <v>-</v>
      </c>
      <c r="AD16" s="42"/>
      <c r="AE16" s="37"/>
      <c r="AF16" s="73"/>
      <c r="AG16" s="73"/>
      <c r="AH16" s="38" t="str">
        <f t="shared" si="42"/>
        <v/>
      </c>
      <c r="AI16" s="38" t="str">
        <f t="shared" si="43"/>
        <v/>
      </c>
      <c r="AJ16" s="38" t="str">
        <f>IF(AH16&lt;&gt;"",IF(AND(AH16&gt;='TABEL KONVERSI'!$B$3,'ENTRY DATA'!AH16&lt;='TABEL KONVERSI'!$C$3),1,IF(AND(AH16&gt;='TABEL KONVERSI'!$B$4,'ENTRY DATA'!AH16&lt;='TABEL KONVERSI'!$C$4),2,IF(AND(AH16&gt;='TABEL KONVERSI'!$B$5,'ENTRY DATA'!AH16&lt;='TABEL KONVERSI'!$C$5),3,IF(AND(AH16&gt;='TABEL KONVERSI'!$B$6,'ENTRY DATA'!AH16&lt;='TABEL KONVERSI'!$C$6),4,"")))),"-")</f>
        <v>-</v>
      </c>
      <c r="AK16" s="38" t="str">
        <f>IF(AI16&lt;&gt;"",IF(AND(AI16&gt;='TABEL KONVERSI'!$B$3,'ENTRY DATA'!AI16&lt;='TABEL KONVERSI'!$C$3),1,IF(AND(AI16&gt;='TABEL KONVERSI'!$B$4,'ENTRY DATA'!AI16&lt;='TABEL KONVERSI'!$C$4),2,IF(AND(AI16&gt;='TABEL KONVERSI'!$B$5,'ENTRY DATA'!AI16&lt;='TABEL KONVERSI'!$C$5),3,IF(AND(AI16&gt;='TABEL KONVERSI'!$B$6,'ENTRY DATA'!AI16&lt;='TABEL KONVERSI'!$C$6),4,"")))),"-")</f>
        <v>-</v>
      </c>
      <c r="AL16" s="38" t="str">
        <f t="shared" si="44"/>
        <v>-</v>
      </c>
      <c r="AM16" s="38" t="str">
        <f>VLOOKUP(AJ16,'TABEL KONVERSI'!$A$3:$D$7,4)</f>
        <v>-</v>
      </c>
      <c r="AN16" s="38" t="str">
        <f t="shared" si="45"/>
        <v>-</v>
      </c>
      <c r="AO16" s="38" t="str">
        <f>VLOOKUP(AK16,'TABEL KONVERSI'!$A$3:$D$7,4)</f>
        <v>-</v>
      </c>
      <c r="AP16" s="42"/>
      <c r="AQ16" s="37"/>
      <c r="AR16" s="73"/>
      <c r="AS16" s="73"/>
      <c r="AT16" s="38" t="str">
        <f t="shared" si="46"/>
        <v/>
      </c>
      <c r="AU16" s="38" t="str">
        <f t="shared" si="47"/>
        <v/>
      </c>
      <c r="AV16" s="38" t="str">
        <f>IF(AT16&lt;&gt;"",IF(AND(AT16&gt;='TABEL KONVERSI'!$B$3,'ENTRY DATA'!AT16&lt;='TABEL KONVERSI'!$C$3),1,IF(AND(AT16&gt;='TABEL KONVERSI'!$B$4,'ENTRY DATA'!AT16&lt;='TABEL KONVERSI'!$C$4),2,IF(AND(AT16&gt;='TABEL KONVERSI'!$B$5,'ENTRY DATA'!AT16&lt;='TABEL KONVERSI'!$C$5),3,IF(AND(AT16&gt;='TABEL KONVERSI'!$B$6,'ENTRY DATA'!AT16&lt;='TABEL KONVERSI'!$C$6),4,"")))),"-")</f>
        <v>-</v>
      </c>
      <c r="AW16" s="38" t="str">
        <f>IF(AU16&lt;&gt;"",IF(AND(AU16&gt;='TABEL KONVERSI'!$B$3,'ENTRY DATA'!AU16&lt;='TABEL KONVERSI'!$C$3),1,IF(AND(AU16&gt;='TABEL KONVERSI'!$B$4,'ENTRY DATA'!AU16&lt;='TABEL KONVERSI'!$C$4),2,IF(AND(AU16&gt;='TABEL KONVERSI'!$B$5,'ENTRY DATA'!AU16&lt;='TABEL KONVERSI'!$C$5),3,IF(AND(AU16&gt;='TABEL KONVERSI'!$B$6,'ENTRY DATA'!AU16&lt;='TABEL KONVERSI'!$C$6),4,"")))),"-")</f>
        <v>-</v>
      </c>
      <c r="AX16" s="38" t="str">
        <f t="shared" si="48"/>
        <v>-</v>
      </c>
      <c r="AY16" s="38" t="str">
        <f>VLOOKUP(AV16,'TABEL KONVERSI'!$A$3:$D$7,4)</f>
        <v>-</v>
      </c>
      <c r="AZ16" s="38" t="str">
        <f t="shared" si="49"/>
        <v>-</v>
      </c>
      <c r="BA16" s="38" t="str">
        <f>VLOOKUP(AW16,'TABEL KONVERSI'!$A$3:$D$7,4)</f>
        <v>-</v>
      </c>
      <c r="BB16" s="42"/>
      <c r="BC16" s="37"/>
      <c r="BD16" s="73"/>
      <c r="BE16" s="73"/>
      <c r="BF16" s="38" t="str">
        <f t="shared" si="50"/>
        <v/>
      </c>
      <c r="BG16" s="38" t="str">
        <f t="shared" si="51"/>
        <v/>
      </c>
      <c r="BH16" s="38" t="str">
        <f>IF(BF16&lt;&gt;"",IF(AND(BF16&gt;='TABEL KONVERSI'!$B$3,'ENTRY DATA'!BF16&lt;='TABEL KONVERSI'!$C$3),1,IF(AND(BF16&gt;='TABEL KONVERSI'!$B$4,'ENTRY DATA'!BF16&lt;='TABEL KONVERSI'!$C$4),2,IF(AND(BF16&gt;='TABEL KONVERSI'!$B$5,'ENTRY DATA'!BF16&lt;='TABEL KONVERSI'!$C$5),3,IF(AND(BF16&gt;='TABEL KONVERSI'!$B$6,'ENTRY DATA'!BF16&lt;='TABEL KONVERSI'!$C$6),4,"")))),"-")</f>
        <v>-</v>
      </c>
      <c r="BI16" s="38" t="str">
        <f>IF(BG16&lt;&gt;"",IF(AND(BG16&gt;='TABEL KONVERSI'!$B$3,'ENTRY DATA'!BG16&lt;='TABEL KONVERSI'!$C$3),1,IF(AND(BG16&gt;='TABEL KONVERSI'!$B$4,'ENTRY DATA'!BG16&lt;='TABEL KONVERSI'!$C$4),2,IF(AND(BG16&gt;='TABEL KONVERSI'!$B$5,'ENTRY DATA'!BG16&lt;='TABEL KONVERSI'!$C$5),3,IF(AND(BG16&gt;='TABEL KONVERSI'!$B$6,'ENTRY DATA'!BG16&lt;='TABEL KONVERSI'!$C$6),4,"")))),"-")</f>
        <v>-</v>
      </c>
      <c r="BJ16" s="38" t="str">
        <f t="shared" si="52"/>
        <v>-</v>
      </c>
      <c r="BK16" s="38" t="str">
        <f>VLOOKUP(BH16,'TABEL KONVERSI'!$A$3:$D$7,4)</f>
        <v>-</v>
      </c>
      <c r="BL16" s="38" t="str">
        <f t="shared" si="53"/>
        <v>-</v>
      </c>
      <c r="BM16" s="38" t="str">
        <f>VLOOKUP(BI16,'TABEL KONVERSI'!$A$3:$D$7,4)</f>
        <v>-</v>
      </c>
      <c r="BN16" s="42"/>
      <c r="BO16" s="37"/>
      <c r="BP16" s="73"/>
      <c r="BQ16" s="73"/>
      <c r="BR16" s="38" t="str">
        <f t="shared" si="54"/>
        <v/>
      </c>
      <c r="BS16" s="38" t="str">
        <f t="shared" si="55"/>
        <v/>
      </c>
      <c r="BT16" s="38" t="str">
        <f>IF(BR16&lt;&gt;"",IF(AND(BR16&gt;='TABEL KONVERSI'!$B$3,'ENTRY DATA'!BR16&lt;='TABEL KONVERSI'!$C$3),1,IF(AND(BR16&gt;='TABEL KONVERSI'!$B$4,'ENTRY DATA'!BR16&lt;='TABEL KONVERSI'!$C$4),2,IF(AND(BR16&gt;='TABEL KONVERSI'!$B$5,'ENTRY DATA'!BR16&lt;='TABEL KONVERSI'!$C$5),3,IF(AND(BR16&gt;='TABEL KONVERSI'!$B$6,'ENTRY DATA'!BR16&lt;='TABEL KONVERSI'!$C$6),4,"")))),"-")</f>
        <v>-</v>
      </c>
      <c r="BU16" s="38" t="str">
        <f>IF(BS16&lt;&gt;"",IF(AND(BS16&gt;='TABEL KONVERSI'!$B$3,'ENTRY DATA'!BS16&lt;='TABEL KONVERSI'!$C$3),1,IF(AND(BS16&gt;='TABEL KONVERSI'!$B$4,'ENTRY DATA'!BS16&lt;='TABEL KONVERSI'!$C$4),2,IF(AND(BS16&gt;='TABEL KONVERSI'!$B$5,'ENTRY DATA'!BS16&lt;='TABEL KONVERSI'!$C$5),3,IF(AND(BS16&gt;='TABEL KONVERSI'!$B$6,'ENTRY DATA'!BS16&lt;='TABEL KONVERSI'!$C$6),4,"")))),"-")</f>
        <v>-</v>
      </c>
      <c r="BV16" s="38" t="str">
        <f t="shared" si="56"/>
        <v>-</v>
      </c>
      <c r="BW16" s="38" t="str">
        <f>VLOOKUP(BT16,'TABEL KONVERSI'!$A$3:$D$7,4)</f>
        <v>-</v>
      </c>
      <c r="BX16" s="38" t="str">
        <f t="shared" si="57"/>
        <v>-</v>
      </c>
      <c r="BY16" s="38" t="str">
        <f>VLOOKUP(BU16,'TABEL KONVERSI'!$A$3:$D$7,4)</f>
        <v>-</v>
      </c>
      <c r="BZ16" s="42"/>
      <c r="CA16" s="37"/>
      <c r="CB16" s="73"/>
      <c r="CC16" s="73"/>
      <c r="CD16" s="38" t="str">
        <f t="shared" si="58"/>
        <v/>
      </c>
      <c r="CE16" s="38" t="str">
        <f t="shared" si="59"/>
        <v/>
      </c>
      <c r="CF16" s="38" t="str">
        <f>IF(CD16&lt;&gt;"",IF(AND(CD16&gt;='TABEL KONVERSI'!$B$3,'ENTRY DATA'!CD16&lt;='TABEL KONVERSI'!$C$3),1,IF(AND(CD16&gt;='TABEL KONVERSI'!$B$4,'ENTRY DATA'!CD16&lt;='TABEL KONVERSI'!$C$4),2,IF(AND(CD16&gt;='TABEL KONVERSI'!$B$5,'ENTRY DATA'!CD16&lt;='TABEL KONVERSI'!$C$5),3,IF(AND(CD16&gt;='TABEL KONVERSI'!$B$6,'ENTRY DATA'!CD16&lt;='TABEL KONVERSI'!$C$6),4,"")))),"-")</f>
        <v>-</v>
      </c>
      <c r="CG16" s="38" t="str">
        <f>IF(CE16&lt;&gt;"",IF(AND(CE16&gt;='TABEL KONVERSI'!$B$3,'ENTRY DATA'!CE16&lt;='TABEL KONVERSI'!$C$3),1,IF(AND(CE16&gt;='TABEL KONVERSI'!$B$4,'ENTRY DATA'!CE16&lt;='TABEL KONVERSI'!$C$4),2,IF(AND(CE16&gt;='TABEL KONVERSI'!$B$5,'ENTRY DATA'!CE16&lt;='TABEL KONVERSI'!$C$5),3,IF(AND(CE16&gt;='TABEL KONVERSI'!$B$6,'ENTRY DATA'!CE16&lt;='TABEL KONVERSI'!$C$6),4,"")))),"-")</f>
        <v>-</v>
      </c>
      <c r="CH16" s="38" t="str">
        <f t="shared" si="60"/>
        <v>-</v>
      </c>
      <c r="CI16" s="38" t="str">
        <f>VLOOKUP(CF16,'TABEL KONVERSI'!$A$3:$D$7,4)</f>
        <v>-</v>
      </c>
      <c r="CJ16" s="38" t="str">
        <f t="shared" si="61"/>
        <v>-</v>
      </c>
      <c r="CK16" s="38" t="str">
        <f>VLOOKUP(CG16,'TABEL KONVERSI'!$A$3:$D$7,4)</f>
        <v>-</v>
      </c>
      <c r="CL16" s="42"/>
      <c r="CM16" s="37"/>
      <c r="CN16" s="73"/>
      <c r="CO16" s="73"/>
      <c r="CP16" s="38" t="str">
        <f t="shared" si="62"/>
        <v/>
      </c>
      <c r="CQ16" s="38" t="str">
        <f t="shared" si="63"/>
        <v/>
      </c>
      <c r="CR16" s="38" t="str">
        <f>IF(CP16&lt;&gt;"",IF(AND(CP16&gt;='TABEL KONVERSI'!$B$3,'ENTRY DATA'!CP16&lt;='TABEL KONVERSI'!$C$3),1,IF(AND(CP16&gt;='TABEL KONVERSI'!$B$4,'ENTRY DATA'!CP16&lt;='TABEL KONVERSI'!$C$4),2,IF(AND(CP16&gt;='TABEL KONVERSI'!$B$5,'ENTRY DATA'!CP16&lt;='TABEL KONVERSI'!$C$5),3,IF(AND(CP16&gt;='TABEL KONVERSI'!$B$6,'ENTRY DATA'!CP16&lt;='TABEL KONVERSI'!$C$6),4,"")))),"-")</f>
        <v>-</v>
      </c>
      <c r="CS16" s="38" t="str">
        <f>IF(CQ16&lt;&gt;"",IF(AND(CQ16&gt;='TABEL KONVERSI'!$B$3,'ENTRY DATA'!CQ16&lt;='TABEL KONVERSI'!$C$3),1,IF(AND(CQ16&gt;='TABEL KONVERSI'!$B$4,'ENTRY DATA'!CQ16&lt;='TABEL KONVERSI'!$C$4),2,IF(AND(CQ16&gt;='TABEL KONVERSI'!$B$5,'ENTRY DATA'!CQ16&lt;='TABEL KONVERSI'!$C$5),3,IF(AND(CQ16&gt;='TABEL KONVERSI'!$B$6,'ENTRY DATA'!CQ16&lt;='TABEL KONVERSI'!$C$6),4,"")))),"-")</f>
        <v>-</v>
      </c>
      <c r="CT16" s="38" t="str">
        <f t="shared" si="64"/>
        <v>-</v>
      </c>
      <c r="CU16" s="38" t="str">
        <f>VLOOKUP(CR16,'TABEL KONVERSI'!$A$3:$D$7,4)</f>
        <v>-</v>
      </c>
      <c r="CV16" s="38" t="str">
        <f t="shared" si="65"/>
        <v>-</v>
      </c>
      <c r="CW16" s="38" t="str">
        <f>VLOOKUP(CS16,'TABEL KONVERSI'!$A$3:$D$7,4)</f>
        <v>-</v>
      </c>
      <c r="CX16" s="42"/>
      <c r="CY16" s="37"/>
      <c r="CZ16" s="73"/>
      <c r="DA16" s="73"/>
      <c r="DB16" s="38" t="str">
        <f t="shared" si="66"/>
        <v/>
      </c>
      <c r="DC16" s="38" t="str">
        <f t="shared" si="67"/>
        <v/>
      </c>
      <c r="DD16" s="38" t="str">
        <f>IF(DB16&lt;&gt;"",IF(AND(DB16&gt;='TABEL KONVERSI'!$B$3,'ENTRY DATA'!DB16&lt;='TABEL KONVERSI'!$C$3),1,IF(AND(DB16&gt;='TABEL KONVERSI'!$B$4,'ENTRY DATA'!DB16&lt;='TABEL KONVERSI'!$C$4),2,IF(AND(DB16&gt;='TABEL KONVERSI'!$B$5,'ENTRY DATA'!DB16&lt;='TABEL KONVERSI'!$C$5),3,IF(AND(DB16&gt;='TABEL KONVERSI'!$B$6,'ENTRY DATA'!DB16&lt;='TABEL KONVERSI'!$C$6),4,"")))),"-")</f>
        <v>-</v>
      </c>
      <c r="DE16" s="38" t="str">
        <f>IF(DC16&lt;&gt;"",IF(AND(DC16&gt;='TABEL KONVERSI'!$B$3,'ENTRY DATA'!DC16&lt;='TABEL KONVERSI'!$C$3),1,IF(AND(DC16&gt;='TABEL KONVERSI'!$B$4,'ENTRY DATA'!DC16&lt;='TABEL KONVERSI'!$C$4),2,IF(AND(DC16&gt;='TABEL KONVERSI'!$B$5,'ENTRY DATA'!DC16&lt;='TABEL KONVERSI'!$C$5),3,IF(AND(DC16&gt;='TABEL KONVERSI'!$B$6,'ENTRY DATA'!DC16&lt;='TABEL KONVERSI'!$C$6),4,"")))),"-")</f>
        <v>-</v>
      </c>
      <c r="DF16" s="38" t="str">
        <f t="shared" si="68"/>
        <v>-</v>
      </c>
      <c r="DG16" s="38" t="str">
        <f>VLOOKUP(DD16,'TABEL KONVERSI'!$A$3:$D$7,4)</f>
        <v>-</v>
      </c>
      <c r="DH16" s="38" t="str">
        <f t="shared" si="69"/>
        <v>-</v>
      </c>
      <c r="DI16" s="38" t="str">
        <f>VLOOKUP(DE16,'TABEL KONVERSI'!$A$3:$D$7,4)</f>
        <v>-</v>
      </c>
      <c r="DJ16" s="42"/>
      <c r="DK16" s="37"/>
      <c r="DL16" s="73"/>
      <c r="DM16" s="73"/>
      <c r="DN16" s="38" t="str">
        <f t="shared" si="70"/>
        <v/>
      </c>
      <c r="DO16" s="38" t="str">
        <f t="shared" si="71"/>
        <v/>
      </c>
      <c r="DP16" s="38" t="str">
        <f>IF(DN16&lt;&gt;"",IF(AND(DN16&gt;='TABEL KONVERSI'!$B$3,'ENTRY DATA'!DN16&lt;='TABEL KONVERSI'!$C$3),1,IF(AND(DN16&gt;='TABEL KONVERSI'!$B$4,'ENTRY DATA'!DN16&lt;='TABEL KONVERSI'!$C$4),2,IF(AND(DN16&gt;='TABEL KONVERSI'!$B$5,'ENTRY DATA'!DN16&lt;='TABEL KONVERSI'!$C$5),3,IF(AND(DN16&gt;='TABEL KONVERSI'!$B$6,'ENTRY DATA'!DN16&lt;='TABEL KONVERSI'!$C$6),4,"")))),"-")</f>
        <v>-</v>
      </c>
      <c r="DQ16" s="38" t="str">
        <f>IF(DO16&lt;&gt;"",IF(AND(DO16&gt;='TABEL KONVERSI'!$B$3,'ENTRY DATA'!DO16&lt;='TABEL KONVERSI'!$C$3),1,IF(AND(DO16&gt;='TABEL KONVERSI'!$B$4,'ENTRY DATA'!DO16&lt;='TABEL KONVERSI'!$C$4),2,IF(AND(DO16&gt;='TABEL KONVERSI'!$B$5,'ENTRY DATA'!DO16&lt;='TABEL KONVERSI'!$C$5),3,IF(AND(DO16&gt;='TABEL KONVERSI'!$B$6,'ENTRY DATA'!DO16&lt;='TABEL KONVERSI'!$C$6),4,"")))),"-")</f>
        <v>-</v>
      </c>
      <c r="DR16" s="38" t="str">
        <f t="shared" si="72"/>
        <v>-</v>
      </c>
      <c r="DS16" s="38" t="str">
        <f>VLOOKUP(DP16,'TABEL KONVERSI'!$A$3:$D$7,4)</f>
        <v>-</v>
      </c>
      <c r="DT16" s="38" t="str">
        <f t="shared" si="73"/>
        <v>-</v>
      </c>
      <c r="DU16" s="38" t="str">
        <f>VLOOKUP(DQ16,'TABEL KONVERSI'!$A$3:$D$7,4)</f>
        <v>-</v>
      </c>
      <c r="DV16" s="42"/>
      <c r="DW16" s="37"/>
      <c r="DX16" s="73"/>
      <c r="DY16" s="73"/>
      <c r="DZ16" s="38" t="str">
        <f t="shared" si="74"/>
        <v/>
      </c>
      <c r="EA16" s="38" t="str">
        <f t="shared" si="75"/>
        <v/>
      </c>
      <c r="EB16" s="38" t="str">
        <f>IF(DZ16&lt;&gt;"",IF(AND(DZ16&gt;='TABEL KONVERSI'!$B$3,'ENTRY DATA'!DZ16&lt;='TABEL KONVERSI'!$C$3),1,IF(AND(DZ16&gt;='TABEL KONVERSI'!$B$4,'ENTRY DATA'!DZ16&lt;='TABEL KONVERSI'!$C$4),2,IF(AND(DZ16&gt;='TABEL KONVERSI'!$B$5,'ENTRY DATA'!DZ16&lt;='TABEL KONVERSI'!$C$5),3,IF(AND(DZ16&gt;='TABEL KONVERSI'!$B$6,'ENTRY DATA'!DZ16&lt;='TABEL KONVERSI'!$C$6),4,"")))),"-")</f>
        <v>-</v>
      </c>
      <c r="EC16" s="38" t="str">
        <f>IF(EA16&lt;&gt;"",IF(AND(EA16&gt;='TABEL KONVERSI'!$B$3,'ENTRY DATA'!EA16&lt;='TABEL KONVERSI'!$C$3),1,IF(AND(EA16&gt;='TABEL KONVERSI'!$B$4,'ENTRY DATA'!EA16&lt;='TABEL KONVERSI'!$C$4),2,IF(AND(EA16&gt;='TABEL KONVERSI'!$B$5,'ENTRY DATA'!EA16&lt;='TABEL KONVERSI'!$C$5),3,IF(AND(EA16&gt;='TABEL KONVERSI'!$B$6,'ENTRY DATA'!EA16&lt;='TABEL KONVERSI'!$C$6),4,"")))),"-")</f>
        <v>-</v>
      </c>
      <c r="ED16" s="38" t="str">
        <f t="shared" si="76"/>
        <v>-</v>
      </c>
      <c r="EE16" s="38" t="str">
        <f>VLOOKUP(EB16,'TABEL KONVERSI'!$A$3:$D$7,4)</f>
        <v>-</v>
      </c>
      <c r="EF16" s="38" t="str">
        <f t="shared" si="77"/>
        <v>-</v>
      </c>
      <c r="EG16" s="38" t="str">
        <f>VLOOKUP(EC16,'TABEL KONVERSI'!$A$3:$D$7,4)</f>
        <v>-</v>
      </c>
      <c r="EH16" s="42"/>
      <c r="EI16" s="37"/>
      <c r="EJ16" s="73"/>
      <c r="EK16" s="73"/>
      <c r="EL16" s="38" t="str">
        <f t="shared" si="78"/>
        <v/>
      </c>
      <c r="EM16" s="38" t="str">
        <f t="shared" si="79"/>
        <v/>
      </c>
      <c r="EN16" s="38" t="str">
        <f>IF(EL16&lt;&gt;"",IF(AND(EL16&gt;='TABEL KONVERSI'!$B$3,'ENTRY DATA'!EL16&lt;='TABEL KONVERSI'!$C$3),1,IF(AND(EL16&gt;='TABEL KONVERSI'!$B$4,'ENTRY DATA'!EL16&lt;='TABEL KONVERSI'!$C$4),2,IF(AND(EL16&gt;='TABEL KONVERSI'!$B$5,'ENTRY DATA'!EL16&lt;='TABEL KONVERSI'!$C$5),3,IF(AND(EL16&gt;='TABEL KONVERSI'!$B$6,'ENTRY DATA'!EL16&lt;='TABEL KONVERSI'!$C$6),4,"")))),"-")</f>
        <v>-</v>
      </c>
      <c r="EO16" s="38" t="str">
        <f>IF(EM16&lt;&gt;"",IF(AND(EM16&gt;='TABEL KONVERSI'!$B$3,'ENTRY DATA'!EM16&lt;='TABEL KONVERSI'!$C$3),1,IF(AND(EM16&gt;='TABEL KONVERSI'!$B$4,'ENTRY DATA'!EM16&lt;='TABEL KONVERSI'!$C$4),2,IF(AND(EM16&gt;='TABEL KONVERSI'!$B$5,'ENTRY DATA'!EM16&lt;='TABEL KONVERSI'!$C$5),3,IF(AND(EM16&gt;='TABEL KONVERSI'!$B$6,'ENTRY DATA'!EM16&lt;='TABEL KONVERSI'!$C$6),4,"")))),"-")</f>
        <v>-</v>
      </c>
      <c r="EP16" s="38" t="str">
        <f t="shared" si="80"/>
        <v>-</v>
      </c>
      <c r="EQ16" s="38" t="str">
        <f>VLOOKUP(EN16,'TABEL KONVERSI'!$A$3:$D$7,4)</f>
        <v>-</v>
      </c>
      <c r="ER16" s="38" t="str">
        <f t="shared" si="81"/>
        <v>-</v>
      </c>
      <c r="ES16" s="38" t="str">
        <f>VLOOKUP(EO16,'TABEL KONVERSI'!$A$3:$D$7,4)</f>
        <v>-</v>
      </c>
      <c r="ET16" s="42"/>
      <c r="EU16" s="37"/>
      <c r="EV16" s="73"/>
      <c r="EW16" s="73"/>
      <c r="EX16" s="38" t="str">
        <f t="shared" si="82"/>
        <v/>
      </c>
      <c r="EY16" s="38" t="str">
        <f t="shared" si="83"/>
        <v/>
      </c>
      <c r="EZ16" s="38" t="str">
        <f>IF(EX16&lt;&gt;"",IF(AND(EX16&gt;='TABEL KONVERSI'!$B$3,'ENTRY DATA'!EX16&lt;='TABEL KONVERSI'!$C$3),1,IF(AND(EX16&gt;='TABEL KONVERSI'!$B$4,'ENTRY DATA'!EX16&lt;='TABEL KONVERSI'!$C$4),2,IF(AND(EX16&gt;='TABEL KONVERSI'!$B$5,'ENTRY DATA'!EX16&lt;='TABEL KONVERSI'!$C$5),3,IF(AND(EX16&gt;='TABEL KONVERSI'!$B$6,'ENTRY DATA'!EX16&lt;='TABEL KONVERSI'!$C$6),4,"")))),"-")</f>
        <v>-</v>
      </c>
      <c r="FA16" s="38" t="str">
        <f>IF(EY16&lt;&gt;"",IF(AND(EY16&gt;='TABEL KONVERSI'!$B$3,'ENTRY DATA'!EY16&lt;='TABEL KONVERSI'!$C$3),1,IF(AND(EY16&gt;='TABEL KONVERSI'!$B$4,'ENTRY DATA'!EY16&lt;='TABEL KONVERSI'!$C$4),2,IF(AND(EY16&gt;='TABEL KONVERSI'!$B$5,'ENTRY DATA'!EY16&lt;='TABEL KONVERSI'!$C$5),3,IF(AND(EY16&gt;='TABEL KONVERSI'!$B$6,'ENTRY DATA'!EY16&lt;='TABEL KONVERSI'!$C$6),4,"")))),"-")</f>
        <v>-</v>
      </c>
      <c r="FB16" s="38" t="str">
        <f t="shared" si="84"/>
        <v>-</v>
      </c>
      <c r="FC16" s="38" t="str">
        <f>VLOOKUP(EZ16,'TABEL KONVERSI'!$A$3:$D$7,4)</f>
        <v>-</v>
      </c>
      <c r="FD16" s="38" t="str">
        <f t="shared" si="85"/>
        <v>-</v>
      </c>
      <c r="FE16" s="38" t="str">
        <f>VLOOKUP(FA16,'TABEL KONVERSI'!$A$3:$D$7,4)</f>
        <v>-</v>
      </c>
      <c r="FF16" s="42"/>
      <c r="FG16" s="37"/>
      <c r="FH16" s="73"/>
      <c r="FI16" s="73"/>
      <c r="FJ16" s="38" t="str">
        <f t="shared" si="86"/>
        <v/>
      </c>
      <c r="FK16" s="38" t="str">
        <f t="shared" si="87"/>
        <v/>
      </c>
      <c r="FL16" s="38" t="str">
        <f>IF(FJ16&lt;&gt;"",IF(AND(FJ16&gt;='TABEL KONVERSI'!$B$3,'ENTRY DATA'!FJ16&lt;='TABEL KONVERSI'!$C$3),1,IF(AND(FJ16&gt;='TABEL KONVERSI'!$B$4,'ENTRY DATA'!FJ16&lt;='TABEL KONVERSI'!$C$4),2,IF(AND(FJ16&gt;='TABEL KONVERSI'!$B$5,'ENTRY DATA'!FJ16&lt;='TABEL KONVERSI'!$C$5),3,IF(AND(FJ16&gt;='TABEL KONVERSI'!$B$6,'ENTRY DATA'!FJ16&lt;='TABEL KONVERSI'!$C$6),4,"")))),"-")</f>
        <v>-</v>
      </c>
      <c r="FM16" s="38" t="str">
        <f>IF(FK16&lt;&gt;"",IF(AND(FK16&gt;='TABEL KONVERSI'!$B$3,'ENTRY DATA'!FK16&lt;='TABEL KONVERSI'!$C$3),1,IF(AND(FK16&gt;='TABEL KONVERSI'!$B$4,'ENTRY DATA'!FK16&lt;='TABEL KONVERSI'!$C$4),2,IF(AND(FK16&gt;='TABEL KONVERSI'!$B$5,'ENTRY DATA'!FK16&lt;='TABEL KONVERSI'!$C$5),3,IF(AND(FK16&gt;='TABEL KONVERSI'!$B$6,'ENTRY DATA'!FK16&lt;='TABEL KONVERSI'!$C$6),4,"")))),"-")</f>
        <v>-</v>
      </c>
      <c r="FN16" s="38" t="str">
        <f t="shared" si="88"/>
        <v>-</v>
      </c>
      <c r="FO16" s="38" t="str">
        <f>VLOOKUP(FL16,'TABEL KONVERSI'!$A$3:$D$7,4)</f>
        <v>-</v>
      </c>
      <c r="FP16" s="38" t="str">
        <f t="shared" si="89"/>
        <v>-</v>
      </c>
      <c r="FQ16" s="38" t="str">
        <f>VLOOKUP(FM16,'TABEL KONVERSI'!$A$3:$D$7,4)</f>
        <v>-</v>
      </c>
      <c r="FR16" s="42"/>
      <c r="FS16" s="37"/>
      <c r="FT16" s="73"/>
      <c r="FU16" s="73"/>
      <c r="FV16" s="38" t="str">
        <f t="shared" si="90"/>
        <v/>
      </c>
      <c r="FW16" s="38" t="str">
        <f t="shared" si="91"/>
        <v/>
      </c>
      <c r="FX16" s="38" t="str">
        <f>IF(FV16&lt;&gt;"",IF(AND(FV16&gt;='TABEL KONVERSI'!$B$3,'ENTRY DATA'!FV16&lt;='TABEL KONVERSI'!$C$3),1,IF(AND(FV16&gt;='TABEL KONVERSI'!$B$4,'ENTRY DATA'!FV16&lt;='TABEL KONVERSI'!$C$4),2,IF(AND(FV16&gt;='TABEL KONVERSI'!$B$5,'ENTRY DATA'!FV16&lt;='TABEL KONVERSI'!$C$5),3,IF(AND(FV16&gt;='TABEL KONVERSI'!$B$6,'ENTRY DATA'!FV16&lt;='TABEL KONVERSI'!$C$6),4,"")))),"-")</f>
        <v>-</v>
      </c>
      <c r="FY16" s="38" t="str">
        <f>IF(FW16&lt;&gt;"",IF(AND(FW16&gt;='TABEL KONVERSI'!$B$3,'ENTRY DATA'!FW16&lt;='TABEL KONVERSI'!$C$3),1,IF(AND(FW16&gt;='TABEL KONVERSI'!$B$4,'ENTRY DATA'!FW16&lt;='TABEL KONVERSI'!$C$4),2,IF(AND(FW16&gt;='TABEL KONVERSI'!$B$5,'ENTRY DATA'!FW16&lt;='TABEL KONVERSI'!$C$5),3,IF(AND(FW16&gt;='TABEL KONVERSI'!$B$6,'ENTRY DATA'!FW16&lt;='TABEL KONVERSI'!$C$6),4,"")))),"-")</f>
        <v>-</v>
      </c>
      <c r="FZ16" s="38" t="str">
        <f t="shared" si="92"/>
        <v>-</v>
      </c>
      <c r="GA16" s="38" t="str">
        <f>VLOOKUP(FX16,'TABEL KONVERSI'!$A$3:$D$7,4)</f>
        <v>-</v>
      </c>
      <c r="GB16" s="38" t="str">
        <f t="shared" si="93"/>
        <v>-</v>
      </c>
      <c r="GC16" s="38" t="str">
        <f>VLOOKUP(FY16,'TABEL KONVERSI'!$A$3:$D$7,4)</f>
        <v>-</v>
      </c>
      <c r="GD16" s="42"/>
      <c r="GE16" s="37"/>
      <c r="GF16" s="73"/>
      <c r="GG16" s="73"/>
      <c r="GH16" s="38" t="str">
        <f t="shared" si="94"/>
        <v/>
      </c>
      <c r="GI16" s="38" t="str">
        <f t="shared" si="95"/>
        <v/>
      </c>
      <c r="GJ16" s="38" t="str">
        <f>IF(GH16&lt;&gt;"",IF(AND(GH16&gt;='TABEL KONVERSI'!$B$3,'ENTRY DATA'!GH16&lt;='TABEL KONVERSI'!$C$3),1,IF(AND(GH16&gt;='TABEL KONVERSI'!$B$4,'ENTRY DATA'!GH16&lt;='TABEL KONVERSI'!$C$4),2,IF(AND(GH16&gt;='TABEL KONVERSI'!$B$5,'ENTRY DATA'!GH16&lt;='TABEL KONVERSI'!$C$5),3,IF(AND(GH16&gt;='TABEL KONVERSI'!$B$6,'ENTRY DATA'!GH16&lt;='TABEL KONVERSI'!$C$6),4,"")))),"-")</f>
        <v>-</v>
      </c>
      <c r="GK16" s="38" t="str">
        <f>IF(GI16&lt;&gt;"",IF(AND(GI16&gt;='TABEL KONVERSI'!$B$3,'ENTRY DATA'!GI16&lt;='TABEL KONVERSI'!$C$3),1,IF(AND(GI16&gt;='TABEL KONVERSI'!$B$4,'ENTRY DATA'!GI16&lt;='TABEL KONVERSI'!$C$4),2,IF(AND(GI16&gt;='TABEL KONVERSI'!$B$5,'ENTRY DATA'!GI16&lt;='TABEL KONVERSI'!$C$5),3,IF(AND(GI16&gt;='TABEL KONVERSI'!$B$6,'ENTRY DATA'!GI16&lt;='TABEL KONVERSI'!$C$6),4,"")))),"-")</f>
        <v>-</v>
      </c>
      <c r="GL16" s="38" t="str">
        <f t="shared" si="96"/>
        <v>-</v>
      </c>
      <c r="GM16" s="38" t="str">
        <f>VLOOKUP(GJ16,'TABEL KONVERSI'!$A$3:$D$7,4)</f>
        <v>-</v>
      </c>
      <c r="GN16" s="38" t="str">
        <f t="shared" si="97"/>
        <v>-</v>
      </c>
      <c r="GO16" s="38" t="str">
        <f>VLOOKUP(GK16,'TABEL KONVERSI'!$A$3:$D$7,4)</f>
        <v>-</v>
      </c>
      <c r="GP16" s="43">
        <f t="shared" si="0"/>
        <v>0</v>
      </c>
      <c r="GQ16" s="43">
        <f t="shared" si="1"/>
        <v>0</v>
      </c>
      <c r="GR16" s="43">
        <f t="shared" si="2"/>
        <v>0</v>
      </c>
      <c r="GS16" s="43">
        <f t="shared" si="3"/>
        <v>0</v>
      </c>
      <c r="GT16" s="43">
        <f t="shared" si="4"/>
        <v>0</v>
      </c>
      <c r="GU16" s="43">
        <f t="shared" si="5"/>
        <v>0</v>
      </c>
      <c r="GV16" s="43">
        <f t="shared" si="6"/>
        <v>0</v>
      </c>
      <c r="GW16" s="43">
        <f t="shared" si="7"/>
        <v>0</v>
      </c>
      <c r="GX16" s="43">
        <f t="shared" si="8"/>
        <v>0</v>
      </c>
      <c r="GY16" s="43">
        <f t="shared" si="9"/>
        <v>0</v>
      </c>
      <c r="GZ16" s="43">
        <f t="shared" si="10"/>
        <v>0</v>
      </c>
      <c r="HA16" s="43">
        <f t="shared" si="11"/>
        <v>0</v>
      </c>
      <c r="HB16" s="43">
        <f t="shared" si="12"/>
        <v>0</v>
      </c>
      <c r="HC16" s="43">
        <f t="shared" si="13"/>
        <v>0</v>
      </c>
      <c r="HD16" s="43">
        <f t="shared" si="14"/>
        <v>0</v>
      </c>
      <c r="HE16" s="43">
        <f t="shared" si="15"/>
        <v>0</v>
      </c>
      <c r="HF16" s="38">
        <f t="shared" si="98"/>
        <v>0</v>
      </c>
      <c r="HG16" s="38">
        <f t="shared" si="99"/>
        <v>0</v>
      </c>
      <c r="HH16" s="38">
        <f t="shared" si="100"/>
        <v>0</v>
      </c>
      <c r="HI16" s="39">
        <f t="shared" si="101"/>
        <v>0</v>
      </c>
      <c r="HJ16" s="44" t="str">
        <f t="shared" si="102"/>
        <v>-</v>
      </c>
      <c r="HK16" s="45" t="str">
        <f>VLOOKUP(HJ16,'TABEL KONVERSI'!$B$11:$D$15,2,0)</f>
        <v>-</v>
      </c>
      <c r="HL16" s="43">
        <f t="shared" si="16"/>
        <v>0</v>
      </c>
      <c r="HM16" s="43">
        <f t="shared" si="17"/>
        <v>0</v>
      </c>
      <c r="HN16" s="43">
        <f t="shared" si="18"/>
        <v>0</v>
      </c>
      <c r="HO16" s="43">
        <f t="shared" si="19"/>
        <v>0</v>
      </c>
      <c r="HP16" s="43">
        <f t="shared" si="20"/>
        <v>0</v>
      </c>
      <c r="HQ16" s="43">
        <f t="shared" si="21"/>
        <v>0</v>
      </c>
      <c r="HR16" s="43">
        <f t="shared" si="22"/>
        <v>0</v>
      </c>
      <c r="HS16" s="43">
        <f t="shared" si="23"/>
        <v>0</v>
      </c>
      <c r="HT16" s="43">
        <f t="shared" si="24"/>
        <v>0</v>
      </c>
      <c r="HU16" s="43">
        <f t="shared" si="25"/>
        <v>0</v>
      </c>
      <c r="HV16" s="43">
        <f t="shared" si="26"/>
        <v>0</v>
      </c>
      <c r="HW16" s="43">
        <f t="shared" si="27"/>
        <v>0</v>
      </c>
      <c r="HX16" s="43">
        <f t="shared" si="28"/>
        <v>0</v>
      </c>
      <c r="HY16" s="43">
        <f t="shared" si="29"/>
        <v>0</v>
      </c>
      <c r="HZ16" s="43">
        <f t="shared" si="30"/>
        <v>0</v>
      </c>
      <c r="IA16" s="43">
        <f t="shared" si="31"/>
        <v>0</v>
      </c>
      <c r="IB16" s="38">
        <f t="shared" si="103"/>
        <v>0</v>
      </c>
      <c r="IC16" s="38">
        <f t="shared" si="104"/>
        <v>0</v>
      </c>
      <c r="ID16" s="38">
        <f t="shared" si="105"/>
        <v>0</v>
      </c>
      <c r="IE16" s="38">
        <f t="shared" si="106"/>
        <v>0</v>
      </c>
      <c r="IF16" s="46" t="str">
        <f t="shared" si="107"/>
        <v>-</v>
      </c>
      <c r="IG16" s="45" t="str">
        <f>VLOOKUP(IF16,'TABEL KONVERSI'!$B$11:$D$15,3,0)</f>
        <v>-</v>
      </c>
      <c r="IH16" s="40" t="s">
        <v>223</v>
      </c>
      <c r="II16" s="41" t="s">
        <v>106</v>
      </c>
      <c r="IJ16" s="45" t="str">
        <f>IF(II16&lt;&gt;"",VLOOKUP(II16,'TABEL KONVERSI'!$A$19:$B$23,2,0),"")</f>
        <v>Aktif dalam mengikuti kegiatan</v>
      </c>
      <c r="IK16" s="47" t="s">
        <v>58</v>
      </c>
      <c r="IL16" s="50" t="s">
        <v>58</v>
      </c>
      <c r="IM16" s="45" t="str">
        <f>IF(IL16&lt;&gt;"",VLOOKUP(IL16,'TABEL KONVERSI'!$A$19:$B$23,2,0),"")</f>
        <v>-</v>
      </c>
      <c r="IN16" s="49" t="s">
        <v>58</v>
      </c>
      <c r="IO16" s="48" t="s">
        <v>58</v>
      </c>
      <c r="IP16" s="45" t="str">
        <f>IF(IO16&lt;&gt;"",VLOOKUP(IO16,'TABEL KONVERSI'!$A$19:$B$23,2,0),"")</f>
        <v>-</v>
      </c>
      <c r="IQ16" s="49" t="s">
        <v>58</v>
      </c>
      <c r="IR16" s="50" t="s">
        <v>58</v>
      </c>
      <c r="IS16" s="45" t="str">
        <f>IF(IR16&lt;&gt;"",VLOOKUP(IR16,'TABEL KONVERSI'!$A$19:$B$23,2,0),"")</f>
        <v>-</v>
      </c>
      <c r="IT16" s="49" t="s">
        <v>58</v>
      </c>
      <c r="IU16" s="50" t="s">
        <v>58</v>
      </c>
      <c r="IV16" s="45" t="str">
        <f>IF(IU16&lt;&gt;"",VLOOKUP(IU16,'TABEL KONVERSI'!$A$19:$B$23,2,0),"")</f>
        <v>-</v>
      </c>
      <c r="IW16" s="48" t="s">
        <v>58</v>
      </c>
      <c r="IX16" s="48" t="s">
        <v>58</v>
      </c>
      <c r="IY16" s="48" t="s">
        <v>58</v>
      </c>
      <c r="IZ16" s="47" t="s">
        <v>58</v>
      </c>
      <c r="JA16" s="45">
        <f t="shared" si="32"/>
        <v>0</v>
      </c>
      <c r="JB16" s="45">
        <f t="shared" si="33"/>
        <v>1</v>
      </c>
    </row>
    <row r="17" spans="1:262" x14ac:dyDescent="0.25">
      <c r="A17" s="33">
        <v>5</v>
      </c>
      <c r="B17" s="51"/>
      <c r="C17" s="51"/>
      <c r="D17" s="77"/>
      <c r="E17" s="52"/>
      <c r="F17" s="42"/>
      <c r="G17" s="37"/>
      <c r="H17" s="73"/>
      <c r="I17" s="73"/>
      <c r="J17" s="38" t="str">
        <f t="shared" si="34"/>
        <v/>
      </c>
      <c r="K17" s="38" t="str">
        <f t="shared" si="35"/>
        <v/>
      </c>
      <c r="L17" s="38" t="str">
        <f>IF(J17&lt;&gt;"",IF(AND(J17&gt;='TABEL KONVERSI'!$B$3,'ENTRY DATA'!J17&lt;='TABEL KONVERSI'!$C$3),1,IF(AND(J17&gt;='TABEL KONVERSI'!$B$4,'ENTRY DATA'!J17&lt;='TABEL KONVERSI'!$C$4),2,IF(AND(J17&gt;='TABEL KONVERSI'!$B$5,'ENTRY DATA'!J17&lt;='TABEL KONVERSI'!$C$5),3,IF(AND(J17&gt;='TABEL KONVERSI'!$B$6,'ENTRY DATA'!J17&lt;='TABEL KONVERSI'!$C$6),4,"")))),"-")</f>
        <v>-</v>
      </c>
      <c r="M17" s="38" t="str">
        <f>IF(K17&lt;&gt;"",IF(AND(K17&gt;='TABEL KONVERSI'!$B$3,'ENTRY DATA'!K17&lt;='TABEL KONVERSI'!$C$3),1,IF(AND(K17&gt;='TABEL KONVERSI'!$B$4,'ENTRY DATA'!K17&lt;='TABEL KONVERSI'!$C$4),2,IF(AND(K17&gt;='TABEL KONVERSI'!$B$5,'ENTRY DATA'!K17&lt;='TABEL KONVERSI'!$C$5),3,IF(AND(K17&gt;='TABEL KONVERSI'!$B$6,'ENTRY DATA'!K17&lt;='TABEL KONVERSI'!$C$6),4,"")))),"-")</f>
        <v>-</v>
      </c>
      <c r="N17" s="38" t="str">
        <f t="shared" si="36"/>
        <v>-</v>
      </c>
      <c r="O17" s="38" t="str">
        <f>VLOOKUP(L17,'TABEL KONVERSI'!$A$3:$D$7,4)</f>
        <v>-</v>
      </c>
      <c r="P17" s="38" t="str">
        <f t="shared" si="37"/>
        <v>-</v>
      </c>
      <c r="Q17" s="38" t="str">
        <f>VLOOKUP(M17,'TABEL KONVERSI'!$A$3:$D$7,4)</f>
        <v>-</v>
      </c>
      <c r="R17" s="42"/>
      <c r="S17" s="37"/>
      <c r="T17" s="73"/>
      <c r="U17" s="73"/>
      <c r="V17" s="38" t="str">
        <f t="shared" si="38"/>
        <v/>
      </c>
      <c r="W17" s="38" t="str">
        <f t="shared" si="39"/>
        <v/>
      </c>
      <c r="X17" s="38" t="str">
        <f>IF(V17&lt;&gt;"",IF(AND(V17&gt;='TABEL KONVERSI'!$B$3,'ENTRY DATA'!V17&lt;='TABEL KONVERSI'!$C$3),1,IF(AND(V17&gt;='TABEL KONVERSI'!$B$4,'ENTRY DATA'!V17&lt;='TABEL KONVERSI'!$C$4),2,IF(AND(V17&gt;='TABEL KONVERSI'!$B$5,'ENTRY DATA'!V17&lt;='TABEL KONVERSI'!$C$5),3,IF(AND(V17&gt;='TABEL KONVERSI'!$B$6,'ENTRY DATA'!V17&lt;='TABEL KONVERSI'!$C$6),4,"")))),"-")</f>
        <v>-</v>
      </c>
      <c r="Y17" s="38" t="str">
        <f>IF(W17&lt;&gt;"",IF(AND(W17&gt;='TABEL KONVERSI'!$B$3,'ENTRY DATA'!W17&lt;='TABEL KONVERSI'!$C$3),1,IF(AND(W17&gt;='TABEL KONVERSI'!$B$4,'ENTRY DATA'!W17&lt;='TABEL KONVERSI'!$C$4),2,IF(AND(W17&gt;='TABEL KONVERSI'!$B$5,'ENTRY DATA'!W17&lt;='TABEL KONVERSI'!$C$5),3,IF(AND(W17&gt;='TABEL KONVERSI'!$B$6,'ENTRY DATA'!W17&lt;='TABEL KONVERSI'!$C$6),4,"")))),"-")</f>
        <v>-</v>
      </c>
      <c r="Z17" s="38" t="str">
        <f t="shared" si="40"/>
        <v>-</v>
      </c>
      <c r="AA17" s="38" t="str">
        <f>VLOOKUP(X17,'TABEL KONVERSI'!$A$3:$D$7,4)</f>
        <v>-</v>
      </c>
      <c r="AB17" s="38" t="str">
        <f t="shared" si="41"/>
        <v>-</v>
      </c>
      <c r="AC17" s="38" t="str">
        <f>VLOOKUP(Y17,'TABEL KONVERSI'!$A$3:$D$7,4)</f>
        <v>-</v>
      </c>
      <c r="AD17" s="42"/>
      <c r="AE17" s="37"/>
      <c r="AF17" s="73"/>
      <c r="AG17" s="73"/>
      <c r="AH17" s="38" t="str">
        <f t="shared" si="42"/>
        <v/>
      </c>
      <c r="AI17" s="38" t="str">
        <f t="shared" si="43"/>
        <v/>
      </c>
      <c r="AJ17" s="38" t="str">
        <f>IF(AH17&lt;&gt;"",IF(AND(AH17&gt;='TABEL KONVERSI'!$B$3,'ENTRY DATA'!AH17&lt;='TABEL KONVERSI'!$C$3),1,IF(AND(AH17&gt;='TABEL KONVERSI'!$B$4,'ENTRY DATA'!AH17&lt;='TABEL KONVERSI'!$C$4),2,IF(AND(AH17&gt;='TABEL KONVERSI'!$B$5,'ENTRY DATA'!AH17&lt;='TABEL KONVERSI'!$C$5),3,IF(AND(AH17&gt;='TABEL KONVERSI'!$B$6,'ENTRY DATA'!AH17&lt;='TABEL KONVERSI'!$C$6),4,"")))),"-")</f>
        <v>-</v>
      </c>
      <c r="AK17" s="38" t="str">
        <f>IF(AI17&lt;&gt;"",IF(AND(AI17&gt;='TABEL KONVERSI'!$B$3,'ENTRY DATA'!AI17&lt;='TABEL KONVERSI'!$C$3),1,IF(AND(AI17&gt;='TABEL KONVERSI'!$B$4,'ENTRY DATA'!AI17&lt;='TABEL KONVERSI'!$C$4),2,IF(AND(AI17&gt;='TABEL KONVERSI'!$B$5,'ENTRY DATA'!AI17&lt;='TABEL KONVERSI'!$C$5),3,IF(AND(AI17&gt;='TABEL KONVERSI'!$B$6,'ENTRY DATA'!AI17&lt;='TABEL KONVERSI'!$C$6),4,"")))),"-")</f>
        <v>-</v>
      </c>
      <c r="AL17" s="38" t="str">
        <f t="shared" si="44"/>
        <v>-</v>
      </c>
      <c r="AM17" s="38" t="str">
        <f>VLOOKUP(AJ17,'TABEL KONVERSI'!$A$3:$D$7,4)</f>
        <v>-</v>
      </c>
      <c r="AN17" s="38" t="str">
        <f t="shared" si="45"/>
        <v>-</v>
      </c>
      <c r="AO17" s="38" t="str">
        <f>VLOOKUP(AK17,'TABEL KONVERSI'!$A$3:$D$7,4)</f>
        <v>-</v>
      </c>
      <c r="AP17" s="42"/>
      <c r="AQ17" s="37"/>
      <c r="AR17" s="73"/>
      <c r="AS17" s="73"/>
      <c r="AT17" s="38" t="str">
        <f t="shared" si="46"/>
        <v/>
      </c>
      <c r="AU17" s="38" t="str">
        <f t="shared" si="47"/>
        <v/>
      </c>
      <c r="AV17" s="38" t="str">
        <f>IF(AT17&lt;&gt;"",IF(AND(AT17&gt;='TABEL KONVERSI'!$B$3,'ENTRY DATA'!AT17&lt;='TABEL KONVERSI'!$C$3),1,IF(AND(AT17&gt;='TABEL KONVERSI'!$B$4,'ENTRY DATA'!AT17&lt;='TABEL KONVERSI'!$C$4),2,IF(AND(AT17&gt;='TABEL KONVERSI'!$B$5,'ENTRY DATA'!AT17&lt;='TABEL KONVERSI'!$C$5),3,IF(AND(AT17&gt;='TABEL KONVERSI'!$B$6,'ENTRY DATA'!AT17&lt;='TABEL KONVERSI'!$C$6),4,"")))),"-")</f>
        <v>-</v>
      </c>
      <c r="AW17" s="38" t="str">
        <f>IF(AU17&lt;&gt;"",IF(AND(AU17&gt;='TABEL KONVERSI'!$B$3,'ENTRY DATA'!AU17&lt;='TABEL KONVERSI'!$C$3),1,IF(AND(AU17&gt;='TABEL KONVERSI'!$B$4,'ENTRY DATA'!AU17&lt;='TABEL KONVERSI'!$C$4),2,IF(AND(AU17&gt;='TABEL KONVERSI'!$B$5,'ENTRY DATA'!AU17&lt;='TABEL KONVERSI'!$C$5),3,IF(AND(AU17&gt;='TABEL KONVERSI'!$B$6,'ENTRY DATA'!AU17&lt;='TABEL KONVERSI'!$C$6),4,"")))),"-")</f>
        <v>-</v>
      </c>
      <c r="AX17" s="38" t="str">
        <f t="shared" si="48"/>
        <v>-</v>
      </c>
      <c r="AY17" s="38" t="str">
        <f>VLOOKUP(AV17,'TABEL KONVERSI'!$A$3:$D$7,4)</f>
        <v>-</v>
      </c>
      <c r="AZ17" s="38" t="str">
        <f t="shared" si="49"/>
        <v>-</v>
      </c>
      <c r="BA17" s="38" t="str">
        <f>VLOOKUP(AW17,'TABEL KONVERSI'!$A$3:$D$7,4)</f>
        <v>-</v>
      </c>
      <c r="BB17" s="42"/>
      <c r="BC17" s="37"/>
      <c r="BD17" s="73"/>
      <c r="BE17" s="73"/>
      <c r="BF17" s="38" t="str">
        <f t="shared" si="50"/>
        <v/>
      </c>
      <c r="BG17" s="38" t="str">
        <f t="shared" si="51"/>
        <v/>
      </c>
      <c r="BH17" s="38" t="str">
        <f>IF(BF17&lt;&gt;"",IF(AND(BF17&gt;='TABEL KONVERSI'!$B$3,'ENTRY DATA'!BF17&lt;='TABEL KONVERSI'!$C$3),1,IF(AND(BF17&gt;='TABEL KONVERSI'!$B$4,'ENTRY DATA'!BF17&lt;='TABEL KONVERSI'!$C$4),2,IF(AND(BF17&gt;='TABEL KONVERSI'!$B$5,'ENTRY DATA'!BF17&lt;='TABEL KONVERSI'!$C$5),3,IF(AND(BF17&gt;='TABEL KONVERSI'!$B$6,'ENTRY DATA'!BF17&lt;='TABEL KONVERSI'!$C$6),4,"")))),"-")</f>
        <v>-</v>
      </c>
      <c r="BI17" s="38" t="str">
        <f>IF(BG17&lt;&gt;"",IF(AND(BG17&gt;='TABEL KONVERSI'!$B$3,'ENTRY DATA'!BG17&lt;='TABEL KONVERSI'!$C$3),1,IF(AND(BG17&gt;='TABEL KONVERSI'!$B$4,'ENTRY DATA'!BG17&lt;='TABEL KONVERSI'!$C$4),2,IF(AND(BG17&gt;='TABEL KONVERSI'!$B$5,'ENTRY DATA'!BG17&lt;='TABEL KONVERSI'!$C$5),3,IF(AND(BG17&gt;='TABEL KONVERSI'!$B$6,'ENTRY DATA'!BG17&lt;='TABEL KONVERSI'!$C$6),4,"")))),"-")</f>
        <v>-</v>
      </c>
      <c r="BJ17" s="38" t="str">
        <f t="shared" si="52"/>
        <v>-</v>
      </c>
      <c r="BK17" s="38" t="str">
        <f>VLOOKUP(BH17,'TABEL KONVERSI'!$A$3:$D$7,4)</f>
        <v>-</v>
      </c>
      <c r="BL17" s="38" t="str">
        <f t="shared" si="53"/>
        <v>-</v>
      </c>
      <c r="BM17" s="38" t="str">
        <f>VLOOKUP(BI17,'TABEL KONVERSI'!$A$3:$D$7,4)</f>
        <v>-</v>
      </c>
      <c r="BN17" s="42"/>
      <c r="BO17" s="37"/>
      <c r="BP17" s="73"/>
      <c r="BQ17" s="73"/>
      <c r="BR17" s="38" t="str">
        <f t="shared" si="54"/>
        <v/>
      </c>
      <c r="BS17" s="38" t="str">
        <f t="shared" si="55"/>
        <v/>
      </c>
      <c r="BT17" s="38" t="str">
        <f>IF(BR17&lt;&gt;"",IF(AND(BR17&gt;='TABEL KONVERSI'!$B$3,'ENTRY DATA'!BR17&lt;='TABEL KONVERSI'!$C$3),1,IF(AND(BR17&gt;='TABEL KONVERSI'!$B$4,'ENTRY DATA'!BR17&lt;='TABEL KONVERSI'!$C$4),2,IF(AND(BR17&gt;='TABEL KONVERSI'!$B$5,'ENTRY DATA'!BR17&lt;='TABEL KONVERSI'!$C$5),3,IF(AND(BR17&gt;='TABEL KONVERSI'!$B$6,'ENTRY DATA'!BR17&lt;='TABEL KONVERSI'!$C$6),4,"")))),"-")</f>
        <v>-</v>
      </c>
      <c r="BU17" s="38" t="str">
        <f>IF(BS17&lt;&gt;"",IF(AND(BS17&gt;='TABEL KONVERSI'!$B$3,'ENTRY DATA'!BS17&lt;='TABEL KONVERSI'!$C$3),1,IF(AND(BS17&gt;='TABEL KONVERSI'!$B$4,'ENTRY DATA'!BS17&lt;='TABEL KONVERSI'!$C$4),2,IF(AND(BS17&gt;='TABEL KONVERSI'!$B$5,'ENTRY DATA'!BS17&lt;='TABEL KONVERSI'!$C$5),3,IF(AND(BS17&gt;='TABEL KONVERSI'!$B$6,'ENTRY DATA'!BS17&lt;='TABEL KONVERSI'!$C$6),4,"")))),"-")</f>
        <v>-</v>
      </c>
      <c r="BV17" s="38" t="str">
        <f t="shared" si="56"/>
        <v>-</v>
      </c>
      <c r="BW17" s="38" t="str">
        <f>VLOOKUP(BT17,'TABEL KONVERSI'!$A$3:$D$7,4)</f>
        <v>-</v>
      </c>
      <c r="BX17" s="38" t="str">
        <f t="shared" si="57"/>
        <v>-</v>
      </c>
      <c r="BY17" s="38" t="str">
        <f>VLOOKUP(BU17,'TABEL KONVERSI'!$A$3:$D$7,4)</f>
        <v>-</v>
      </c>
      <c r="BZ17" s="42"/>
      <c r="CA17" s="37"/>
      <c r="CB17" s="73"/>
      <c r="CC17" s="73"/>
      <c r="CD17" s="38" t="str">
        <f t="shared" si="58"/>
        <v/>
      </c>
      <c r="CE17" s="38" t="str">
        <f t="shared" si="59"/>
        <v/>
      </c>
      <c r="CF17" s="38" t="str">
        <f>IF(CD17&lt;&gt;"",IF(AND(CD17&gt;='TABEL KONVERSI'!$B$3,'ENTRY DATA'!CD17&lt;='TABEL KONVERSI'!$C$3),1,IF(AND(CD17&gt;='TABEL KONVERSI'!$B$4,'ENTRY DATA'!CD17&lt;='TABEL KONVERSI'!$C$4),2,IF(AND(CD17&gt;='TABEL KONVERSI'!$B$5,'ENTRY DATA'!CD17&lt;='TABEL KONVERSI'!$C$5),3,IF(AND(CD17&gt;='TABEL KONVERSI'!$B$6,'ENTRY DATA'!CD17&lt;='TABEL KONVERSI'!$C$6),4,"")))),"-")</f>
        <v>-</v>
      </c>
      <c r="CG17" s="38" t="str">
        <f>IF(CE17&lt;&gt;"",IF(AND(CE17&gt;='TABEL KONVERSI'!$B$3,'ENTRY DATA'!CE17&lt;='TABEL KONVERSI'!$C$3),1,IF(AND(CE17&gt;='TABEL KONVERSI'!$B$4,'ENTRY DATA'!CE17&lt;='TABEL KONVERSI'!$C$4),2,IF(AND(CE17&gt;='TABEL KONVERSI'!$B$5,'ENTRY DATA'!CE17&lt;='TABEL KONVERSI'!$C$5),3,IF(AND(CE17&gt;='TABEL KONVERSI'!$B$6,'ENTRY DATA'!CE17&lt;='TABEL KONVERSI'!$C$6),4,"")))),"-")</f>
        <v>-</v>
      </c>
      <c r="CH17" s="38" t="str">
        <f t="shared" si="60"/>
        <v>-</v>
      </c>
      <c r="CI17" s="38" t="str">
        <f>VLOOKUP(CF17,'TABEL KONVERSI'!$A$3:$D$7,4)</f>
        <v>-</v>
      </c>
      <c r="CJ17" s="38" t="str">
        <f t="shared" si="61"/>
        <v>-</v>
      </c>
      <c r="CK17" s="38" t="str">
        <f>VLOOKUP(CG17,'TABEL KONVERSI'!$A$3:$D$7,4)</f>
        <v>-</v>
      </c>
      <c r="CL17" s="42"/>
      <c r="CM17" s="37"/>
      <c r="CN17" s="73"/>
      <c r="CO17" s="73"/>
      <c r="CP17" s="38" t="str">
        <f t="shared" si="62"/>
        <v/>
      </c>
      <c r="CQ17" s="38" t="str">
        <f t="shared" si="63"/>
        <v/>
      </c>
      <c r="CR17" s="38" t="str">
        <f>IF(CP17&lt;&gt;"",IF(AND(CP17&gt;='TABEL KONVERSI'!$B$3,'ENTRY DATA'!CP17&lt;='TABEL KONVERSI'!$C$3),1,IF(AND(CP17&gt;='TABEL KONVERSI'!$B$4,'ENTRY DATA'!CP17&lt;='TABEL KONVERSI'!$C$4),2,IF(AND(CP17&gt;='TABEL KONVERSI'!$B$5,'ENTRY DATA'!CP17&lt;='TABEL KONVERSI'!$C$5),3,IF(AND(CP17&gt;='TABEL KONVERSI'!$B$6,'ENTRY DATA'!CP17&lt;='TABEL KONVERSI'!$C$6),4,"")))),"-")</f>
        <v>-</v>
      </c>
      <c r="CS17" s="38" t="str">
        <f>IF(CQ17&lt;&gt;"",IF(AND(CQ17&gt;='TABEL KONVERSI'!$B$3,'ENTRY DATA'!CQ17&lt;='TABEL KONVERSI'!$C$3),1,IF(AND(CQ17&gt;='TABEL KONVERSI'!$B$4,'ENTRY DATA'!CQ17&lt;='TABEL KONVERSI'!$C$4),2,IF(AND(CQ17&gt;='TABEL KONVERSI'!$B$5,'ENTRY DATA'!CQ17&lt;='TABEL KONVERSI'!$C$5),3,IF(AND(CQ17&gt;='TABEL KONVERSI'!$B$6,'ENTRY DATA'!CQ17&lt;='TABEL KONVERSI'!$C$6),4,"")))),"-")</f>
        <v>-</v>
      </c>
      <c r="CT17" s="38" t="str">
        <f t="shared" si="64"/>
        <v>-</v>
      </c>
      <c r="CU17" s="38" t="str">
        <f>VLOOKUP(CR17,'TABEL KONVERSI'!$A$3:$D$7,4)</f>
        <v>-</v>
      </c>
      <c r="CV17" s="38" t="str">
        <f t="shared" si="65"/>
        <v>-</v>
      </c>
      <c r="CW17" s="38" t="str">
        <f>VLOOKUP(CS17,'TABEL KONVERSI'!$A$3:$D$7,4)</f>
        <v>-</v>
      </c>
      <c r="CX17" s="42"/>
      <c r="CY17" s="37"/>
      <c r="CZ17" s="73"/>
      <c r="DA17" s="73"/>
      <c r="DB17" s="38" t="str">
        <f t="shared" si="66"/>
        <v/>
      </c>
      <c r="DC17" s="38" t="str">
        <f t="shared" si="67"/>
        <v/>
      </c>
      <c r="DD17" s="38" t="str">
        <f>IF(DB17&lt;&gt;"",IF(AND(DB17&gt;='TABEL KONVERSI'!$B$3,'ENTRY DATA'!DB17&lt;='TABEL KONVERSI'!$C$3),1,IF(AND(DB17&gt;='TABEL KONVERSI'!$B$4,'ENTRY DATA'!DB17&lt;='TABEL KONVERSI'!$C$4),2,IF(AND(DB17&gt;='TABEL KONVERSI'!$B$5,'ENTRY DATA'!DB17&lt;='TABEL KONVERSI'!$C$5),3,IF(AND(DB17&gt;='TABEL KONVERSI'!$B$6,'ENTRY DATA'!DB17&lt;='TABEL KONVERSI'!$C$6),4,"")))),"-")</f>
        <v>-</v>
      </c>
      <c r="DE17" s="38" t="str">
        <f>IF(DC17&lt;&gt;"",IF(AND(DC17&gt;='TABEL KONVERSI'!$B$3,'ENTRY DATA'!DC17&lt;='TABEL KONVERSI'!$C$3),1,IF(AND(DC17&gt;='TABEL KONVERSI'!$B$4,'ENTRY DATA'!DC17&lt;='TABEL KONVERSI'!$C$4),2,IF(AND(DC17&gt;='TABEL KONVERSI'!$B$5,'ENTRY DATA'!DC17&lt;='TABEL KONVERSI'!$C$5),3,IF(AND(DC17&gt;='TABEL KONVERSI'!$B$6,'ENTRY DATA'!DC17&lt;='TABEL KONVERSI'!$C$6),4,"")))),"-")</f>
        <v>-</v>
      </c>
      <c r="DF17" s="38" t="str">
        <f t="shared" si="68"/>
        <v>-</v>
      </c>
      <c r="DG17" s="38" t="str">
        <f>VLOOKUP(DD17,'TABEL KONVERSI'!$A$3:$D$7,4)</f>
        <v>-</v>
      </c>
      <c r="DH17" s="38" t="str">
        <f t="shared" si="69"/>
        <v>-</v>
      </c>
      <c r="DI17" s="38" t="str">
        <f>VLOOKUP(DE17,'TABEL KONVERSI'!$A$3:$D$7,4)</f>
        <v>-</v>
      </c>
      <c r="DJ17" s="42"/>
      <c r="DK17" s="37"/>
      <c r="DL17" s="73"/>
      <c r="DM17" s="73"/>
      <c r="DN17" s="38" t="str">
        <f t="shared" si="70"/>
        <v/>
      </c>
      <c r="DO17" s="38" t="str">
        <f t="shared" si="71"/>
        <v/>
      </c>
      <c r="DP17" s="38" t="str">
        <f>IF(DN17&lt;&gt;"",IF(AND(DN17&gt;='TABEL KONVERSI'!$B$3,'ENTRY DATA'!DN17&lt;='TABEL KONVERSI'!$C$3),1,IF(AND(DN17&gt;='TABEL KONVERSI'!$B$4,'ENTRY DATA'!DN17&lt;='TABEL KONVERSI'!$C$4),2,IF(AND(DN17&gt;='TABEL KONVERSI'!$B$5,'ENTRY DATA'!DN17&lt;='TABEL KONVERSI'!$C$5),3,IF(AND(DN17&gt;='TABEL KONVERSI'!$B$6,'ENTRY DATA'!DN17&lt;='TABEL KONVERSI'!$C$6),4,"")))),"-")</f>
        <v>-</v>
      </c>
      <c r="DQ17" s="38" t="str">
        <f>IF(DO17&lt;&gt;"",IF(AND(DO17&gt;='TABEL KONVERSI'!$B$3,'ENTRY DATA'!DO17&lt;='TABEL KONVERSI'!$C$3),1,IF(AND(DO17&gt;='TABEL KONVERSI'!$B$4,'ENTRY DATA'!DO17&lt;='TABEL KONVERSI'!$C$4),2,IF(AND(DO17&gt;='TABEL KONVERSI'!$B$5,'ENTRY DATA'!DO17&lt;='TABEL KONVERSI'!$C$5),3,IF(AND(DO17&gt;='TABEL KONVERSI'!$B$6,'ENTRY DATA'!DO17&lt;='TABEL KONVERSI'!$C$6),4,"")))),"-")</f>
        <v>-</v>
      </c>
      <c r="DR17" s="38" t="str">
        <f t="shared" si="72"/>
        <v>-</v>
      </c>
      <c r="DS17" s="38" t="str">
        <f>VLOOKUP(DP17,'TABEL KONVERSI'!$A$3:$D$7,4)</f>
        <v>-</v>
      </c>
      <c r="DT17" s="38" t="str">
        <f t="shared" si="73"/>
        <v>-</v>
      </c>
      <c r="DU17" s="38" t="str">
        <f>VLOOKUP(DQ17,'TABEL KONVERSI'!$A$3:$D$7,4)</f>
        <v>-</v>
      </c>
      <c r="DV17" s="42"/>
      <c r="DW17" s="37"/>
      <c r="DX17" s="73"/>
      <c r="DY17" s="73"/>
      <c r="DZ17" s="38" t="str">
        <f t="shared" si="74"/>
        <v/>
      </c>
      <c r="EA17" s="38" t="str">
        <f t="shared" si="75"/>
        <v/>
      </c>
      <c r="EB17" s="38" t="str">
        <f>IF(DZ17&lt;&gt;"",IF(AND(DZ17&gt;='TABEL KONVERSI'!$B$3,'ENTRY DATA'!DZ17&lt;='TABEL KONVERSI'!$C$3),1,IF(AND(DZ17&gt;='TABEL KONVERSI'!$B$4,'ENTRY DATA'!DZ17&lt;='TABEL KONVERSI'!$C$4),2,IF(AND(DZ17&gt;='TABEL KONVERSI'!$B$5,'ENTRY DATA'!DZ17&lt;='TABEL KONVERSI'!$C$5),3,IF(AND(DZ17&gt;='TABEL KONVERSI'!$B$6,'ENTRY DATA'!DZ17&lt;='TABEL KONVERSI'!$C$6),4,"")))),"-")</f>
        <v>-</v>
      </c>
      <c r="EC17" s="38" t="str">
        <f>IF(EA17&lt;&gt;"",IF(AND(EA17&gt;='TABEL KONVERSI'!$B$3,'ENTRY DATA'!EA17&lt;='TABEL KONVERSI'!$C$3),1,IF(AND(EA17&gt;='TABEL KONVERSI'!$B$4,'ENTRY DATA'!EA17&lt;='TABEL KONVERSI'!$C$4),2,IF(AND(EA17&gt;='TABEL KONVERSI'!$B$5,'ENTRY DATA'!EA17&lt;='TABEL KONVERSI'!$C$5),3,IF(AND(EA17&gt;='TABEL KONVERSI'!$B$6,'ENTRY DATA'!EA17&lt;='TABEL KONVERSI'!$C$6),4,"")))),"-")</f>
        <v>-</v>
      </c>
      <c r="ED17" s="38" t="str">
        <f t="shared" si="76"/>
        <v>-</v>
      </c>
      <c r="EE17" s="38" t="str">
        <f>VLOOKUP(EB17,'TABEL KONVERSI'!$A$3:$D$7,4)</f>
        <v>-</v>
      </c>
      <c r="EF17" s="38" t="str">
        <f t="shared" si="77"/>
        <v>-</v>
      </c>
      <c r="EG17" s="38" t="str">
        <f>VLOOKUP(EC17,'TABEL KONVERSI'!$A$3:$D$7,4)</f>
        <v>-</v>
      </c>
      <c r="EH17" s="42"/>
      <c r="EI17" s="37"/>
      <c r="EJ17" s="73"/>
      <c r="EK17" s="73"/>
      <c r="EL17" s="38" t="str">
        <f t="shared" si="78"/>
        <v/>
      </c>
      <c r="EM17" s="38" t="str">
        <f t="shared" si="79"/>
        <v/>
      </c>
      <c r="EN17" s="38" t="str">
        <f>IF(EL17&lt;&gt;"",IF(AND(EL17&gt;='TABEL KONVERSI'!$B$3,'ENTRY DATA'!EL17&lt;='TABEL KONVERSI'!$C$3),1,IF(AND(EL17&gt;='TABEL KONVERSI'!$B$4,'ENTRY DATA'!EL17&lt;='TABEL KONVERSI'!$C$4),2,IF(AND(EL17&gt;='TABEL KONVERSI'!$B$5,'ENTRY DATA'!EL17&lt;='TABEL KONVERSI'!$C$5),3,IF(AND(EL17&gt;='TABEL KONVERSI'!$B$6,'ENTRY DATA'!EL17&lt;='TABEL KONVERSI'!$C$6),4,"")))),"-")</f>
        <v>-</v>
      </c>
      <c r="EO17" s="38" t="str">
        <f>IF(EM17&lt;&gt;"",IF(AND(EM17&gt;='TABEL KONVERSI'!$B$3,'ENTRY DATA'!EM17&lt;='TABEL KONVERSI'!$C$3),1,IF(AND(EM17&gt;='TABEL KONVERSI'!$B$4,'ENTRY DATA'!EM17&lt;='TABEL KONVERSI'!$C$4),2,IF(AND(EM17&gt;='TABEL KONVERSI'!$B$5,'ENTRY DATA'!EM17&lt;='TABEL KONVERSI'!$C$5),3,IF(AND(EM17&gt;='TABEL KONVERSI'!$B$6,'ENTRY DATA'!EM17&lt;='TABEL KONVERSI'!$C$6),4,"")))),"-")</f>
        <v>-</v>
      </c>
      <c r="EP17" s="38" t="str">
        <f t="shared" si="80"/>
        <v>-</v>
      </c>
      <c r="EQ17" s="38" t="str">
        <f>VLOOKUP(EN17,'TABEL KONVERSI'!$A$3:$D$7,4)</f>
        <v>-</v>
      </c>
      <c r="ER17" s="38" t="str">
        <f t="shared" si="81"/>
        <v>-</v>
      </c>
      <c r="ES17" s="38" t="str">
        <f>VLOOKUP(EO17,'TABEL KONVERSI'!$A$3:$D$7,4)</f>
        <v>-</v>
      </c>
      <c r="ET17" s="42"/>
      <c r="EU17" s="37"/>
      <c r="EV17" s="73"/>
      <c r="EW17" s="73"/>
      <c r="EX17" s="38" t="str">
        <f t="shared" si="82"/>
        <v/>
      </c>
      <c r="EY17" s="38" t="str">
        <f t="shared" si="83"/>
        <v/>
      </c>
      <c r="EZ17" s="38" t="str">
        <f>IF(EX17&lt;&gt;"",IF(AND(EX17&gt;='TABEL KONVERSI'!$B$3,'ENTRY DATA'!EX17&lt;='TABEL KONVERSI'!$C$3),1,IF(AND(EX17&gt;='TABEL KONVERSI'!$B$4,'ENTRY DATA'!EX17&lt;='TABEL KONVERSI'!$C$4),2,IF(AND(EX17&gt;='TABEL KONVERSI'!$B$5,'ENTRY DATA'!EX17&lt;='TABEL KONVERSI'!$C$5),3,IF(AND(EX17&gt;='TABEL KONVERSI'!$B$6,'ENTRY DATA'!EX17&lt;='TABEL KONVERSI'!$C$6),4,"")))),"-")</f>
        <v>-</v>
      </c>
      <c r="FA17" s="38" t="str">
        <f>IF(EY17&lt;&gt;"",IF(AND(EY17&gt;='TABEL KONVERSI'!$B$3,'ENTRY DATA'!EY17&lt;='TABEL KONVERSI'!$C$3),1,IF(AND(EY17&gt;='TABEL KONVERSI'!$B$4,'ENTRY DATA'!EY17&lt;='TABEL KONVERSI'!$C$4),2,IF(AND(EY17&gt;='TABEL KONVERSI'!$B$5,'ENTRY DATA'!EY17&lt;='TABEL KONVERSI'!$C$5),3,IF(AND(EY17&gt;='TABEL KONVERSI'!$B$6,'ENTRY DATA'!EY17&lt;='TABEL KONVERSI'!$C$6),4,"")))),"-")</f>
        <v>-</v>
      </c>
      <c r="FB17" s="38" t="str">
        <f t="shared" si="84"/>
        <v>-</v>
      </c>
      <c r="FC17" s="38" t="str">
        <f>VLOOKUP(EZ17,'TABEL KONVERSI'!$A$3:$D$7,4)</f>
        <v>-</v>
      </c>
      <c r="FD17" s="38" t="str">
        <f t="shared" si="85"/>
        <v>-</v>
      </c>
      <c r="FE17" s="38" t="str">
        <f>VLOOKUP(FA17,'TABEL KONVERSI'!$A$3:$D$7,4)</f>
        <v>-</v>
      </c>
      <c r="FF17" s="42"/>
      <c r="FG17" s="37"/>
      <c r="FH17" s="73"/>
      <c r="FI17" s="73"/>
      <c r="FJ17" s="38" t="str">
        <f t="shared" si="86"/>
        <v/>
      </c>
      <c r="FK17" s="38" t="str">
        <f t="shared" si="87"/>
        <v/>
      </c>
      <c r="FL17" s="38" t="str">
        <f>IF(FJ17&lt;&gt;"",IF(AND(FJ17&gt;='TABEL KONVERSI'!$B$3,'ENTRY DATA'!FJ17&lt;='TABEL KONVERSI'!$C$3),1,IF(AND(FJ17&gt;='TABEL KONVERSI'!$B$4,'ENTRY DATA'!FJ17&lt;='TABEL KONVERSI'!$C$4),2,IF(AND(FJ17&gt;='TABEL KONVERSI'!$B$5,'ENTRY DATA'!FJ17&lt;='TABEL KONVERSI'!$C$5),3,IF(AND(FJ17&gt;='TABEL KONVERSI'!$B$6,'ENTRY DATA'!FJ17&lt;='TABEL KONVERSI'!$C$6),4,"")))),"-")</f>
        <v>-</v>
      </c>
      <c r="FM17" s="38" t="str">
        <f>IF(FK17&lt;&gt;"",IF(AND(FK17&gt;='TABEL KONVERSI'!$B$3,'ENTRY DATA'!FK17&lt;='TABEL KONVERSI'!$C$3),1,IF(AND(FK17&gt;='TABEL KONVERSI'!$B$4,'ENTRY DATA'!FK17&lt;='TABEL KONVERSI'!$C$4),2,IF(AND(FK17&gt;='TABEL KONVERSI'!$B$5,'ENTRY DATA'!FK17&lt;='TABEL KONVERSI'!$C$5),3,IF(AND(FK17&gt;='TABEL KONVERSI'!$B$6,'ENTRY DATA'!FK17&lt;='TABEL KONVERSI'!$C$6),4,"")))),"-")</f>
        <v>-</v>
      </c>
      <c r="FN17" s="38" t="str">
        <f t="shared" si="88"/>
        <v>-</v>
      </c>
      <c r="FO17" s="38" t="str">
        <f>VLOOKUP(FL17,'TABEL KONVERSI'!$A$3:$D$7,4)</f>
        <v>-</v>
      </c>
      <c r="FP17" s="38" t="str">
        <f t="shared" si="89"/>
        <v>-</v>
      </c>
      <c r="FQ17" s="38" t="str">
        <f>VLOOKUP(FM17,'TABEL KONVERSI'!$A$3:$D$7,4)</f>
        <v>-</v>
      </c>
      <c r="FR17" s="42"/>
      <c r="FS17" s="37"/>
      <c r="FT17" s="73"/>
      <c r="FU17" s="73"/>
      <c r="FV17" s="38" t="str">
        <f t="shared" si="90"/>
        <v/>
      </c>
      <c r="FW17" s="38" t="str">
        <f t="shared" si="91"/>
        <v/>
      </c>
      <c r="FX17" s="38" t="str">
        <f>IF(FV17&lt;&gt;"",IF(AND(FV17&gt;='TABEL KONVERSI'!$B$3,'ENTRY DATA'!FV17&lt;='TABEL KONVERSI'!$C$3),1,IF(AND(FV17&gt;='TABEL KONVERSI'!$B$4,'ENTRY DATA'!FV17&lt;='TABEL KONVERSI'!$C$4),2,IF(AND(FV17&gt;='TABEL KONVERSI'!$B$5,'ENTRY DATA'!FV17&lt;='TABEL KONVERSI'!$C$5),3,IF(AND(FV17&gt;='TABEL KONVERSI'!$B$6,'ENTRY DATA'!FV17&lt;='TABEL KONVERSI'!$C$6),4,"")))),"-")</f>
        <v>-</v>
      </c>
      <c r="FY17" s="38" t="str">
        <f>IF(FW17&lt;&gt;"",IF(AND(FW17&gt;='TABEL KONVERSI'!$B$3,'ENTRY DATA'!FW17&lt;='TABEL KONVERSI'!$C$3),1,IF(AND(FW17&gt;='TABEL KONVERSI'!$B$4,'ENTRY DATA'!FW17&lt;='TABEL KONVERSI'!$C$4),2,IF(AND(FW17&gt;='TABEL KONVERSI'!$B$5,'ENTRY DATA'!FW17&lt;='TABEL KONVERSI'!$C$5),3,IF(AND(FW17&gt;='TABEL KONVERSI'!$B$6,'ENTRY DATA'!FW17&lt;='TABEL KONVERSI'!$C$6),4,"")))),"-")</f>
        <v>-</v>
      </c>
      <c r="FZ17" s="38" t="str">
        <f t="shared" si="92"/>
        <v>-</v>
      </c>
      <c r="GA17" s="38" t="str">
        <f>VLOOKUP(FX17,'TABEL KONVERSI'!$A$3:$D$7,4)</f>
        <v>-</v>
      </c>
      <c r="GB17" s="38" t="str">
        <f t="shared" si="93"/>
        <v>-</v>
      </c>
      <c r="GC17" s="38" t="str">
        <f>VLOOKUP(FY17,'TABEL KONVERSI'!$A$3:$D$7,4)</f>
        <v>-</v>
      </c>
      <c r="GD17" s="42"/>
      <c r="GE17" s="37"/>
      <c r="GF17" s="73"/>
      <c r="GG17" s="73"/>
      <c r="GH17" s="38" t="str">
        <f t="shared" si="94"/>
        <v/>
      </c>
      <c r="GI17" s="38" t="str">
        <f t="shared" si="95"/>
        <v/>
      </c>
      <c r="GJ17" s="38" t="str">
        <f>IF(GH17&lt;&gt;"",IF(AND(GH17&gt;='TABEL KONVERSI'!$B$3,'ENTRY DATA'!GH17&lt;='TABEL KONVERSI'!$C$3),1,IF(AND(GH17&gt;='TABEL KONVERSI'!$B$4,'ENTRY DATA'!GH17&lt;='TABEL KONVERSI'!$C$4),2,IF(AND(GH17&gt;='TABEL KONVERSI'!$B$5,'ENTRY DATA'!GH17&lt;='TABEL KONVERSI'!$C$5),3,IF(AND(GH17&gt;='TABEL KONVERSI'!$B$6,'ENTRY DATA'!GH17&lt;='TABEL KONVERSI'!$C$6),4,"")))),"-")</f>
        <v>-</v>
      </c>
      <c r="GK17" s="38" t="str">
        <f>IF(GI17&lt;&gt;"",IF(AND(GI17&gt;='TABEL KONVERSI'!$B$3,'ENTRY DATA'!GI17&lt;='TABEL KONVERSI'!$C$3),1,IF(AND(GI17&gt;='TABEL KONVERSI'!$B$4,'ENTRY DATA'!GI17&lt;='TABEL KONVERSI'!$C$4),2,IF(AND(GI17&gt;='TABEL KONVERSI'!$B$5,'ENTRY DATA'!GI17&lt;='TABEL KONVERSI'!$C$5),3,IF(AND(GI17&gt;='TABEL KONVERSI'!$B$6,'ENTRY DATA'!GI17&lt;='TABEL KONVERSI'!$C$6),4,"")))),"-")</f>
        <v>-</v>
      </c>
      <c r="GL17" s="38" t="str">
        <f t="shared" si="96"/>
        <v>-</v>
      </c>
      <c r="GM17" s="38" t="str">
        <f>VLOOKUP(GJ17,'TABEL KONVERSI'!$A$3:$D$7,4)</f>
        <v>-</v>
      </c>
      <c r="GN17" s="38" t="str">
        <f t="shared" si="97"/>
        <v>-</v>
      </c>
      <c r="GO17" s="38" t="str">
        <f>VLOOKUP(GK17,'TABEL KONVERSI'!$A$3:$D$7,4)</f>
        <v>-</v>
      </c>
      <c r="GP17" s="43">
        <f t="shared" si="0"/>
        <v>0</v>
      </c>
      <c r="GQ17" s="43">
        <f t="shared" si="1"/>
        <v>0</v>
      </c>
      <c r="GR17" s="43">
        <f t="shared" si="2"/>
        <v>0</v>
      </c>
      <c r="GS17" s="43">
        <f t="shared" si="3"/>
        <v>0</v>
      </c>
      <c r="GT17" s="43">
        <f t="shared" si="4"/>
        <v>0</v>
      </c>
      <c r="GU17" s="43">
        <f t="shared" si="5"/>
        <v>0</v>
      </c>
      <c r="GV17" s="43">
        <f t="shared" si="6"/>
        <v>0</v>
      </c>
      <c r="GW17" s="43">
        <f t="shared" si="7"/>
        <v>0</v>
      </c>
      <c r="GX17" s="43">
        <f t="shared" si="8"/>
        <v>0</v>
      </c>
      <c r="GY17" s="43">
        <f t="shared" si="9"/>
        <v>0</v>
      </c>
      <c r="GZ17" s="43">
        <f t="shared" si="10"/>
        <v>0</v>
      </c>
      <c r="HA17" s="43">
        <f t="shared" si="11"/>
        <v>0</v>
      </c>
      <c r="HB17" s="43">
        <f t="shared" si="12"/>
        <v>0</v>
      </c>
      <c r="HC17" s="43">
        <f t="shared" si="13"/>
        <v>0</v>
      </c>
      <c r="HD17" s="43">
        <f t="shared" si="14"/>
        <v>0</v>
      </c>
      <c r="HE17" s="43">
        <f t="shared" si="15"/>
        <v>0</v>
      </c>
      <c r="HF17" s="38">
        <f t="shared" si="98"/>
        <v>0</v>
      </c>
      <c r="HG17" s="38">
        <f t="shared" si="99"/>
        <v>0</v>
      </c>
      <c r="HH17" s="38">
        <f t="shared" si="100"/>
        <v>0</v>
      </c>
      <c r="HI17" s="39">
        <f t="shared" si="101"/>
        <v>0</v>
      </c>
      <c r="HJ17" s="44" t="str">
        <f t="shared" si="102"/>
        <v>-</v>
      </c>
      <c r="HK17" s="45" t="str">
        <f>VLOOKUP(HJ17,'TABEL KONVERSI'!$B$11:$D$15,2,0)</f>
        <v>-</v>
      </c>
      <c r="HL17" s="43">
        <f t="shared" si="16"/>
        <v>0</v>
      </c>
      <c r="HM17" s="43">
        <f t="shared" si="17"/>
        <v>0</v>
      </c>
      <c r="HN17" s="43">
        <f t="shared" si="18"/>
        <v>0</v>
      </c>
      <c r="HO17" s="43">
        <f t="shared" si="19"/>
        <v>0</v>
      </c>
      <c r="HP17" s="43">
        <f t="shared" si="20"/>
        <v>0</v>
      </c>
      <c r="HQ17" s="43">
        <f t="shared" si="21"/>
        <v>0</v>
      </c>
      <c r="HR17" s="43">
        <f t="shared" si="22"/>
        <v>0</v>
      </c>
      <c r="HS17" s="43">
        <f t="shared" si="23"/>
        <v>0</v>
      </c>
      <c r="HT17" s="43">
        <f t="shared" si="24"/>
        <v>0</v>
      </c>
      <c r="HU17" s="43">
        <f t="shared" si="25"/>
        <v>0</v>
      </c>
      <c r="HV17" s="43">
        <f t="shared" si="26"/>
        <v>0</v>
      </c>
      <c r="HW17" s="43">
        <f t="shared" si="27"/>
        <v>0</v>
      </c>
      <c r="HX17" s="43">
        <f t="shared" si="28"/>
        <v>0</v>
      </c>
      <c r="HY17" s="43">
        <f t="shared" si="29"/>
        <v>0</v>
      </c>
      <c r="HZ17" s="43">
        <f t="shared" si="30"/>
        <v>0</v>
      </c>
      <c r="IA17" s="43">
        <f t="shared" si="31"/>
        <v>0</v>
      </c>
      <c r="IB17" s="38">
        <f t="shared" si="103"/>
        <v>0</v>
      </c>
      <c r="IC17" s="38">
        <f t="shared" si="104"/>
        <v>0</v>
      </c>
      <c r="ID17" s="38">
        <f t="shared" si="105"/>
        <v>0</v>
      </c>
      <c r="IE17" s="38">
        <f t="shared" si="106"/>
        <v>0</v>
      </c>
      <c r="IF17" s="46" t="str">
        <f t="shared" si="107"/>
        <v>-</v>
      </c>
      <c r="IG17" s="45" t="str">
        <f>VLOOKUP(IF17,'TABEL KONVERSI'!$B$11:$D$15,3,0)</f>
        <v>-</v>
      </c>
      <c r="IH17" s="40" t="s">
        <v>223</v>
      </c>
      <c r="II17" s="41" t="s">
        <v>106</v>
      </c>
      <c r="IJ17" s="45" t="str">
        <f>IF(II17&lt;&gt;"",VLOOKUP(II17,'TABEL KONVERSI'!$A$19:$B$23,2,0),"")</f>
        <v>Aktif dalam mengikuti kegiatan</v>
      </c>
      <c r="IK17" s="47" t="s">
        <v>58</v>
      </c>
      <c r="IL17" s="50" t="s">
        <v>58</v>
      </c>
      <c r="IM17" s="45" t="str">
        <f>IF(IL17&lt;&gt;"",VLOOKUP(IL17,'TABEL KONVERSI'!$A$19:$B$23,2,0),"")</f>
        <v>-</v>
      </c>
      <c r="IN17" s="49" t="s">
        <v>58</v>
      </c>
      <c r="IO17" s="48" t="s">
        <v>58</v>
      </c>
      <c r="IP17" s="45" t="str">
        <f>IF(IO17&lt;&gt;"",VLOOKUP(IO17,'TABEL KONVERSI'!$A$19:$B$23,2,0),"")</f>
        <v>-</v>
      </c>
      <c r="IQ17" s="49" t="s">
        <v>58</v>
      </c>
      <c r="IR17" s="50" t="s">
        <v>58</v>
      </c>
      <c r="IS17" s="45" t="str">
        <f>IF(IR17&lt;&gt;"",VLOOKUP(IR17,'TABEL KONVERSI'!$A$19:$B$23,2,0),"")</f>
        <v>-</v>
      </c>
      <c r="IT17" s="49" t="s">
        <v>58</v>
      </c>
      <c r="IU17" s="50" t="s">
        <v>58</v>
      </c>
      <c r="IV17" s="45" t="str">
        <f>IF(IU17&lt;&gt;"",VLOOKUP(IU17,'TABEL KONVERSI'!$A$19:$B$23,2,0),"")</f>
        <v>-</v>
      </c>
      <c r="IW17" s="48" t="s">
        <v>58</v>
      </c>
      <c r="IX17" s="48" t="s">
        <v>58</v>
      </c>
      <c r="IY17" s="48" t="s">
        <v>58</v>
      </c>
      <c r="IZ17" s="47" t="s">
        <v>58</v>
      </c>
      <c r="JA17" s="45">
        <f t="shared" si="32"/>
        <v>0</v>
      </c>
      <c r="JB17" s="45">
        <f t="shared" si="33"/>
        <v>1</v>
      </c>
    </row>
    <row r="18" spans="1:262" x14ac:dyDescent="0.25">
      <c r="A18" s="33">
        <v>6</v>
      </c>
      <c r="B18" s="51"/>
      <c r="C18" s="51"/>
      <c r="D18" s="77"/>
      <c r="E18" s="52"/>
      <c r="F18" s="42"/>
      <c r="G18" s="37"/>
      <c r="H18" s="73"/>
      <c r="I18" s="73"/>
      <c r="J18" s="38" t="str">
        <f t="shared" si="34"/>
        <v/>
      </c>
      <c r="K18" s="38" t="str">
        <f t="shared" si="35"/>
        <v/>
      </c>
      <c r="L18" s="38" t="str">
        <f>IF(J18&lt;&gt;"",IF(AND(J18&gt;='TABEL KONVERSI'!$B$3,'ENTRY DATA'!J18&lt;='TABEL KONVERSI'!$C$3),1,IF(AND(J18&gt;='TABEL KONVERSI'!$B$4,'ENTRY DATA'!J18&lt;='TABEL KONVERSI'!$C$4),2,IF(AND(J18&gt;='TABEL KONVERSI'!$B$5,'ENTRY DATA'!J18&lt;='TABEL KONVERSI'!$C$5),3,IF(AND(J18&gt;='TABEL KONVERSI'!$B$6,'ENTRY DATA'!J18&lt;='TABEL KONVERSI'!$C$6),4,"")))),"-")</f>
        <v>-</v>
      </c>
      <c r="M18" s="38" t="str">
        <f>IF(K18&lt;&gt;"",IF(AND(K18&gt;='TABEL KONVERSI'!$B$3,'ENTRY DATA'!K18&lt;='TABEL KONVERSI'!$C$3),1,IF(AND(K18&gt;='TABEL KONVERSI'!$B$4,'ENTRY DATA'!K18&lt;='TABEL KONVERSI'!$C$4),2,IF(AND(K18&gt;='TABEL KONVERSI'!$B$5,'ENTRY DATA'!K18&lt;='TABEL KONVERSI'!$C$5),3,IF(AND(K18&gt;='TABEL KONVERSI'!$B$6,'ENTRY DATA'!K18&lt;='TABEL KONVERSI'!$C$6),4,"")))),"-")</f>
        <v>-</v>
      </c>
      <c r="N18" s="38" t="str">
        <f t="shared" si="36"/>
        <v>-</v>
      </c>
      <c r="O18" s="38" t="str">
        <f>VLOOKUP(L18,'TABEL KONVERSI'!$A$3:$D$7,4)</f>
        <v>-</v>
      </c>
      <c r="P18" s="38" t="str">
        <f t="shared" si="37"/>
        <v>-</v>
      </c>
      <c r="Q18" s="38" t="str">
        <f>VLOOKUP(M18,'TABEL KONVERSI'!$A$3:$D$7,4)</f>
        <v>-</v>
      </c>
      <c r="R18" s="42"/>
      <c r="S18" s="37"/>
      <c r="T18" s="73"/>
      <c r="U18" s="73"/>
      <c r="V18" s="38" t="str">
        <f t="shared" si="38"/>
        <v/>
      </c>
      <c r="W18" s="38" t="str">
        <f t="shared" si="39"/>
        <v/>
      </c>
      <c r="X18" s="38" t="str">
        <f>IF(V18&lt;&gt;"",IF(AND(V18&gt;='TABEL KONVERSI'!$B$3,'ENTRY DATA'!V18&lt;='TABEL KONVERSI'!$C$3),1,IF(AND(V18&gt;='TABEL KONVERSI'!$B$4,'ENTRY DATA'!V18&lt;='TABEL KONVERSI'!$C$4),2,IF(AND(V18&gt;='TABEL KONVERSI'!$B$5,'ENTRY DATA'!V18&lt;='TABEL KONVERSI'!$C$5),3,IF(AND(V18&gt;='TABEL KONVERSI'!$B$6,'ENTRY DATA'!V18&lt;='TABEL KONVERSI'!$C$6),4,"")))),"-")</f>
        <v>-</v>
      </c>
      <c r="Y18" s="38" t="str">
        <f>IF(W18&lt;&gt;"",IF(AND(W18&gt;='TABEL KONVERSI'!$B$3,'ENTRY DATA'!W18&lt;='TABEL KONVERSI'!$C$3),1,IF(AND(W18&gt;='TABEL KONVERSI'!$B$4,'ENTRY DATA'!W18&lt;='TABEL KONVERSI'!$C$4),2,IF(AND(W18&gt;='TABEL KONVERSI'!$B$5,'ENTRY DATA'!W18&lt;='TABEL KONVERSI'!$C$5),3,IF(AND(W18&gt;='TABEL KONVERSI'!$B$6,'ENTRY DATA'!W18&lt;='TABEL KONVERSI'!$C$6),4,"")))),"-")</f>
        <v>-</v>
      </c>
      <c r="Z18" s="38" t="str">
        <f t="shared" si="40"/>
        <v>-</v>
      </c>
      <c r="AA18" s="38" t="str">
        <f>VLOOKUP(X18,'TABEL KONVERSI'!$A$3:$D$7,4)</f>
        <v>-</v>
      </c>
      <c r="AB18" s="38" t="str">
        <f t="shared" si="41"/>
        <v>-</v>
      </c>
      <c r="AC18" s="38" t="str">
        <f>VLOOKUP(Y18,'TABEL KONVERSI'!$A$3:$D$7,4)</f>
        <v>-</v>
      </c>
      <c r="AD18" s="42"/>
      <c r="AE18" s="37"/>
      <c r="AF18" s="73"/>
      <c r="AG18" s="73"/>
      <c r="AH18" s="38" t="str">
        <f t="shared" si="42"/>
        <v/>
      </c>
      <c r="AI18" s="38" t="str">
        <f t="shared" si="43"/>
        <v/>
      </c>
      <c r="AJ18" s="38" t="str">
        <f>IF(AH18&lt;&gt;"",IF(AND(AH18&gt;='TABEL KONVERSI'!$B$3,'ENTRY DATA'!AH18&lt;='TABEL KONVERSI'!$C$3),1,IF(AND(AH18&gt;='TABEL KONVERSI'!$B$4,'ENTRY DATA'!AH18&lt;='TABEL KONVERSI'!$C$4),2,IF(AND(AH18&gt;='TABEL KONVERSI'!$B$5,'ENTRY DATA'!AH18&lt;='TABEL KONVERSI'!$C$5),3,IF(AND(AH18&gt;='TABEL KONVERSI'!$B$6,'ENTRY DATA'!AH18&lt;='TABEL KONVERSI'!$C$6),4,"")))),"-")</f>
        <v>-</v>
      </c>
      <c r="AK18" s="38" t="str">
        <f>IF(AI18&lt;&gt;"",IF(AND(AI18&gt;='TABEL KONVERSI'!$B$3,'ENTRY DATA'!AI18&lt;='TABEL KONVERSI'!$C$3),1,IF(AND(AI18&gt;='TABEL KONVERSI'!$B$4,'ENTRY DATA'!AI18&lt;='TABEL KONVERSI'!$C$4),2,IF(AND(AI18&gt;='TABEL KONVERSI'!$B$5,'ENTRY DATA'!AI18&lt;='TABEL KONVERSI'!$C$5),3,IF(AND(AI18&gt;='TABEL KONVERSI'!$B$6,'ENTRY DATA'!AI18&lt;='TABEL KONVERSI'!$C$6),4,"")))),"-")</f>
        <v>-</v>
      </c>
      <c r="AL18" s="38" t="str">
        <f t="shared" si="44"/>
        <v>-</v>
      </c>
      <c r="AM18" s="38" t="str">
        <f>VLOOKUP(AJ18,'TABEL KONVERSI'!$A$3:$D$7,4)</f>
        <v>-</v>
      </c>
      <c r="AN18" s="38" t="str">
        <f t="shared" si="45"/>
        <v>-</v>
      </c>
      <c r="AO18" s="38" t="str">
        <f>VLOOKUP(AK18,'TABEL KONVERSI'!$A$3:$D$7,4)</f>
        <v>-</v>
      </c>
      <c r="AP18" s="42"/>
      <c r="AQ18" s="37"/>
      <c r="AR18" s="73"/>
      <c r="AS18" s="73"/>
      <c r="AT18" s="38" t="str">
        <f t="shared" si="46"/>
        <v/>
      </c>
      <c r="AU18" s="38" t="str">
        <f t="shared" si="47"/>
        <v/>
      </c>
      <c r="AV18" s="38" t="str">
        <f>IF(AT18&lt;&gt;"",IF(AND(AT18&gt;='TABEL KONVERSI'!$B$3,'ENTRY DATA'!AT18&lt;='TABEL KONVERSI'!$C$3),1,IF(AND(AT18&gt;='TABEL KONVERSI'!$B$4,'ENTRY DATA'!AT18&lt;='TABEL KONVERSI'!$C$4),2,IF(AND(AT18&gt;='TABEL KONVERSI'!$B$5,'ENTRY DATA'!AT18&lt;='TABEL KONVERSI'!$C$5),3,IF(AND(AT18&gt;='TABEL KONVERSI'!$B$6,'ENTRY DATA'!AT18&lt;='TABEL KONVERSI'!$C$6),4,"")))),"-")</f>
        <v>-</v>
      </c>
      <c r="AW18" s="38" t="str">
        <f>IF(AU18&lt;&gt;"",IF(AND(AU18&gt;='TABEL KONVERSI'!$B$3,'ENTRY DATA'!AU18&lt;='TABEL KONVERSI'!$C$3),1,IF(AND(AU18&gt;='TABEL KONVERSI'!$B$4,'ENTRY DATA'!AU18&lt;='TABEL KONVERSI'!$C$4),2,IF(AND(AU18&gt;='TABEL KONVERSI'!$B$5,'ENTRY DATA'!AU18&lt;='TABEL KONVERSI'!$C$5),3,IF(AND(AU18&gt;='TABEL KONVERSI'!$B$6,'ENTRY DATA'!AU18&lt;='TABEL KONVERSI'!$C$6),4,"")))),"-")</f>
        <v>-</v>
      </c>
      <c r="AX18" s="38" t="str">
        <f t="shared" si="48"/>
        <v>-</v>
      </c>
      <c r="AY18" s="38" t="str">
        <f>VLOOKUP(AV18,'TABEL KONVERSI'!$A$3:$D$7,4)</f>
        <v>-</v>
      </c>
      <c r="AZ18" s="38" t="str">
        <f t="shared" si="49"/>
        <v>-</v>
      </c>
      <c r="BA18" s="38" t="str">
        <f>VLOOKUP(AW18,'TABEL KONVERSI'!$A$3:$D$7,4)</f>
        <v>-</v>
      </c>
      <c r="BB18" s="42"/>
      <c r="BC18" s="37"/>
      <c r="BD18" s="73"/>
      <c r="BE18" s="73"/>
      <c r="BF18" s="38" t="str">
        <f t="shared" si="50"/>
        <v/>
      </c>
      <c r="BG18" s="38" t="str">
        <f t="shared" si="51"/>
        <v/>
      </c>
      <c r="BH18" s="38" t="str">
        <f>IF(BF18&lt;&gt;"",IF(AND(BF18&gt;='TABEL KONVERSI'!$B$3,'ENTRY DATA'!BF18&lt;='TABEL KONVERSI'!$C$3),1,IF(AND(BF18&gt;='TABEL KONVERSI'!$B$4,'ENTRY DATA'!BF18&lt;='TABEL KONVERSI'!$C$4),2,IF(AND(BF18&gt;='TABEL KONVERSI'!$B$5,'ENTRY DATA'!BF18&lt;='TABEL KONVERSI'!$C$5),3,IF(AND(BF18&gt;='TABEL KONVERSI'!$B$6,'ENTRY DATA'!BF18&lt;='TABEL KONVERSI'!$C$6),4,"")))),"-")</f>
        <v>-</v>
      </c>
      <c r="BI18" s="38" t="str">
        <f>IF(BG18&lt;&gt;"",IF(AND(BG18&gt;='TABEL KONVERSI'!$B$3,'ENTRY DATA'!BG18&lt;='TABEL KONVERSI'!$C$3),1,IF(AND(BG18&gt;='TABEL KONVERSI'!$B$4,'ENTRY DATA'!BG18&lt;='TABEL KONVERSI'!$C$4),2,IF(AND(BG18&gt;='TABEL KONVERSI'!$B$5,'ENTRY DATA'!BG18&lt;='TABEL KONVERSI'!$C$5),3,IF(AND(BG18&gt;='TABEL KONVERSI'!$B$6,'ENTRY DATA'!BG18&lt;='TABEL KONVERSI'!$C$6),4,"")))),"-")</f>
        <v>-</v>
      </c>
      <c r="BJ18" s="38" t="str">
        <f t="shared" si="52"/>
        <v>-</v>
      </c>
      <c r="BK18" s="38" t="str">
        <f>VLOOKUP(BH18,'TABEL KONVERSI'!$A$3:$D$7,4)</f>
        <v>-</v>
      </c>
      <c r="BL18" s="38" t="str">
        <f t="shared" si="53"/>
        <v>-</v>
      </c>
      <c r="BM18" s="38" t="str">
        <f>VLOOKUP(BI18,'TABEL KONVERSI'!$A$3:$D$7,4)</f>
        <v>-</v>
      </c>
      <c r="BN18" s="42"/>
      <c r="BO18" s="37"/>
      <c r="BP18" s="73"/>
      <c r="BQ18" s="73"/>
      <c r="BR18" s="38" t="str">
        <f t="shared" si="54"/>
        <v/>
      </c>
      <c r="BS18" s="38" t="str">
        <f t="shared" si="55"/>
        <v/>
      </c>
      <c r="BT18" s="38" t="str">
        <f>IF(BR18&lt;&gt;"",IF(AND(BR18&gt;='TABEL KONVERSI'!$B$3,'ENTRY DATA'!BR18&lt;='TABEL KONVERSI'!$C$3),1,IF(AND(BR18&gt;='TABEL KONVERSI'!$B$4,'ENTRY DATA'!BR18&lt;='TABEL KONVERSI'!$C$4),2,IF(AND(BR18&gt;='TABEL KONVERSI'!$B$5,'ENTRY DATA'!BR18&lt;='TABEL KONVERSI'!$C$5),3,IF(AND(BR18&gt;='TABEL KONVERSI'!$B$6,'ENTRY DATA'!BR18&lt;='TABEL KONVERSI'!$C$6),4,"")))),"-")</f>
        <v>-</v>
      </c>
      <c r="BU18" s="38" t="str">
        <f>IF(BS18&lt;&gt;"",IF(AND(BS18&gt;='TABEL KONVERSI'!$B$3,'ENTRY DATA'!BS18&lt;='TABEL KONVERSI'!$C$3),1,IF(AND(BS18&gt;='TABEL KONVERSI'!$B$4,'ENTRY DATA'!BS18&lt;='TABEL KONVERSI'!$C$4),2,IF(AND(BS18&gt;='TABEL KONVERSI'!$B$5,'ENTRY DATA'!BS18&lt;='TABEL KONVERSI'!$C$5),3,IF(AND(BS18&gt;='TABEL KONVERSI'!$B$6,'ENTRY DATA'!BS18&lt;='TABEL KONVERSI'!$C$6),4,"")))),"-")</f>
        <v>-</v>
      </c>
      <c r="BV18" s="38" t="str">
        <f t="shared" si="56"/>
        <v>-</v>
      </c>
      <c r="BW18" s="38" t="str">
        <f>VLOOKUP(BT18,'TABEL KONVERSI'!$A$3:$D$7,4)</f>
        <v>-</v>
      </c>
      <c r="BX18" s="38" t="str">
        <f t="shared" si="57"/>
        <v>-</v>
      </c>
      <c r="BY18" s="38" t="str">
        <f>VLOOKUP(BU18,'TABEL KONVERSI'!$A$3:$D$7,4)</f>
        <v>-</v>
      </c>
      <c r="BZ18" s="42"/>
      <c r="CA18" s="37"/>
      <c r="CB18" s="73"/>
      <c r="CC18" s="73"/>
      <c r="CD18" s="38" t="str">
        <f t="shared" si="58"/>
        <v/>
      </c>
      <c r="CE18" s="38" t="str">
        <f t="shared" si="59"/>
        <v/>
      </c>
      <c r="CF18" s="38" t="str">
        <f>IF(CD18&lt;&gt;"",IF(AND(CD18&gt;='TABEL KONVERSI'!$B$3,'ENTRY DATA'!CD18&lt;='TABEL KONVERSI'!$C$3),1,IF(AND(CD18&gt;='TABEL KONVERSI'!$B$4,'ENTRY DATA'!CD18&lt;='TABEL KONVERSI'!$C$4),2,IF(AND(CD18&gt;='TABEL KONVERSI'!$B$5,'ENTRY DATA'!CD18&lt;='TABEL KONVERSI'!$C$5),3,IF(AND(CD18&gt;='TABEL KONVERSI'!$B$6,'ENTRY DATA'!CD18&lt;='TABEL KONVERSI'!$C$6),4,"")))),"-")</f>
        <v>-</v>
      </c>
      <c r="CG18" s="38" t="str">
        <f>IF(CE18&lt;&gt;"",IF(AND(CE18&gt;='TABEL KONVERSI'!$B$3,'ENTRY DATA'!CE18&lt;='TABEL KONVERSI'!$C$3),1,IF(AND(CE18&gt;='TABEL KONVERSI'!$B$4,'ENTRY DATA'!CE18&lt;='TABEL KONVERSI'!$C$4),2,IF(AND(CE18&gt;='TABEL KONVERSI'!$B$5,'ENTRY DATA'!CE18&lt;='TABEL KONVERSI'!$C$5),3,IF(AND(CE18&gt;='TABEL KONVERSI'!$B$6,'ENTRY DATA'!CE18&lt;='TABEL KONVERSI'!$C$6),4,"")))),"-")</f>
        <v>-</v>
      </c>
      <c r="CH18" s="38" t="str">
        <f t="shared" si="60"/>
        <v>-</v>
      </c>
      <c r="CI18" s="38" t="str">
        <f>VLOOKUP(CF18,'TABEL KONVERSI'!$A$3:$D$7,4)</f>
        <v>-</v>
      </c>
      <c r="CJ18" s="38" t="str">
        <f t="shared" si="61"/>
        <v>-</v>
      </c>
      <c r="CK18" s="38" t="str">
        <f>VLOOKUP(CG18,'TABEL KONVERSI'!$A$3:$D$7,4)</f>
        <v>-</v>
      </c>
      <c r="CL18" s="42"/>
      <c r="CM18" s="37"/>
      <c r="CN18" s="73"/>
      <c r="CO18" s="73"/>
      <c r="CP18" s="38" t="str">
        <f t="shared" si="62"/>
        <v/>
      </c>
      <c r="CQ18" s="38" t="str">
        <f t="shared" si="63"/>
        <v/>
      </c>
      <c r="CR18" s="38" t="str">
        <f>IF(CP18&lt;&gt;"",IF(AND(CP18&gt;='TABEL KONVERSI'!$B$3,'ENTRY DATA'!CP18&lt;='TABEL KONVERSI'!$C$3),1,IF(AND(CP18&gt;='TABEL KONVERSI'!$B$4,'ENTRY DATA'!CP18&lt;='TABEL KONVERSI'!$C$4),2,IF(AND(CP18&gt;='TABEL KONVERSI'!$B$5,'ENTRY DATA'!CP18&lt;='TABEL KONVERSI'!$C$5),3,IF(AND(CP18&gt;='TABEL KONVERSI'!$B$6,'ENTRY DATA'!CP18&lt;='TABEL KONVERSI'!$C$6),4,"")))),"-")</f>
        <v>-</v>
      </c>
      <c r="CS18" s="38" t="str">
        <f>IF(CQ18&lt;&gt;"",IF(AND(CQ18&gt;='TABEL KONVERSI'!$B$3,'ENTRY DATA'!CQ18&lt;='TABEL KONVERSI'!$C$3),1,IF(AND(CQ18&gt;='TABEL KONVERSI'!$B$4,'ENTRY DATA'!CQ18&lt;='TABEL KONVERSI'!$C$4),2,IF(AND(CQ18&gt;='TABEL KONVERSI'!$B$5,'ENTRY DATA'!CQ18&lt;='TABEL KONVERSI'!$C$5),3,IF(AND(CQ18&gt;='TABEL KONVERSI'!$B$6,'ENTRY DATA'!CQ18&lt;='TABEL KONVERSI'!$C$6),4,"")))),"-")</f>
        <v>-</v>
      </c>
      <c r="CT18" s="38" t="str">
        <f t="shared" si="64"/>
        <v>-</v>
      </c>
      <c r="CU18" s="38" t="str">
        <f>VLOOKUP(CR18,'TABEL KONVERSI'!$A$3:$D$7,4)</f>
        <v>-</v>
      </c>
      <c r="CV18" s="38" t="str">
        <f t="shared" si="65"/>
        <v>-</v>
      </c>
      <c r="CW18" s="38" t="str">
        <f>VLOOKUP(CS18,'TABEL KONVERSI'!$A$3:$D$7,4)</f>
        <v>-</v>
      </c>
      <c r="CX18" s="42"/>
      <c r="CY18" s="37"/>
      <c r="CZ18" s="73"/>
      <c r="DA18" s="73"/>
      <c r="DB18" s="38" t="str">
        <f t="shared" si="66"/>
        <v/>
      </c>
      <c r="DC18" s="38" t="str">
        <f t="shared" si="67"/>
        <v/>
      </c>
      <c r="DD18" s="38" t="str">
        <f>IF(DB18&lt;&gt;"",IF(AND(DB18&gt;='TABEL KONVERSI'!$B$3,'ENTRY DATA'!DB18&lt;='TABEL KONVERSI'!$C$3),1,IF(AND(DB18&gt;='TABEL KONVERSI'!$B$4,'ENTRY DATA'!DB18&lt;='TABEL KONVERSI'!$C$4),2,IF(AND(DB18&gt;='TABEL KONVERSI'!$B$5,'ENTRY DATA'!DB18&lt;='TABEL KONVERSI'!$C$5),3,IF(AND(DB18&gt;='TABEL KONVERSI'!$B$6,'ENTRY DATA'!DB18&lt;='TABEL KONVERSI'!$C$6),4,"")))),"-")</f>
        <v>-</v>
      </c>
      <c r="DE18" s="38" t="str">
        <f>IF(DC18&lt;&gt;"",IF(AND(DC18&gt;='TABEL KONVERSI'!$B$3,'ENTRY DATA'!DC18&lt;='TABEL KONVERSI'!$C$3),1,IF(AND(DC18&gt;='TABEL KONVERSI'!$B$4,'ENTRY DATA'!DC18&lt;='TABEL KONVERSI'!$C$4),2,IF(AND(DC18&gt;='TABEL KONVERSI'!$B$5,'ENTRY DATA'!DC18&lt;='TABEL KONVERSI'!$C$5),3,IF(AND(DC18&gt;='TABEL KONVERSI'!$B$6,'ENTRY DATA'!DC18&lt;='TABEL KONVERSI'!$C$6),4,"")))),"-")</f>
        <v>-</v>
      </c>
      <c r="DF18" s="38" t="str">
        <f t="shared" si="68"/>
        <v>-</v>
      </c>
      <c r="DG18" s="38" t="str">
        <f>VLOOKUP(DD18,'TABEL KONVERSI'!$A$3:$D$7,4)</f>
        <v>-</v>
      </c>
      <c r="DH18" s="38" t="str">
        <f t="shared" si="69"/>
        <v>-</v>
      </c>
      <c r="DI18" s="38" t="str">
        <f>VLOOKUP(DE18,'TABEL KONVERSI'!$A$3:$D$7,4)</f>
        <v>-</v>
      </c>
      <c r="DJ18" s="42"/>
      <c r="DK18" s="37"/>
      <c r="DL18" s="73"/>
      <c r="DM18" s="73"/>
      <c r="DN18" s="38" t="str">
        <f t="shared" si="70"/>
        <v/>
      </c>
      <c r="DO18" s="38" t="str">
        <f t="shared" si="71"/>
        <v/>
      </c>
      <c r="DP18" s="38" t="str">
        <f>IF(DN18&lt;&gt;"",IF(AND(DN18&gt;='TABEL KONVERSI'!$B$3,'ENTRY DATA'!DN18&lt;='TABEL KONVERSI'!$C$3),1,IF(AND(DN18&gt;='TABEL KONVERSI'!$B$4,'ENTRY DATA'!DN18&lt;='TABEL KONVERSI'!$C$4),2,IF(AND(DN18&gt;='TABEL KONVERSI'!$B$5,'ENTRY DATA'!DN18&lt;='TABEL KONVERSI'!$C$5),3,IF(AND(DN18&gt;='TABEL KONVERSI'!$B$6,'ENTRY DATA'!DN18&lt;='TABEL KONVERSI'!$C$6),4,"")))),"-")</f>
        <v>-</v>
      </c>
      <c r="DQ18" s="38" t="str">
        <f>IF(DO18&lt;&gt;"",IF(AND(DO18&gt;='TABEL KONVERSI'!$B$3,'ENTRY DATA'!DO18&lt;='TABEL KONVERSI'!$C$3),1,IF(AND(DO18&gt;='TABEL KONVERSI'!$B$4,'ENTRY DATA'!DO18&lt;='TABEL KONVERSI'!$C$4),2,IF(AND(DO18&gt;='TABEL KONVERSI'!$B$5,'ENTRY DATA'!DO18&lt;='TABEL KONVERSI'!$C$5),3,IF(AND(DO18&gt;='TABEL KONVERSI'!$B$6,'ENTRY DATA'!DO18&lt;='TABEL KONVERSI'!$C$6),4,"")))),"-")</f>
        <v>-</v>
      </c>
      <c r="DR18" s="38" t="str">
        <f t="shared" si="72"/>
        <v>-</v>
      </c>
      <c r="DS18" s="38" t="str">
        <f>VLOOKUP(DP18,'TABEL KONVERSI'!$A$3:$D$7,4)</f>
        <v>-</v>
      </c>
      <c r="DT18" s="38" t="str">
        <f t="shared" si="73"/>
        <v>-</v>
      </c>
      <c r="DU18" s="38" t="str">
        <f>VLOOKUP(DQ18,'TABEL KONVERSI'!$A$3:$D$7,4)</f>
        <v>-</v>
      </c>
      <c r="DV18" s="42"/>
      <c r="DW18" s="37"/>
      <c r="DX18" s="73"/>
      <c r="DY18" s="73"/>
      <c r="DZ18" s="38" t="str">
        <f t="shared" si="74"/>
        <v/>
      </c>
      <c r="EA18" s="38" t="str">
        <f t="shared" si="75"/>
        <v/>
      </c>
      <c r="EB18" s="38" t="str">
        <f>IF(DZ18&lt;&gt;"",IF(AND(DZ18&gt;='TABEL KONVERSI'!$B$3,'ENTRY DATA'!DZ18&lt;='TABEL KONVERSI'!$C$3),1,IF(AND(DZ18&gt;='TABEL KONVERSI'!$B$4,'ENTRY DATA'!DZ18&lt;='TABEL KONVERSI'!$C$4),2,IF(AND(DZ18&gt;='TABEL KONVERSI'!$B$5,'ENTRY DATA'!DZ18&lt;='TABEL KONVERSI'!$C$5),3,IF(AND(DZ18&gt;='TABEL KONVERSI'!$B$6,'ENTRY DATA'!DZ18&lt;='TABEL KONVERSI'!$C$6),4,"")))),"-")</f>
        <v>-</v>
      </c>
      <c r="EC18" s="38" t="str">
        <f>IF(EA18&lt;&gt;"",IF(AND(EA18&gt;='TABEL KONVERSI'!$B$3,'ENTRY DATA'!EA18&lt;='TABEL KONVERSI'!$C$3),1,IF(AND(EA18&gt;='TABEL KONVERSI'!$B$4,'ENTRY DATA'!EA18&lt;='TABEL KONVERSI'!$C$4),2,IF(AND(EA18&gt;='TABEL KONVERSI'!$B$5,'ENTRY DATA'!EA18&lt;='TABEL KONVERSI'!$C$5),3,IF(AND(EA18&gt;='TABEL KONVERSI'!$B$6,'ENTRY DATA'!EA18&lt;='TABEL KONVERSI'!$C$6),4,"")))),"-")</f>
        <v>-</v>
      </c>
      <c r="ED18" s="38" t="str">
        <f t="shared" si="76"/>
        <v>-</v>
      </c>
      <c r="EE18" s="38" t="str">
        <f>VLOOKUP(EB18,'TABEL KONVERSI'!$A$3:$D$7,4)</f>
        <v>-</v>
      </c>
      <c r="EF18" s="38" t="str">
        <f t="shared" si="77"/>
        <v>-</v>
      </c>
      <c r="EG18" s="38" t="str">
        <f>VLOOKUP(EC18,'TABEL KONVERSI'!$A$3:$D$7,4)</f>
        <v>-</v>
      </c>
      <c r="EH18" s="42"/>
      <c r="EI18" s="37"/>
      <c r="EJ18" s="73"/>
      <c r="EK18" s="73"/>
      <c r="EL18" s="38" t="str">
        <f t="shared" si="78"/>
        <v/>
      </c>
      <c r="EM18" s="38" t="str">
        <f t="shared" si="79"/>
        <v/>
      </c>
      <c r="EN18" s="38" t="str">
        <f>IF(EL18&lt;&gt;"",IF(AND(EL18&gt;='TABEL KONVERSI'!$B$3,'ENTRY DATA'!EL18&lt;='TABEL KONVERSI'!$C$3),1,IF(AND(EL18&gt;='TABEL KONVERSI'!$B$4,'ENTRY DATA'!EL18&lt;='TABEL KONVERSI'!$C$4),2,IF(AND(EL18&gt;='TABEL KONVERSI'!$B$5,'ENTRY DATA'!EL18&lt;='TABEL KONVERSI'!$C$5),3,IF(AND(EL18&gt;='TABEL KONVERSI'!$B$6,'ENTRY DATA'!EL18&lt;='TABEL KONVERSI'!$C$6),4,"")))),"-")</f>
        <v>-</v>
      </c>
      <c r="EO18" s="38" t="str">
        <f>IF(EM18&lt;&gt;"",IF(AND(EM18&gt;='TABEL KONVERSI'!$B$3,'ENTRY DATA'!EM18&lt;='TABEL KONVERSI'!$C$3),1,IF(AND(EM18&gt;='TABEL KONVERSI'!$B$4,'ENTRY DATA'!EM18&lt;='TABEL KONVERSI'!$C$4),2,IF(AND(EM18&gt;='TABEL KONVERSI'!$B$5,'ENTRY DATA'!EM18&lt;='TABEL KONVERSI'!$C$5),3,IF(AND(EM18&gt;='TABEL KONVERSI'!$B$6,'ENTRY DATA'!EM18&lt;='TABEL KONVERSI'!$C$6),4,"")))),"-")</f>
        <v>-</v>
      </c>
      <c r="EP18" s="38" t="str">
        <f t="shared" si="80"/>
        <v>-</v>
      </c>
      <c r="EQ18" s="38" t="str">
        <f>VLOOKUP(EN18,'TABEL KONVERSI'!$A$3:$D$7,4)</f>
        <v>-</v>
      </c>
      <c r="ER18" s="38" t="str">
        <f t="shared" si="81"/>
        <v>-</v>
      </c>
      <c r="ES18" s="38" t="str">
        <f>VLOOKUP(EO18,'TABEL KONVERSI'!$A$3:$D$7,4)</f>
        <v>-</v>
      </c>
      <c r="ET18" s="42"/>
      <c r="EU18" s="37"/>
      <c r="EV18" s="73"/>
      <c r="EW18" s="73"/>
      <c r="EX18" s="38" t="str">
        <f t="shared" si="82"/>
        <v/>
      </c>
      <c r="EY18" s="38" t="str">
        <f t="shared" si="83"/>
        <v/>
      </c>
      <c r="EZ18" s="38" t="str">
        <f>IF(EX18&lt;&gt;"",IF(AND(EX18&gt;='TABEL KONVERSI'!$B$3,'ENTRY DATA'!EX18&lt;='TABEL KONVERSI'!$C$3),1,IF(AND(EX18&gt;='TABEL KONVERSI'!$B$4,'ENTRY DATA'!EX18&lt;='TABEL KONVERSI'!$C$4),2,IF(AND(EX18&gt;='TABEL KONVERSI'!$B$5,'ENTRY DATA'!EX18&lt;='TABEL KONVERSI'!$C$5),3,IF(AND(EX18&gt;='TABEL KONVERSI'!$B$6,'ENTRY DATA'!EX18&lt;='TABEL KONVERSI'!$C$6),4,"")))),"-")</f>
        <v>-</v>
      </c>
      <c r="FA18" s="38" t="str">
        <f>IF(EY18&lt;&gt;"",IF(AND(EY18&gt;='TABEL KONVERSI'!$B$3,'ENTRY DATA'!EY18&lt;='TABEL KONVERSI'!$C$3),1,IF(AND(EY18&gt;='TABEL KONVERSI'!$B$4,'ENTRY DATA'!EY18&lt;='TABEL KONVERSI'!$C$4),2,IF(AND(EY18&gt;='TABEL KONVERSI'!$B$5,'ENTRY DATA'!EY18&lt;='TABEL KONVERSI'!$C$5),3,IF(AND(EY18&gt;='TABEL KONVERSI'!$B$6,'ENTRY DATA'!EY18&lt;='TABEL KONVERSI'!$C$6),4,"")))),"-")</f>
        <v>-</v>
      </c>
      <c r="FB18" s="38" t="str">
        <f t="shared" si="84"/>
        <v>-</v>
      </c>
      <c r="FC18" s="38" t="str">
        <f>VLOOKUP(EZ18,'TABEL KONVERSI'!$A$3:$D$7,4)</f>
        <v>-</v>
      </c>
      <c r="FD18" s="38" t="str">
        <f t="shared" si="85"/>
        <v>-</v>
      </c>
      <c r="FE18" s="38" t="str">
        <f>VLOOKUP(FA18,'TABEL KONVERSI'!$A$3:$D$7,4)</f>
        <v>-</v>
      </c>
      <c r="FF18" s="42"/>
      <c r="FG18" s="37"/>
      <c r="FH18" s="73"/>
      <c r="FI18" s="73"/>
      <c r="FJ18" s="38" t="str">
        <f t="shared" si="86"/>
        <v/>
      </c>
      <c r="FK18" s="38" t="str">
        <f t="shared" si="87"/>
        <v/>
      </c>
      <c r="FL18" s="38" t="str">
        <f>IF(FJ18&lt;&gt;"",IF(AND(FJ18&gt;='TABEL KONVERSI'!$B$3,'ENTRY DATA'!FJ18&lt;='TABEL KONVERSI'!$C$3),1,IF(AND(FJ18&gt;='TABEL KONVERSI'!$B$4,'ENTRY DATA'!FJ18&lt;='TABEL KONVERSI'!$C$4),2,IF(AND(FJ18&gt;='TABEL KONVERSI'!$B$5,'ENTRY DATA'!FJ18&lt;='TABEL KONVERSI'!$C$5),3,IF(AND(FJ18&gt;='TABEL KONVERSI'!$B$6,'ENTRY DATA'!FJ18&lt;='TABEL KONVERSI'!$C$6),4,"")))),"-")</f>
        <v>-</v>
      </c>
      <c r="FM18" s="38" t="str">
        <f>IF(FK18&lt;&gt;"",IF(AND(FK18&gt;='TABEL KONVERSI'!$B$3,'ENTRY DATA'!FK18&lt;='TABEL KONVERSI'!$C$3),1,IF(AND(FK18&gt;='TABEL KONVERSI'!$B$4,'ENTRY DATA'!FK18&lt;='TABEL KONVERSI'!$C$4),2,IF(AND(FK18&gt;='TABEL KONVERSI'!$B$5,'ENTRY DATA'!FK18&lt;='TABEL KONVERSI'!$C$5),3,IF(AND(FK18&gt;='TABEL KONVERSI'!$B$6,'ENTRY DATA'!FK18&lt;='TABEL KONVERSI'!$C$6),4,"")))),"-")</f>
        <v>-</v>
      </c>
      <c r="FN18" s="38" t="str">
        <f t="shared" si="88"/>
        <v>-</v>
      </c>
      <c r="FO18" s="38" t="str">
        <f>VLOOKUP(FL18,'TABEL KONVERSI'!$A$3:$D$7,4)</f>
        <v>-</v>
      </c>
      <c r="FP18" s="38" t="str">
        <f t="shared" si="89"/>
        <v>-</v>
      </c>
      <c r="FQ18" s="38" t="str">
        <f>VLOOKUP(FM18,'TABEL KONVERSI'!$A$3:$D$7,4)</f>
        <v>-</v>
      </c>
      <c r="FR18" s="42"/>
      <c r="FS18" s="37"/>
      <c r="FT18" s="73"/>
      <c r="FU18" s="73"/>
      <c r="FV18" s="38" t="str">
        <f t="shared" si="90"/>
        <v/>
      </c>
      <c r="FW18" s="38" t="str">
        <f t="shared" si="91"/>
        <v/>
      </c>
      <c r="FX18" s="38" t="str">
        <f>IF(FV18&lt;&gt;"",IF(AND(FV18&gt;='TABEL KONVERSI'!$B$3,'ENTRY DATA'!FV18&lt;='TABEL KONVERSI'!$C$3),1,IF(AND(FV18&gt;='TABEL KONVERSI'!$B$4,'ENTRY DATA'!FV18&lt;='TABEL KONVERSI'!$C$4),2,IF(AND(FV18&gt;='TABEL KONVERSI'!$B$5,'ENTRY DATA'!FV18&lt;='TABEL KONVERSI'!$C$5),3,IF(AND(FV18&gt;='TABEL KONVERSI'!$B$6,'ENTRY DATA'!FV18&lt;='TABEL KONVERSI'!$C$6),4,"")))),"-")</f>
        <v>-</v>
      </c>
      <c r="FY18" s="38" t="str">
        <f>IF(FW18&lt;&gt;"",IF(AND(FW18&gt;='TABEL KONVERSI'!$B$3,'ENTRY DATA'!FW18&lt;='TABEL KONVERSI'!$C$3),1,IF(AND(FW18&gt;='TABEL KONVERSI'!$B$4,'ENTRY DATA'!FW18&lt;='TABEL KONVERSI'!$C$4),2,IF(AND(FW18&gt;='TABEL KONVERSI'!$B$5,'ENTRY DATA'!FW18&lt;='TABEL KONVERSI'!$C$5),3,IF(AND(FW18&gt;='TABEL KONVERSI'!$B$6,'ENTRY DATA'!FW18&lt;='TABEL KONVERSI'!$C$6),4,"")))),"-")</f>
        <v>-</v>
      </c>
      <c r="FZ18" s="38" t="str">
        <f t="shared" si="92"/>
        <v>-</v>
      </c>
      <c r="GA18" s="38" t="str">
        <f>VLOOKUP(FX18,'TABEL KONVERSI'!$A$3:$D$7,4)</f>
        <v>-</v>
      </c>
      <c r="GB18" s="38" t="str">
        <f t="shared" si="93"/>
        <v>-</v>
      </c>
      <c r="GC18" s="38" t="str">
        <f>VLOOKUP(FY18,'TABEL KONVERSI'!$A$3:$D$7,4)</f>
        <v>-</v>
      </c>
      <c r="GD18" s="42"/>
      <c r="GE18" s="37"/>
      <c r="GF18" s="73"/>
      <c r="GG18" s="73"/>
      <c r="GH18" s="38" t="str">
        <f t="shared" si="94"/>
        <v/>
      </c>
      <c r="GI18" s="38" t="str">
        <f t="shared" si="95"/>
        <v/>
      </c>
      <c r="GJ18" s="38" t="str">
        <f>IF(GH18&lt;&gt;"",IF(AND(GH18&gt;='TABEL KONVERSI'!$B$3,'ENTRY DATA'!GH18&lt;='TABEL KONVERSI'!$C$3),1,IF(AND(GH18&gt;='TABEL KONVERSI'!$B$4,'ENTRY DATA'!GH18&lt;='TABEL KONVERSI'!$C$4),2,IF(AND(GH18&gt;='TABEL KONVERSI'!$B$5,'ENTRY DATA'!GH18&lt;='TABEL KONVERSI'!$C$5),3,IF(AND(GH18&gt;='TABEL KONVERSI'!$B$6,'ENTRY DATA'!GH18&lt;='TABEL KONVERSI'!$C$6),4,"")))),"-")</f>
        <v>-</v>
      </c>
      <c r="GK18" s="38" t="str">
        <f>IF(GI18&lt;&gt;"",IF(AND(GI18&gt;='TABEL KONVERSI'!$B$3,'ENTRY DATA'!GI18&lt;='TABEL KONVERSI'!$C$3),1,IF(AND(GI18&gt;='TABEL KONVERSI'!$B$4,'ENTRY DATA'!GI18&lt;='TABEL KONVERSI'!$C$4),2,IF(AND(GI18&gt;='TABEL KONVERSI'!$B$5,'ENTRY DATA'!GI18&lt;='TABEL KONVERSI'!$C$5),3,IF(AND(GI18&gt;='TABEL KONVERSI'!$B$6,'ENTRY DATA'!GI18&lt;='TABEL KONVERSI'!$C$6),4,"")))),"-")</f>
        <v>-</v>
      </c>
      <c r="GL18" s="38" t="str">
        <f t="shared" si="96"/>
        <v>-</v>
      </c>
      <c r="GM18" s="38" t="str">
        <f>VLOOKUP(GJ18,'TABEL KONVERSI'!$A$3:$D$7,4)</f>
        <v>-</v>
      </c>
      <c r="GN18" s="38" t="str">
        <f t="shared" si="97"/>
        <v>-</v>
      </c>
      <c r="GO18" s="38" t="str">
        <f>VLOOKUP(GK18,'TABEL KONVERSI'!$A$3:$D$7,4)</f>
        <v>-</v>
      </c>
      <c r="GP18" s="43">
        <f t="shared" si="0"/>
        <v>0</v>
      </c>
      <c r="GQ18" s="43">
        <f t="shared" si="1"/>
        <v>0</v>
      </c>
      <c r="GR18" s="43">
        <f t="shared" si="2"/>
        <v>0</v>
      </c>
      <c r="GS18" s="43">
        <f t="shared" si="3"/>
        <v>0</v>
      </c>
      <c r="GT18" s="43">
        <f t="shared" si="4"/>
        <v>0</v>
      </c>
      <c r="GU18" s="43">
        <f t="shared" si="5"/>
        <v>0</v>
      </c>
      <c r="GV18" s="43">
        <f t="shared" si="6"/>
        <v>0</v>
      </c>
      <c r="GW18" s="43">
        <f t="shared" si="7"/>
        <v>0</v>
      </c>
      <c r="GX18" s="43">
        <f t="shared" si="8"/>
        <v>0</v>
      </c>
      <c r="GY18" s="43">
        <f t="shared" si="9"/>
        <v>0</v>
      </c>
      <c r="GZ18" s="43">
        <f t="shared" si="10"/>
        <v>0</v>
      </c>
      <c r="HA18" s="43">
        <f t="shared" si="11"/>
        <v>0</v>
      </c>
      <c r="HB18" s="43">
        <f t="shared" si="12"/>
        <v>0</v>
      </c>
      <c r="HC18" s="43">
        <f t="shared" si="13"/>
        <v>0</v>
      </c>
      <c r="HD18" s="43">
        <f t="shared" si="14"/>
        <v>0</v>
      </c>
      <c r="HE18" s="43">
        <f t="shared" si="15"/>
        <v>0</v>
      </c>
      <c r="HF18" s="38">
        <f t="shared" si="98"/>
        <v>0</v>
      </c>
      <c r="HG18" s="38">
        <f t="shared" si="99"/>
        <v>0</v>
      </c>
      <c r="HH18" s="38">
        <f t="shared" si="100"/>
        <v>0</v>
      </c>
      <c r="HI18" s="39">
        <f t="shared" si="101"/>
        <v>0</v>
      </c>
      <c r="HJ18" s="44" t="str">
        <f t="shared" si="102"/>
        <v>-</v>
      </c>
      <c r="HK18" s="45" t="str">
        <f>VLOOKUP(HJ18,'TABEL KONVERSI'!$B$11:$D$15,2,0)</f>
        <v>-</v>
      </c>
      <c r="HL18" s="43">
        <f t="shared" si="16"/>
        <v>0</v>
      </c>
      <c r="HM18" s="43">
        <f t="shared" si="17"/>
        <v>0</v>
      </c>
      <c r="HN18" s="43">
        <f t="shared" si="18"/>
        <v>0</v>
      </c>
      <c r="HO18" s="43">
        <f t="shared" si="19"/>
        <v>0</v>
      </c>
      <c r="HP18" s="43">
        <f t="shared" si="20"/>
        <v>0</v>
      </c>
      <c r="HQ18" s="43">
        <f t="shared" si="21"/>
        <v>0</v>
      </c>
      <c r="HR18" s="43">
        <f t="shared" si="22"/>
        <v>0</v>
      </c>
      <c r="HS18" s="43">
        <f t="shared" si="23"/>
        <v>0</v>
      </c>
      <c r="HT18" s="43">
        <f t="shared" si="24"/>
        <v>0</v>
      </c>
      <c r="HU18" s="43">
        <f t="shared" si="25"/>
        <v>0</v>
      </c>
      <c r="HV18" s="43">
        <f t="shared" si="26"/>
        <v>0</v>
      </c>
      <c r="HW18" s="43">
        <f t="shared" si="27"/>
        <v>0</v>
      </c>
      <c r="HX18" s="43">
        <f t="shared" si="28"/>
        <v>0</v>
      </c>
      <c r="HY18" s="43">
        <f t="shared" si="29"/>
        <v>0</v>
      </c>
      <c r="HZ18" s="43">
        <f t="shared" si="30"/>
        <v>0</v>
      </c>
      <c r="IA18" s="43">
        <f t="shared" si="31"/>
        <v>0</v>
      </c>
      <c r="IB18" s="38">
        <f t="shared" si="103"/>
        <v>0</v>
      </c>
      <c r="IC18" s="38">
        <f t="shared" si="104"/>
        <v>0</v>
      </c>
      <c r="ID18" s="38">
        <f t="shared" si="105"/>
        <v>0</v>
      </c>
      <c r="IE18" s="38">
        <f t="shared" si="106"/>
        <v>0</v>
      </c>
      <c r="IF18" s="46" t="str">
        <f t="shared" si="107"/>
        <v>-</v>
      </c>
      <c r="IG18" s="45" t="str">
        <f>VLOOKUP(IF18,'TABEL KONVERSI'!$B$11:$D$15,3,0)</f>
        <v>-</v>
      </c>
      <c r="IH18" s="40" t="s">
        <v>223</v>
      </c>
      <c r="II18" s="41" t="s">
        <v>106</v>
      </c>
      <c r="IJ18" s="45" t="str">
        <f>IF(II18&lt;&gt;"",VLOOKUP(II18,'TABEL KONVERSI'!$A$19:$B$23,2,0),"")</f>
        <v>Aktif dalam mengikuti kegiatan</v>
      </c>
      <c r="IK18" s="47" t="s">
        <v>58</v>
      </c>
      <c r="IL18" s="50" t="s">
        <v>58</v>
      </c>
      <c r="IM18" s="45" t="str">
        <f>IF(IL18&lt;&gt;"",VLOOKUP(IL18,'TABEL KONVERSI'!$A$19:$B$23,2,0),"")</f>
        <v>-</v>
      </c>
      <c r="IN18" s="49" t="s">
        <v>58</v>
      </c>
      <c r="IO18" s="48" t="s">
        <v>58</v>
      </c>
      <c r="IP18" s="45" t="str">
        <f>IF(IO18&lt;&gt;"",VLOOKUP(IO18,'TABEL KONVERSI'!$A$19:$B$23,2,0),"")</f>
        <v>-</v>
      </c>
      <c r="IQ18" s="49" t="s">
        <v>58</v>
      </c>
      <c r="IR18" s="50" t="s">
        <v>58</v>
      </c>
      <c r="IS18" s="45" t="str">
        <f>IF(IR18&lt;&gt;"",VLOOKUP(IR18,'TABEL KONVERSI'!$A$19:$B$23,2,0),"")</f>
        <v>-</v>
      </c>
      <c r="IT18" s="49" t="s">
        <v>58</v>
      </c>
      <c r="IU18" s="50" t="s">
        <v>58</v>
      </c>
      <c r="IV18" s="45" t="str">
        <f>IF(IU18&lt;&gt;"",VLOOKUP(IU18,'TABEL KONVERSI'!$A$19:$B$23,2,0),"")</f>
        <v>-</v>
      </c>
      <c r="IW18" s="48" t="s">
        <v>58</v>
      </c>
      <c r="IX18" s="48" t="s">
        <v>58</v>
      </c>
      <c r="IY18" s="48" t="s">
        <v>58</v>
      </c>
      <c r="IZ18" s="47" t="s">
        <v>58</v>
      </c>
      <c r="JA18" s="45">
        <f t="shared" si="32"/>
        <v>0</v>
      </c>
      <c r="JB18" s="45">
        <f t="shared" si="33"/>
        <v>1</v>
      </c>
    </row>
    <row r="19" spans="1:262" x14ac:dyDescent="0.25">
      <c r="A19" s="33">
        <v>7</v>
      </c>
      <c r="B19" s="51"/>
      <c r="C19" s="51"/>
      <c r="D19" s="77"/>
      <c r="E19" s="52"/>
      <c r="F19" s="42"/>
      <c r="G19" s="37"/>
      <c r="H19" s="73"/>
      <c r="I19" s="73"/>
      <c r="J19" s="38" t="str">
        <f t="shared" si="34"/>
        <v/>
      </c>
      <c r="K19" s="38" t="str">
        <f t="shared" si="35"/>
        <v/>
      </c>
      <c r="L19" s="38" t="str">
        <f>IF(J19&lt;&gt;"",IF(AND(J19&gt;='TABEL KONVERSI'!$B$3,'ENTRY DATA'!J19&lt;='TABEL KONVERSI'!$C$3),1,IF(AND(J19&gt;='TABEL KONVERSI'!$B$4,'ENTRY DATA'!J19&lt;='TABEL KONVERSI'!$C$4),2,IF(AND(J19&gt;='TABEL KONVERSI'!$B$5,'ENTRY DATA'!J19&lt;='TABEL KONVERSI'!$C$5),3,IF(AND(J19&gt;='TABEL KONVERSI'!$B$6,'ENTRY DATA'!J19&lt;='TABEL KONVERSI'!$C$6),4,"")))),"-")</f>
        <v>-</v>
      </c>
      <c r="M19" s="38" t="str">
        <f>IF(K19&lt;&gt;"",IF(AND(K19&gt;='TABEL KONVERSI'!$B$3,'ENTRY DATA'!K19&lt;='TABEL KONVERSI'!$C$3),1,IF(AND(K19&gt;='TABEL KONVERSI'!$B$4,'ENTRY DATA'!K19&lt;='TABEL KONVERSI'!$C$4),2,IF(AND(K19&gt;='TABEL KONVERSI'!$B$5,'ENTRY DATA'!K19&lt;='TABEL KONVERSI'!$C$5),3,IF(AND(K19&gt;='TABEL KONVERSI'!$B$6,'ENTRY DATA'!K19&lt;='TABEL KONVERSI'!$C$6),4,"")))),"-")</f>
        <v>-</v>
      </c>
      <c r="N19" s="38" t="str">
        <f t="shared" si="36"/>
        <v>-</v>
      </c>
      <c r="O19" s="38" t="str">
        <f>VLOOKUP(L19,'TABEL KONVERSI'!$A$3:$D$7,4)</f>
        <v>-</v>
      </c>
      <c r="P19" s="38" t="str">
        <f t="shared" si="37"/>
        <v>-</v>
      </c>
      <c r="Q19" s="38" t="str">
        <f>VLOOKUP(M19,'TABEL KONVERSI'!$A$3:$D$7,4)</f>
        <v>-</v>
      </c>
      <c r="R19" s="42"/>
      <c r="S19" s="37"/>
      <c r="T19" s="73"/>
      <c r="U19" s="73"/>
      <c r="V19" s="38" t="str">
        <f t="shared" si="38"/>
        <v/>
      </c>
      <c r="W19" s="38" t="str">
        <f t="shared" si="39"/>
        <v/>
      </c>
      <c r="X19" s="38" t="str">
        <f>IF(V19&lt;&gt;"",IF(AND(V19&gt;='TABEL KONVERSI'!$B$3,'ENTRY DATA'!V19&lt;='TABEL KONVERSI'!$C$3),1,IF(AND(V19&gt;='TABEL KONVERSI'!$B$4,'ENTRY DATA'!V19&lt;='TABEL KONVERSI'!$C$4),2,IF(AND(V19&gt;='TABEL KONVERSI'!$B$5,'ENTRY DATA'!V19&lt;='TABEL KONVERSI'!$C$5),3,IF(AND(V19&gt;='TABEL KONVERSI'!$B$6,'ENTRY DATA'!V19&lt;='TABEL KONVERSI'!$C$6),4,"")))),"-")</f>
        <v>-</v>
      </c>
      <c r="Y19" s="38" t="str">
        <f>IF(W19&lt;&gt;"",IF(AND(W19&gt;='TABEL KONVERSI'!$B$3,'ENTRY DATA'!W19&lt;='TABEL KONVERSI'!$C$3),1,IF(AND(W19&gt;='TABEL KONVERSI'!$B$4,'ENTRY DATA'!W19&lt;='TABEL KONVERSI'!$C$4),2,IF(AND(W19&gt;='TABEL KONVERSI'!$B$5,'ENTRY DATA'!W19&lt;='TABEL KONVERSI'!$C$5),3,IF(AND(W19&gt;='TABEL KONVERSI'!$B$6,'ENTRY DATA'!W19&lt;='TABEL KONVERSI'!$C$6),4,"")))),"-")</f>
        <v>-</v>
      </c>
      <c r="Z19" s="38" t="str">
        <f t="shared" si="40"/>
        <v>-</v>
      </c>
      <c r="AA19" s="38" t="str">
        <f>VLOOKUP(X19,'TABEL KONVERSI'!$A$3:$D$7,4)</f>
        <v>-</v>
      </c>
      <c r="AB19" s="38" t="str">
        <f t="shared" si="41"/>
        <v>-</v>
      </c>
      <c r="AC19" s="38" t="str">
        <f>VLOOKUP(Y19,'TABEL KONVERSI'!$A$3:$D$7,4)</f>
        <v>-</v>
      </c>
      <c r="AD19" s="42"/>
      <c r="AE19" s="37"/>
      <c r="AF19" s="73"/>
      <c r="AG19" s="73"/>
      <c r="AH19" s="38" t="str">
        <f t="shared" si="42"/>
        <v/>
      </c>
      <c r="AI19" s="38" t="str">
        <f t="shared" si="43"/>
        <v/>
      </c>
      <c r="AJ19" s="38" t="str">
        <f>IF(AH19&lt;&gt;"",IF(AND(AH19&gt;='TABEL KONVERSI'!$B$3,'ENTRY DATA'!AH19&lt;='TABEL KONVERSI'!$C$3),1,IF(AND(AH19&gt;='TABEL KONVERSI'!$B$4,'ENTRY DATA'!AH19&lt;='TABEL KONVERSI'!$C$4),2,IF(AND(AH19&gt;='TABEL KONVERSI'!$B$5,'ENTRY DATA'!AH19&lt;='TABEL KONVERSI'!$C$5),3,IF(AND(AH19&gt;='TABEL KONVERSI'!$B$6,'ENTRY DATA'!AH19&lt;='TABEL KONVERSI'!$C$6),4,"")))),"-")</f>
        <v>-</v>
      </c>
      <c r="AK19" s="38" t="str">
        <f>IF(AI19&lt;&gt;"",IF(AND(AI19&gt;='TABEL KONVERSI'!$B$3,'ENTRY DATA'!AI19&lt;='TABEL KONVERSI'!$C$3),1,IF(AND(AI19&gt;='TABEL KONVERSI'!$B$4,'ENTRY DATA'!AI19&lt;='TABEL KONVERSI'!$C$4),2,IF(AND(AI19&gt;='TABEL KONVERSI'!$B$5,'ENTRY DATA'!AI19&lt;='TABEL KONVERSI'!$C$5),3,IF(AND(AI19&gt;='TABEL KONVERSI'!$B$6,'ENTRY DATA'!AI19&lt;='TABEL KONVERSI'!$C$6),4,"")))),"-")</f>
        <v>-</v>
      </c>
      <c r="AL19" s="38" t="str">
        <f t="shared" si="44"/>
        <v>-</v>
      </c>
      <c r="AM19" s="38" t="str">
        <f>VLOOKUP(AJ19,'TABEL KONVERSI'!$A$3:$D$7,4)</f>
        <v>-</v>
      </c>
      <c r="AN19" s="38" t="str">
        <f t="shared" si="45"/>
        <v>-</v>
      </c>
      <c r="AO19" s="38" t="str">
        <f>VLOOKUP(AK19,'TABEL KONVERSI'!$A$3:$D$7,4)</f>
        <v>-</v>
      </c>
      <c r="AP19" s="42"/>
      <c r="AQ19" s="37"/>
      <c r="AR19" s="73"/>
      <c r="AS19" s="73"/>
      <c r="AT19" s="38" t="str">
        <f t="shared" si="46"/>
        <v/>
      </c>
      <c r="AU19" s="38" t="str">
        <f t="shared" si="47"/>
        <v/>
      </c>
      <c r="AV19" s="38" t="str">
        <f>IF(AT19&lt;&gt;"",IF(AND(AT19&gt;='TABEL KONVERSI'!$B$3,'ENTRY DATA'!AT19&lt;='TABEL KONVERSI'!$C$3),1,IF(AND(AT19&gt;='TABEL KONVERSI'!$B$4,'ENTRY DATA'!AT19&lt;='TABEL KONVERSI'!$C$4),2,IF(AND(AT19&gt;='TABEL KONVERSI'!$B$5,'ENTRY DATA'!AT19&lt;='TABEL KONVERSI'!$C$5),3,IF(AND(AT19&gt;='TABEL KONVERSI'!$B$6,'ENTRY DATA'!AT19&lt;='TABEL KONVERSI'!$C$6),4,"")))),"-")</f>
        <v>-</v>
      </c>
      <c r="AW19" s="38" t="str">
        <f>IF(AU19&lt;&gt;"",IF(AND(AU19&gt;='TABEL KONVERSI'!$B$3,'ENTRY DATA'!AU19&lt;='TABEL KONVERSI'!$C$3),1,IF(AND(AU19&gt;='TABEL KONVERSI'!$B$4,'ENTRY DATA'!AU19&lt;='TABEL KONVERSI'!$C$4),2,IF(AND(AU19&gt;='TABEL KONVERSI'!$B$5,'ENTRY DATA'!AU19&lt;='TABEL KONVERSI'!$C$5),3,IF(AND(AU19&gt;='TABEL KONVERSI'!$B$6,'ENTRY DATA'!AU19&lt;='TABEL KONVERSI'!$C$6),4,"")))),"-")</f>
        <v>-</v>
      </c>
      <c r="AX19" s="38" t="str">
        <f t="shared" si="48"/>
        <v>-</v>
      </c>
      <c r="AY19" s="38" t="str">
        <f>VLOOKUP(AV19,'TABEL KONVERSI'!$A$3:$D$7,4)</f>
        <v>-</v>
      </c>
      <c r="AZ19" s="38" t="str">
        <f t="shared" si="49"/>
        <v>-</v>
      </c>
      <c r="BA19" s="38" t="str">
        <f>VLOOKUP(AW19,'TABEL KONVERSI'!$A$3:$D$7,4)</f>
        <v>-</v>
      </c>
      <c r="BB19" s="42"/>
      <c r="BC19" s="37"/>
      <c r="BD19" s="73"/>
      <c r="BE19" s="73"/>
      <c r="BF19" s="38" t="str">
        <f t="shared" si="50"/>
        <v/>
      </c>
      <c r="BG19" s="38" t="str">
        <f t="shared" si="51"/>
        <v/>
      </c>
      <c r="BH19" s="38" t="str">
        <f>IF(BF19&lt;&gt;"",IF(AND(BF19&gt;='TABEL KONVERSI'!$B$3,'ENTRY DATA'!BF19&lt;='TABEL KONVERSI'!$C$3),1,IF(AND(BF19&gt;='TABEL KONVERSI'!$B$4,'ENTRY DATA'!BF19&lt;='TABEL KONVERSI'!$C$4),2,IF(AND(BF19&gt;='TABEL KONVERSI'!$B$5,'ENTRY DATA'!BF19&lt;='TABEL KONVERSI'!$C$5),3,IF(AND(BF19&gt;='TABEL KONVERSI'!$B$6,'ENTRY DATA'!BF19&lt;='TABEL KONVERSI'!$C$6),4,"")))),"-")</f>
        <v>-</v>
      </c>
      <c r="BI19" s="38" t="str">
        <f>IF(BG19&lt;&gt;"",IF(AND(BG19&gt;='TABEL KONVERSI'!$B$3,'ENTRY DATA'!BG19&lt;='TABEL KONVERSI'!$C$3),1,IF(AND(BG19&gt;='TABEL KONVERSI'!$B$4,'ENTRY DATA'!BG19&lt;='TABEL KONVERSI'!$C$4),2,IF(AND(BG19&gt;='TABEL KONVERSI'!$B$5,'ENTRY DATA'!BG19&lt;='TABEL KONVERSI'!$C$5),3,IF(AND(BG19&gt;='TABEL KONVERSI'!$B$6,'ENTRY DATA'!BG19&lt;='TABEL KONVERSI'!$C$6),4,"")))),"-")</f>
        <v>-</v>
      </c>
      <c r="BJ19" s="38" t="str">
        <f t="shared" si="52"/>
        <v>-</v>
      </c>
      <c r="BK19" s="38" t="str">
        <f>VLOOKUP(BH19,'TABEL KONVERSI'!$A$3:$D$7,4)</f>
        <v>-</v>
      </c>
      <c r="BL19" s="38" t="str">
        <f t="shared" si="53"/>
        <v>-</v>
      </c>
      <c r="BM19" s="38" t="str">
        <f>VLOOKUP(BI19,'TABEL KONVERSI'!$A$3:$D$7,4)</f>
        <v>-</v>
      </c>
      <c r="BN19" s="42"/>
      <c r="BO19" s="37"/>
      <c r="BP19" s="73"/>
      <c r="BQ19" s="73"/>
      <c r="BR19" s="38" t="str">
        <f t="shared" si="54"/>
        <v/>
      </c>
      <c r="BS19" s="38" t="str">
        <f t="shared" si="55"/>
        <v/>
      </c>
      <c r="BT19" s="38" t="str">
        <f>IF(BR19&lt;&gt;"",IF(AND(BR19&gt;='TABEL KONVERSI'!$B$3,'ENTRY DATA'!BR19&lt;='TABEL KONVERSI'!$C$3),1,IF(AND(BR19&gt;='TABEL KONVERSI'!$B$4,'ENTRY DATA'!BR19&lt;='TABEL KONVERSI'!$C$4),2,IF(AND(BR19&gt;='TABEL KONVERSI'!$B$5,'ENTRY DATA'!BR19&lt;='TABEL KONVERSI'!$C$5),3,IF(AND(BR19&gt;='TABEL KONVERSI'!$B$6,'ENTRY DATA'!BR19&lt;='TABEL KONVERSI'!$C$6),4,"")))),"-")</f>
        <v>-</v>
      </c>
      <c r="BU19" s="38" t="str">
        <f>IF(BS19&lt;&gt;"",IF(AND(BS19&gt;='TABEL KONVERSI'!$B$3,'ENTRY DATA'!BS19&lt;='TABEL KONVERSI'!$C$3),1,IF(AND(BS19&gt;='TABEL KONVERSI'!$B$4,'ENTRY DATA'!BS19&lt;='TABEL KONVERSI'!$C$4),2,IF(AND(BS19&gt;='TABEL KONVERSI'!$B$5,'ENTRY DATA'!BS19&lt;='TABEL KONVERSI'!$C$5),3,IF(AND(BS19&gt;='TABEL KONVERSI'!$B$6,'ENTRY DATA'!BS19&lt;='TABEL KONVERSI'!$C$6),4,"")))),"-")</f>
        <v>-</v>
      </c>
      <c r="BV19" s="38" t="str">
        <f t="shared" si="56"/>
        <v>-</v>
      </c>
      <c r="BW19" s="38" t="str">
        <f>VLOOKUP(BT19,'TABEL KONVERSI'!$A$3:$D$7,4)</f>
        <v>-</v>
      </c>
      <c r="BX19" s="38" t="str">
        <f t="shared" si="57"/>
        <v>-</v>
      </c>
      <c r="BY19" s="38" t="str">
        <f>VLOOKUP(BU19,'TABEL KONVERSI'!$A$3:$D$7,4)</f>
        <v>-</v>
      </c>
      <c r="BZ19" s="42"/>
      <c r="CA19" s="37"/>
      <c r="CB19" s="73"/>
      <c r="CC19" s="73"/>
      <c r="CD19" s="38" t="str">
        <f t="shared" si="58"/>
        <v/>
      </c>
      <c r="CE19" s="38" t="str">
        <f t="shared" si="59"/>
        <v/>
      </c>
      <c r="CF19" s="38" t="str">
        <f>IF(CD19&lt;&gt;"",IF(AND(CD19&gt;='TABEL KONVERSI'!$B$3,'ENTRY DATA'!CD19&lt;='TABEL KONVERSI'!$C$3),1,IF(AND(CD19&gt;='TABEL KONVERSI'!$B$4,'ENTRY DATA'!CD19&lt;='TABEL KONVERSI'!$C$4),2,IF(AND(CD19&gt;='TABEL KONVERSI'!$B$5,'ENTRY DATA'!CD19&lt;='TABEL KONVERSI'!$C$5),3,IF(AND(CD19&gt;='TABEL KONVERSI'!$B$6,'ENTRY DATA'!CD19&lt;='TABEL KONVERSI'!$C$6),4,"")))),"-")</f>
        <v>-</v>
      </c>
      <c r="CG19" s="38" t="str">
        <f>IF(CE19&lt;&gt;"",IF(AND(CE19&gt;='TABEL KONVERSI'!$B$3,'ENTRY DATA'!CE19&lt;='TABEL KONVERSI'!$C$3),1,IF(AND(CE19&gt;='TABEL KONVERSI'!$B$4,'ENTRY DATA'!CE19&lt;='TABEL KONVERSI'!$C$4),2,IF(AND(CE19&gt;='TABEL KONVERSI'!$B$5,'ENTRY DATA'!CE19&lt;='TABEL KONVERSI'!$C$5),3,IF(AND(CE19&gt;='TABEL KONVERSI'!$B$6,'ENTRY DATA'!CE19&lt;='TABEL KONVERSI'!$C$6),4,"")))),"-")</f>
        <v>-</v>
      </c>
      <c r="CH19" s="38" t="str">
        <f t="shared" si="60"/>
        <v>-</v>
      </c>
      <c r="CI19" s="38" t="str">
        <f>VLOOKUP(CF19,'TABEL KONVERSI'!$A$3:$D$7,4)</f>
        <v>-</v>
      </c>
      <c r="CJ19" s="38" t="str">
        <f t="shared" si="61"/>
        <v>-</v>
      </c>
      <c r="CK19" s="38" t="str">
        <f>VLOOKUP(CG19,'TABEL KONVERSI'!$A$3:$D$7,4)</f>
        <v>-</v>
      </c>
      <c r="CL19" s="42"/>
      <c r="CM19" s="37"/>
      <c r="CN19" s="73"/>
      <c r="CO19" s="73"/>
      <c r="CP19" s="38" t="str">
        <f t="shared" si="62"/>
        <v/>
      </c>
      <c r="CQ19" s="38" t="str">
        <f t="shared" si="63"/>
        <v/>
      </c>
      <c r="CR19" s="38" t="str">
        <f>IF(CP19&lt;&gt;"",IF(AND(CP19&gt;='TABEL KONVERSI'!$B$3,'ENTRY DATA'!CP19&lt;='TABEL KONVERSI'!$C$3),1,IF(AND(CP19&gt;='TABEL KONVERSI'!$B$4,'ENTRY DATA'!CP19&lt;='TABEL KONVERSI'!$C$4),2,IF(AND(CP19&gt;='TABEL KONVERSI'!$B$5,'ENTRY DATA'!CP19&lt;='TABEL KONVERSI'!$C$5),3,IF(AND(CP19&gt;='TABEL KONVERSI'!$B$6,'ENTRY DATA'!CP19&lt;='TABEL KONVERSI'!$C$6),4,"")))),"-")</f>
        <v>-</v>
      </c>
      <c r="CS19" s="38" t="str">
        <f>IF(CQ19&lt;&gt;"",IF(AND(CQ19&gt;='TABEL KONVERSI'!$B$3,'ENTRY DATA'!CQ19&lt;='TABEL KONVERSI'!$C$3),1,IF(AND(CQ19&gt;='TABEL KONVERSI'!$B$4,'ENTRY DATA'!CQ19&lt;='TABEL KONVERSI'!$C$4),2,IF(AND(CQ19&gt;='TABEL KONVERSI'!$B$5,'ENTRY DATA'!CQ19&lt;='TABEL KONVERSI'!$C$5),3,IF(AND(CQ19&gt;='TABEL KONVERSI'!$B$6,'ENTRY DATA'!CQ19&lt;='TABEL KONVERSI'!$C$6),4,"")))),"-")</f>
        <v>-</v>
      </c>
      <c r="CT19" s="38" t="str">
        <f t="shared" si="64"/>
        <v>-</v>
      </c>
      <c r="CU19" s="38" t="str">
        <f>VLOOKUP(CR19,'TABEL KONVERSI'!$A$3:$D$7,4)</f>
        <v>-</v>
      </c>
      <c r="CV19" s="38" t="str">
        <f t="shared" si="65"/>
        <v>-</v>
      </c>
      <c r="CW19" s="38" t="str">
        <f>VLOOKUP(CS19,'TABEL KONVERSI'!$A$3:$D$7,4)</f>
        <v>-</v>
      </c>
      <c r="CX19" s="42"/>
      <c r="CY19" s="37"/>
      <c r="CZ19" s="73"/>
      <c r="DA19" s="73"/>
      <c r="DB19" s="38" t="str">
        <f t="shared" si="66"/>
        <v/>
      </c>
      <c r="DC19" s="38" t="str">
        <f t="shared" si="67"/>
        <v/>
      </c>
      <c r="DD19" s="38" t="str">
        <f>IF(DB19&lt;&gt;"",IF(AND(DB19&gt;='TABEL KONVERSI'!$B$3,'ENTRY DATA'!DB19&lt;='TABEL KONVERSI'!$C$3),1,IF(AND(DB19&gt;='TABEL KONVERSI'!$B$4,'ENTRY DATA'!DB19&lt;='TABEL KONVERSI'!$C$4),2,IF(AND(DB19&gt;='TABEL KONVERSI'!$B$5,'ENTRY DATA'!DB19&lt;='TABEL KONVERSI'!$C$5),3,IF(AND(DB19&gt;='TABEL KONVERSI'!$B$6,'ENTRY DATA'!DB19&lt;='TABEL KONVERSI'!$C$6),4,"")))),"-")</f>
        <v>-</v>
      </c>
      <c r="DE19" s="38" t="str">
        <f>IF(DC19&lt;&gt;"",IF(AND(DC19&gt;='TABEL KONVERSI'!$B$3,'ENTRY DATA'!DC19&lt;='TABEL KONVERSI'!$C$3),1,IF(AND(DC19&gt;='TABEL KONVERSI'!$B$4,'ENTRY DATA'!DC19&lt;='TABEL KONVERSI'!$C$4),2,IF(AND(DC19&gt;='TABEL KONVERSI'!$B$5,'ENTRY DATA'!DC19&lt;='TABEL KONVERSI'!$C$5),3,IF(AND(DC19&gt;='TABEL KONVERSI'!$B$6,'ENTRY DATA'!DC19&lt;='TABEL KONVERSI'!$C$6),4,"")))),"-")</f>
        <v>-</v>
      </c>
      <c r="DF19" s="38" t="str">
        <f t="shared" si="68"/>
        <v>-</v>
      </c>
      <c r="DG19" s="38" t="str">
        <f>VLOOKUP(DD19,'TABEL KONVERSI'!$A$3:$D$7,4)</f>
        <v>-</v>
      </c>
      <c r="DH19" s="38" t="str">
        <f t="shared" si="69"/>
        <v>-</v>
      </c>
      <c r="DI19" s="38" t="str">
        <f>VLOOKUP(DE19,'TABEL KONVERSI'!$A$3:$D$7,4)</f>
        <v>-</v>
      </c>
      <c r="DJ19" s="42"/>
      <c r="DK19" s="37"/>
      <c r="DL19" s="73"/>
      <c r="DM19" s="73"/>
      <c r="DN19" s="38" t="str">
        <f t="shared" si="70"/>
        <v/>
      </c>
      <c r="DO19" s="38" t="str">
        <f t="shared" si="71"/>
        <v/>
      </c>
      <c r="DP19" s="38" t="str">
        <f>IF(DN19&lt;&gt;"",IF(AND(DN19&gt;='TABEL KONVERSI'!$B$3,'ENTRY DATA'!DN19&lt;='TABEL KONVERSI'!$C$3),1,IF(AND(DN19&gt;='TABEL KONVERSI'!$B$4,'ENTRY DATA'!DN19&lt;='TABEL KONVERSI'!$C$4),2,IF(AND(DN19&gt;='TABEL KONVERSI'!$B$5,'ENTRY DATA'!DN19&lt;='TABEL KONVERSI'!$C$5),3,IF(AND(DN19&gt;='TABEL KONVERSI'!$B$6,'ENTRY DATA'!DN19&lt;='TABEL KONVERSI'!$C$6),4,"")))),"-")</f>
        <v>-</v>
      </c>
      <c r="DQ19" s="38" t="str">
        <f>IF(DO19&lt;&gt;"",IF(AND(DO19&gt;='TABEL KONVERSI'!$B$3,'ENTRY DATA'!DO19&lt;='TABEL KONVERSI'!$C$3),1,IF(AND(DO19&gt;='TABEL KONVERSI'!$B$4,'ENTRY DATA'!DO19&lt;='TABEL KONVERSI'!$C$4),2,IF(AND(DO19&gt;='TABEL KONVERSI'!$B$5,'ENTRY DATA'!DO19&lt;='TABEL KONVERSI'!$C$5),3,IF(AND(DO19&gt;='TABEL KONVERSI'!$B$6,'ENTRY DATA'!DO19&lt;='TABEL KONVERSI'!$C$6),4,"")))),"-")</f>
        <v>-</v>
      </c>
      <c r="DR19" s="38" t="str">
        <f t="shared" si="72"/>
        <v>-</v>
      </c>
      <c r="DS19" s="38" t="str">
        <f>VLOOKUP(DP19,'TABEL KONVERSI'!$A$3:$D$7,4)</f>
        <v>-</v>
      </c>
      <c r="DT19" s="38" t="str">
        <f t="shared" si="73"/>
        <v>-</v>
      </c>
      <c r="DU19" s="38" t="str">
        <f>VLOOKUP(DQ19,'TABEL KONVERSI'!$A$3:$D$7,4)</f>
        <v>-</v>
      </c>
      <c r="DV19" s="42"/>
      <c r="DW19" s="37"/>
      <c r="DX19" s="73"/>
      <c r="DY19" s="73"/>
      <c r="DZ19" s="38" t="str">
        <f t="shared" si="74"/>
        <v/>
      </c>
      <c r="EA19" s="38" t="str">
        <f t="shared" si="75"/>
        <v/>
      </c>
      <c r="EB19" s="38" t="str">
        <f>IF(DZ19&lt;&gt;"",IF(AND(DZ19&gt;='TABEL KONVERSI'!$B$3,'ENTRY DATA'!DZ19&lt;='TABEL KONVERSI'!$C$3),1,IF(AND(DZ19&gt;='TABEL KONVERSI'!$B$4,'ENTRY DATA'!DZ19&lt;='TABEL KONVERSI'!$C$4),2,IF(AND(DZ19&gt;='TABEL KONVERSI'!$B$5,'ENTRY DATA'!DZ19&lt;='TABEL KONVERSI'!$C$5),3,IF(AND(DZ19&gt;='TABEL KONVERSI'!$B$6,'ENTRY DATA'!DZ19&lt;='TABEL KONVERSI'!$C$6),4,"")))),"-")</f>
        <v>-</v>
      </c>
      <c r="EC19" s="38" t="str">
        <f>IF(EA19&lt;&gt;"",IF(AND(EA19&gt;='TABEL KONVERSI'!$B$3,'ENTRY DATA'!EA19&lt;='TABEL KONVERSI'!$C$3),1,IF(AND(EA19&gt;='TABEL KONVERSI'!$B$4,'ENTRY DATA'!EA19&lt;='TABEL KONVERSI'!$C$4),2,IF(AND(EA19&gt;='TABEL KONVERSI'!$B$5,'ENTRY DATA'!EA19&lt;='TABEL KONVERSI'!$C$5),3,IF(AND(EA19&gt;='TABEL KONVERSI'!$B$6,'ENTRY DATA'!EA19&lt;='TABEL KONVERSI'!$C$6),4,"")))),"-")</f>
        <v>-</v>
      </c>
      <c r="ED19" s="38" t="str">
        <f t="shared" si="76"/>
        <v>-</v>
      </c>
      <c r="EE19" s="38" t="str">
        <f>VLOOKUP(EB19,'TABEL KONVERSI'!$A$3:$D$7,4)</f>
        <v>-</v>
      </c>
      <c r="EF19" s="38" t="str">
        <f t="shared" si="77"/>
        <v>-</v>
      </c>
      <c r="EG19" s="38" t="str">
        <f>VLOOKUP(EC19,'TABEL KONVERSI'!$A$3:$D$7,4)</f>
        <v>-</v>
      </c>
      <c r="EH19" s="42"/>
      <c r="EI19" s="37"/>
      <c r="EJ19" s="73"/>
      <c r="EK19" s="73"/>
      <c r="EL19" s="38" t="str">
        <f t="shared" si="78"/>
        <v/>
      </c>
      <c r="EM19" s="38" t="str">
        <f t="shared" si="79"/>
        <v/>
      </c>
      <c r="EN19" s="38" t="str">
        <f>IF(EL19&lt;&gt;"",IF(AND(EL19&gt;='TABEL KONVERSI'!$B$3,'ENTRY DATA'!EL19&lt;='TABEL KONVERSI'!$C$3),1,IF(AND(EL19&gt;='TABEL KONVERSI'!$B$4,'ENTRY DATA'!EL19&lt;='TABEL KONVERSI'!$C$4),2,IF(AND(EL19&gt;='TABEL KONVERSI'!$B$5,'ENTRY DATA'!EL19&lt;='TABEL KONVERSI'!$C$5),3,IF(AND(EL19&gt;='TABEL KONVERSI'!$B$6,'ENTRY DATA'!EL19&lt;='TABEL KONVERSI'!$C$6),4,"")))),"-")</f>
        <v>-</v>
      </c>
      <c r="EO19" s="38" t="str">
        <f>IF(EM19&lt;&gt;"",IF(AND(EM19&gt;='TABEL KONVERSI'!$B$3,'ENTRY DATA'!EM19&lt;='TABEL KONVERSI'!$C$3),1,IF(AND(EM19&gt;='TABEL KONVERSI'!$B$4,'ENTRY DATA'!EM19&lt;='TABEL KONVERSI'!$C$4),2,IF(AND(EM19&gt;='TABEL KONVERSI'!$B$5,'ENTRY DATA'!EM19&lt;='TABEL KONVERSI'!$C$5),3,IF(AND(EM19&gt;='TABEL KONVERSI'!$B$6,'ENTRY DATA'!EM19&lt;='TABEL KONVERSI'!$C$6),4,"")))),"-")</f>
        <v>-</v>
      </c>
      <c r="EP19" s="38" t="str">
        <f t="shared" si="80"/>
        <v>-</v>
      </c>
      <c r="EQ19" s="38" t="str">
        <f>VLOOKUP(EN19,'TABEL KONVERSI'!$A$3:$D$7,4)</f>
        <v>-</v>
      </c>
      <c r="ER19" s="38" t="str">
        <f t="shared" si="81"/>
        <v>-</v>
      </c>
      <c r="ES19" s="38" t="str">
        <f>VLOOKUP(EO19,'TABEL KONVERSI'!$A$3:$D$7,4)</f>
        <v>-</v>
      </c>
      <c r="ET19" s="42"/>
      <c r="EU19" s="37"/>
      <c r="EV19" s="73"/>
      <c r="EW19" s="73"/>
      <c r="EX19" s="38" t="str">
        <f t="shared" si="82"/>
        <v/>
      </c>
      <c r="EY19" s="38" t="str">
        <f t="shared" si="83"/>
        <v/>
      </c>
      <c r="EZ19" s="38" t="str">
        <f>IF(EX19&lt;&gt;"",IF(AND(EX19&gt;='TABEL KONVERSI'!$B$3,'ENTRY DATA'!EX19&lt;='TABEL KONVERSI'!$C$3),1,IF(AND(EX19&gt;='TABEL KONVERSI'!$B$4,'ENTRY DATA'!EX19&lt;='TABEL KONVERSI'!$C$4),2,IF(AND(EX19&gt;='TABEL KONVERSI'!$B$5,'ENTRY DATA'!EX19&lt;='TABEL KONVERSI'!$C$5),3,IF(AND(EX19&gt;='TABEL KONVERSI'!$B$6,'ENTRY DATA'!EX19&lt;='TABEL KONVERSI'!$C$6),4,"")))),"-")</f>
        <v>-</v>
      </c>
      <c r="FA19" s="38" t="str">
        <f>IF(EY19&lt;&gt;"",IF(AND(EY19&gt;='TABEL KONVERSI'!$B$3,'ENTRY DATA'!EY19&lt;='TABEL KONVERSI'!$C$3),1,IF(AND(EY19&gt;='TABEL KONVERSI'!$B$4,'ENTRY DATA'!EY19&lt;='TABEL KONVERSI'!$C$4),2,IF(AND(EY19&gt;='TABEL KONVERSI'!$B$5,'ENTRY DATA'!EY19&lt;='TABEL KONVERSI'!$C$5),3,IF(AND(EY19&gt;='TABEL KONVERSI'!$B$6,'ENTRY DATA'!EY19&lt;='TABEL KONVERSI'!$C$6),4,"")))),"-")</f>
        <v>-</v>
      </c>
      <c r="FB19" s="38" t="str">
        <f t="shared" si="84"/>
        <v>-</v>
      </c>
      <c r="FC19" s="38" t="str">
        <f>VLOOKUP(EZ19,'TABEL KONVERSI'!$A$3:$D$7,4)</f>
        <v>-</v>
      </c>
      <c r="FD19" s="38" t="str">
        <f t="shared" si="85"/>
        <v>-</v>
      </c>
      <c r="FE19" s="38" t="str">
        <f>VLOOKUP(FA19,'TABEL KONVERSI'!$A$3:$D$7,4)</f>
        <v>-</v>
      </c>
      <c r="FF19" s="42"/>
      <c r="FG19" s="37"/>
      <c r="FH19" s="73"/>
      <c r="FI19" s="73"/>
      <c r="FJ19" s="38" t="str">
        <f t="shared" si="86"/>
        <v/>
      </c>
      <c r="FK19" s="38" t="str">
        <f t="shared" si="87"/>
        <v/>
      </c>
      <c r="FL19" s="38" t="str">
        <f>IF(FJ19&lt;&gt;"",IF(AND(FJ19&gt;='TABEL KONVERSI'!$B$3,'ENTRY DATA'!FJ19&lt;='TABEL KONVERSI'!$C$3),1,IF(AND(FJ19&gt;='TABEL KONVERSI'!$B$4,'ENTRY DATA'!FJ19&lt;='TABEL KONVERSI'!$C$4),2,IF(AND(FJ19&gt;='TABEL KONVERSI'!$B$5,'ENTRY DATA'!FJ19&lt;='TABEL KONVERSI'!$C$5),3,IF(AND(FJ19&gt;='TABEL KONVERSI'!$B$6,'ENTRY DATA'!FJ19&lt;='TABEL KONVERSI'!$C$6),4,"")))),"-")</f>
        <v>-</v>
      </c>
      <c r="FM19" s="38" t="str">
        <f>IF(FK19&lt;&gt;"",IF(AND(FK19&gt;='TABEL KONVERSI'!$B$3,'ENTRY DATA'!FK19&lt;='TABEL KONVERSI'!$C$3),1,IF(AND(FK19&gt;='TABEL KONVERSI'!$B$4,'ENTRY DATA'!FK19&lt;='TABEL KONVERSI'!$C$4),2,IF(AND(FK19&gt;='TABEL KONVERSI'!$B$5,'ENTRY DATA'!FK19&lt;='TABEL KONVERSI'!$C$5),3,IF(AND(FK19&gt;='TABEL KONVERSI'!$B$6,'ENTRY DATA'!FK19&lt;='TABEL KONVERSI'!$C$6),4,"")))),"-")</f>
        <v>-</v>
      </c>
      <c r="FN19" s="38" t="str">
        <f t="shared" si="88"/>
        <v>-</v>
      </c>
      <c r="FO19" s="38" t="str">
        <f>VLOOKUP(FL19,'TABEL KONVERSI'!$A$3:$D$7,4)</f>
        <v>-</v>
      </c>
      <c r="FP19" s="38" t="str">
        <f t="shared" si="89"/>
        <v>-</v>
      </c>
      <c r="FQ19" s="38" t="str">
        <f>VLOOKUP(FM19,'TABEL KONVERSI'!$A$3:$D$7,4)</f>
        <v>-</v>
      </c>
      <c r="FR19" s="42"/>
      <c r="FS19" s="37"/>
      <c r="FT19" s="73"/>
      <c r="FU19" s="73"/>
      <c r="FV19" s="38" t="str">
        <f t="shared" si="90"/>
        <v/>
      </c>
      <c r="FW19" s="38" t="str">
        <f t="shared" si="91"/>
        <v/>
      </c>
      <c r="FX19" s="38" t="str">
        <f>IF(FV19&lt;&gt;"",IF(AND(FV19&gt;='TABEL KONVERSI'!$B$3,'ENTRY DATA'!FV19&lt;='TABEL KONVERSI'!$C$3),1,IF(AND(FV19&gt;='TABEL KONVERSI'!$B$4,'ENTRY DATA'!FV19&lt;='TABEL KONVERSI'!$C$4),2,IF(AND(FV19&gt;='TABEL KONVERSI'!$B$5,'ENTRY DATA'!FV19&lt;='TABEL KONVERSI'!$C$5),3,IF(AND(FV19&gt;='TABEL KONVERSI'!$B$6,'ENTRY DATA'!FV19&lt;='TABEL KONVERSI'!$C$6),4,"")))),"-")</f>
        <v>-</v>
      </c>
      <c r="FY19" s="38" t="str">
        <f>IF(FW19&lt;&gt;"",IF(AND(FW19&gt;='TABEL KONVERSI'!$B$3,'ENTRY DATA'!FW19&lt;='TABEL KONVERSI'!$C$3),1,IF(AND(FW19&gt;='TABEL KONVERSI'!$B$4,'ENTRY DATA'!FW19&lt;='TABEL KONVERSI'!$C$4),2,IF(AND(FW19&gt;='TABEL KONVERSI'!$B$5,'ENTRY DATA'!FW19&lt;='TABEL KONVERSI'!$C$5),3,IF(AND(FW19&gt;='TABEL KONVERSI'!$B$6,'ENTRY DATA'!FW19&lt;='TABEL KONVERSI'!$C$6),4,"")))),"-")</f>
        <v>-</v>
      </c>
      <c r="FZ19" s="38" t="str">
        <f t="shared" si="92"/>
        <v>-</v>
      </c>
      <c r="GA19" s="38" t="str">
        <f>VLOOKUP(FX19,'TABEL KONVERSI'!$A$3:$D$7,4)</f>
        <v>-</v>
      </c>
      <c r="GB19" s="38" t="str">
        <f t="shared" si="93"/>
        <v>-</v>
      </c>
      <c r="GC19" s="38" t="str">
        <f>VLOOKUP(FY19,'TABEL KONVERSI'!$A$3:$D$7,4)</f>
        <v>-</v>
      </c>
      <c r="GD19" s="42"/>
      <c r="GE19" s="37"/>
      <c r="GF19" s="73"/>
      <c r="GG19" s="73"/>
      <c r="GH19" s="38" t="str">
        <f t="shared" si="94"/>
        <v/>
      </c>
      <c r="GI19" s="38" t="str">
        <f t="shared" si="95"/>
        <v/>
      </c>
      <c r="GJ19" s="38" t="str">
        <f>IF(GH19&lt;&gt;"",IF(AND(GH19&gt;='TABEL KONVERSI'!$B$3,'ENTRY DATA'!GH19&lt;='TABEL KONVERSI'!$C$3),1,IF(AND(GH19&gt;='TABEL KONVERSI'!$B$4,'ENTRY DATA'!GH19&lt;='TABEL KONVERSI'!$C$4),2,IF(AND(GH19&gt;='TABEL KONVERSI'!$B$5,'ENTRY DATA'!GH19&lt;='TABEL KONVERSI'!$C$5),3,IF(AND(GH19&gt;='TABEL KONVERSI'!$B$6,'ENTRY DATA'!GH19&lt;='TABEL KONVERSI'!$C$6),4,"")))),"-")</f>
        <v>-</v>
      </c>
      <c r="GK19" s="38" t="str">
        <f>IF(GI19&lt;&gt;"",IF(AND(GI19&gt;='TABEL KONVERSI'!$B$3,'ENTRY DATA'!GI19&lt;='TABEL KONVERSI'!$C$3),1,IF(AND(GI19&gt;='TABEL KONVERSI'!$B$4,'ENTRY DATA'!GI19&lt;='TABEL KONVERSI'!$C$4),2,IF(AND(GI19&gt;='TABEL KONVERSI'!$B$5,'ENTRY DATA'!GI19&lt;='TABEL KONVERSI'!$C$5),3,IF(AND(GI19&gt;='TABEL KONVERSI'!$B$6,'ENTRY DATA'!GI19&lt;='TABEL KONVERSI'!$C$6),4,"")))),"-")</f>
        <v>-</v>
      </c>
      <c r="GL19" s="38" t="str">
        <f t="shared" si="96"/>
        <v>-</v>
      </c>
      <c r="GM19" s="38" t="str">
        <f>VLOOKUP(GJ19,'TABEL KONVERSI'!$A$3:$D$7,4)</f>
        <v>-</v>
      </c>
      <c r="GN19" s="38" t="str">
        <f t="shared" si="97"/>
        <v>-</v>
      </c>
      <c r="GO19" s="38" t="str">
        <f>VLOOKUP(GK19,'TABEL KONVERSI'!$A$3:$D$7,4)</f>
        <v>-</v>
      </c>
      <c r="GP19" s="43">
        <f t="shared" si="0"/>
        <v>0</v>
      </c>
      <c r="GQ19" s="43">
        <f t="shared" si="1"/>
        <v>0</v>
      </c>
      <c r="GR19" s="43">
        <f t="shared" si="2"/>
        <v>0</v>
      </c>
      <c r="GS19" s="43">
        <f t="shared" si="3"/>
        <v>0</v>
      </c>
      <c r="GT19" s="43">
        <f t="shared" si="4"/>
        <v>0</v>
      </c>
      <c r="GU19" s="43">
        <f t="shared" si="5"/>
        <v>0</v>
      </c>
      <c r="GV19" s="43">
        <f t="shared" si="6"/>
        <v>0</v>
      </c>
      <c r="GW19" s="43">
        <f t="shared" si="7"/>
        <v>0</v>
      </c>
      <c r="GX19" s="43">
        <f t="shared" si="8"/>
        <v>0</v>
      </c>
      <c r="GY19" s="43">
        <f t="shared" si="9"/>
        <v>0</v>
      </c>
      <c r="GZ19" s="43">
        <f t="shared" si="10"/>
        <v>0</v>
      </c>
      <c r="HA19" s="43">
        <f t="shared" si="11"/>
        <v>0</v>
      </c>
      <c r="HB19" s="43">
        <f t="shared" si="12"/>
        <v>0</v>
      </c>
      <c r="HC19" s="43">
        <f t="shared" si="13"/>
        <v>0</v>
      </c>
      <c r="HD19" s="43">
        <f t="shared" si="14"/>
        <v>0</v>
      </c>
      <c r="HE19" s="43">
        <f t="shared" si="15"/>
        <v>0</v>
      </c>
      <c r="HF19" s="38">
        <f t="shared" si="98"/>
        <v>0</v>
      </c>
      <c r="HG19" s="38">
        <f t="shared" si="99"/>
        <v>0</v>
      </c>
      <c r="HH19" s="38">
        <f t="shared" si="100"/>
        <v>0</v>
      </c>
      <c r="HI19" s="39">
        <f t="shared" si="101"/>
        <v>0</v>
      </c>
      <c r="HJ19" s="44" t="str">
        <f t="shared" si="102"/>
        <v>-</v>
      </c>
      <c r="HK19" s="45" t="str">
        <f>VLOOKUP(HJ19,'TABEL KONVERSI'!$B$11:$D$15,2,0)</f>
        <v>-</v>
      </c>
      <c r="HL19" s="43">
        <f t="shared" si="16"/>
        <v>0</v>
      </c>
      <c r="HM19" s="43">
        <f t="shared" si="17"/>
        <v>0</v>
      </c>
      <c r="HN19" s="43">
        <f t="shared" si="18"/>
        <v>0</v>
      </c>
      <c r="HO19" s="43">
        <f t="shared" si="19"/>
        <v>0</v>
      </c>
      <c r="HP19" s="43">
        <f t="shared" si="20"/>
        <v>0</v>
      </c>
      <c r="HQ19" s="43">
        <f t="shared" si="21"/>
        <v>0</v>
      </c>
      <c r="HR19" s="43">
        <f t="shared" si="22"/>
        <v>0</v>
      </c>
      <c r="HS19" s="43">
        <f t="shared" si="23"/>
        <v>0</v>
      </c>
      <c r="HT19" s="43">
        <f t="shared" si="24"/>
        <v>0</v>
      </c>
      <c r="HU19" s="43">
        <f t="shared" si="25"/>
        <v>0</v>
      </c>
      <c r="HV19" s="43">
        <f t="shared" si="26"/>
        <v>0</v>
      </c>
      <c r="HW19" s="43">
        <f t="shared" si="27"/>
        <v>0</v>
      </c>
      <c r="HX19" s="43">
        <f t="shared" si="28"/>
        <v>0</v>
      </c>
      <c r="HY19" s="43">
        <f t="shared" si="29"/>
        <v>0</v>
      </c>
      <c r="HZ19" s="43">
        <f t="shared" si="30"/>
        <v>0</v>
      </c>
      <c r="IA19" s="43">
        <f t="shared" si="31"/>
        <v>0</v>
      </c>
      <c r="IB19" s="38">
        <f t="shared" si="103"/>
        <v>0</v>
      </c>
      <c r="IC19" s="38">
        <f t="shared" si="104"/>
        <v>0</v>
      </c>
      <c r="ID19" s="38">
        <f t="shared" si="105"/>
        <v>0</v>
      </c>
      <c r="IE19" s="38">
        <f t="shared" si="106"/>
        <v>0</v>
      </c>
      <c r="IF19" s="46" t="str">
        <f t="shared" si="107"/>
        <v>-</v>
      </c>
      <c r="IG19" s="45" t="str">
        <f>VLOOKUP(IF19,'TABEL KONVERSI'!$B$11:$D$15,3,0)</f>
        <v>-</v>
      </c>
      <c r="IH19" s="40" t="s">
        <v>223</v>
      </c>
      <c r="II19" s="41" t="s">
        <v>106</v>
      </c>
      <c r="IJ19" s="45" t="str">
        <f>IF(II19&lt;&gt;"",VLOOKUP(II19,'TABEL KONVERSI'!$A$19:$B$23,2,0),"")</f>
        <v>Aktif dalam mengikuti kegiatan</v>
      </c>
      <c r="IK19" s="47" t="s">
        <v>58</v>
      </c>
      <c r="IL19" s="50" t="s">
        <v>58</v>
      </c>
      <c r="IM19" s="45" t="str">
        <f>IF(IL19&lt;&gt;"",VLOOKUP(IL19,'TABEL KONVERSI'!$A$19:$B$23,2,0),"")</f>
        <v>-</v>
      </c>
      <c r="IN19" s="49" t="s">
        <v>58</v>
      </c>
      <c r="IO19" s="48" t="s">
        <v>58</v>
      </c>
      <c r="IP19" s="45" t="str">
        <f>IF(IO19&lt;&gt;"",VLOOKUP(IO19,'TABEL KONVERSI'!$A$19:$B$23,2,0),"")</f>
        <v>-</v>
      </c>
      <c r="IQ19" s="49" t="s">
        <v>58</v>
      </c>
      <c r="IR19" s="50" t="s">
        <v>58</v>
      </c>
      <c r="IS19" s="45" t="str">
        <f>IF(IR19&lt;&gt;"",VLOOKUP(IR19,'TABEL KONVERSI'!$A$19:$B$23,2,0),"")</f>
        <v>-</v>
      </c>
      <c r="IT19" s="49" t="s">
        <v>58</v>
      </c>
      <c r="IU19" s="50" t="s">
        <v>58</v>
      </c>
      <c r="IV19" s="45" t="str">
        <f>IF(IU19&lt;&gt;"",VLOOKUP(IU19,'TABEL KONVERSI'!$A$19:$B$23,2,0),"")</f>
        <v>-</v>
      </c>
      <c r="IW19" s="48" t="s">
        <v>58</v>
      </c>
      <c r="IX19" s="48" t="s">
        <v>58</v>
      </c>
      <c r="IY19" s="48" t="s">
        <v>58</v>
      </c>
      <c r="IZ19" s="47" t="s">
        <v>58</v>
      </c>
      <c r="JA19" s="45">
        <f t="shared" si="32"/>
        <v>0</v>
      </c>
      <c r="JB19" s="45">
        <f t="shared" si="33"/>
        <v>1</v>
      </c>
    </row>
    <row r="20" spans="1:262" x14ac:dyDescent="0.25">
      <c r="A20" s="33">
        <v>8</v>
      </c>
      <c r="B20" s="51"/>
      <c r="C20" s="51"/>
      <c r="D20" s="77"/>
      <c r="E20" s="52"/>
      <c r="F20" s="42"/>
      <c r="G20" s="37"/>
      <c r="H20" s="73"/>
      <c r="I20" s="73"/>
      <c r="J20" s="38" t="str">
        <f t="shared" si="34"/>
        <v/>
      </c>
      <c r="K20" s="38" t="str">
        <f t="shared" si="35"/>
        <v/>
      </c>
      <c r="L20" s="38" t="str">
        <f>IF(J20&lt;&gt;"",IF(AND(J20&gt;='TABEL KONVERSI'!$B$3,'ENTRY DATA'!J20&lt;='TABEL KONVERSI'!$C$3),1,IF(AND(J20&gt;='TABEL KONVERSI'!$B$4,'ENTRY DATA'!J20&lt;='TABEL KONVERSI'!$C$4),2,IF(AND(J20&gt;='TABEL KONVERSI'!$B$5,'ENTRY DATA'!J20&lt;='TABEL KONVERSI'!$C$5),3,IF(AND(J20&gt;='TABEL KONVERSI'!$B$6,'ENTRY DATA'!J20&lt;='TABEL KONVERSI'!$C$6),4,"")))),"-")</f>
        <v>-</v>
      </c>
      <c r="M20" s="38" t="str">
        <f>IF(K20&lt;&gt;"",IF(AND(K20&gt;='TABEL KONVERSI'!$B$3,'ENTRY DATA'!K20&lt;='TABEL KONVERSI'!$C$3),1,IF(AND(K20&gt;='TABEL KONVERSI'!$B$4,'ENTRY DATA'!K20&lt;='TABEL KONVERSI'!$C$4),2,IF(AND(K20&gt;='TABEL KONVERSI'!$B$5,'ENTRY DATA'!K20&lt;='TABEL KONVERSI'!$C$5),3,IF(AND(K20&gt;='TABEL KONVERSI'!$B$6,'ENTRY DATA'!K20&lt;='TABEL KONVERSI'!$C$6),4,"")))),"-")</f>
        <v>-</v>
      </c>
      <c r="N20" s="38" t="str">
        <f t="shared" si="36"/>
        <v>-</v>
      </c>
      <c r="O20" s="38" t="str">
        <f>VLOOKUP(L20,'TABEL KONVERSI'!$A$3:$D$7,4)</f>
        <v>-</v>
      </c>
      <c r="P20" s="38" t="str">
        <f t="shared" si="37"/>
        <v>-</v>
      </c>
      <c r="Q20" s="38" t="str">
        <f>VLOOKUP(M20,'TABEL KONVERSI'!$A$3:$D$7,4)</f>
        <v>-</v>
      </c>
      <c r="R20" s="42"/>
      <c r="S20" s="37"/>
      <c r="T20" s="73"/>
      <c r="U20" s="73"/>
      <c r="V20" s="38" t="str">
        <f t="shared" si="38"/>
        <v/>
      </c>
      <c r="W20" s="38" t="str">
        <f t="shared" si="39"/>
        <v/>
      </c>
      <c r="X20" s="38" t="str">
        <f>IF(V20&lt;&gt;"",IF(AND(V20&gt;='TABEL KONVERSI'!$B$3,'ENTRY DATA'!V20&lt;='TABEL KONVERSI'!$C$3),1,IF(AND(V20&gt;='TABEL KONVERSI'!$B$4,'ENTRY DATA'!V20&lt;='TABEL KONVERSI'!$C$4),2,IF(AND(V20&gt;='TABEL KONVERSI'!$B$5,'ENTRY DATA'!V20&lt;='TABEL KONVERSI'!$C$5),3,IF(AND(V20&gt;='TABEL KONVERSI'!$B$6,'ENTRY DATA'!V20&lt;='TABEL KONVERSI'!$C$6),4,"")))),"-")</f>
        <v>-</v>
      </c>
      <c r="Y20" s="38" t="str">
        <f>IF(W20&lt;&gt;"",IF(AND(W20&gt;='TABEL KONVERSI'!$B$3,'ENTRY DATA'!W20&lt;='TABEL KONVERSI'!$C$3),1,IF(AND(W20&gt;='TABEL KONVERSI'!$B$4,'ENTRY DATA'!W20&lt;='TABEL KONVERSI'!$C$4),2,IF(AND(W20&gt;='TABEL KONVERSI'!$B$5,'ENTRY DATA'!W20&lt;='TABEL KONVERSI'!$C$5),3,IF(AND(W20&gt;='TABEL KONVERSI'!$B$6,'ENTRY DATA'!W20&lt;='TABEL KONVERSI'!$C$6),4,"")))),"-")</f>
        <v>-</v>
      </c>
      <c r="Z20" s="38" t="str">
        <f t="shared" si="40"/>
        <v>-</v>
      </c>
      <c r="AA20" s="38" t="str">
        <f>VLOOKUP(X20,'TABEL KONVERSI'!$A$3:$D$7,4)</f>
        <v>-</v>
      </c>
      <c r="AB20" s="38" t="str">
        <f t="shared" si="41"/>
        <v>-</v>
      </c>
      <c r="AC20" s="38" t="str">
        <f>VLOOKUP(Y20,'TABEL KONVERSI'!$A$3:$D$7,4)</f>
        <v>-</v>
      </c>
      <c r="AD20" s="42"/>
      <c r="AE20" s="37"/>
      <c r="AF20" s="73"/>
      <c r="AG20" s="73"/>
      <c r="AH20" s="38" t="str">
        <f t="shared" si="42"/>
        <v/>
      </c>
      <c r="AI20" s="38" t="str">
        <f t="shared" si="43"/>
        <v/>
      </c>
      <c r="AJ20" s="38" t="str">
        <f>IF(AH20&lt;&gt;"",IF(AND(AH20&gt;='TABEL KONVERSI'!$B$3,'ENTRY DATA'!AH20&lt;='TABEL KONVERSI'!$C$3),1,IF(AND(AH20&gt;='TABEL KONVERSI'!$B$4,'ENTRY DATA'!AH20&lt;='TABEL KONVERSI'!$C$4),2,IF(AND(AH20&gt;='TABEL KONVERSI'!$B$5,'ENTRY DATA'!AH20&lt;='TABEL KONVERSI'!$C$5),3,IF(AND(AH20&gt;='TABEL KONVERSI'!$B$6,'ENTRY DATA'!AH20&lt;='TABEL KONVERSI'!$C$6),4,"")))),"-")</f>
        <v>-</v>
      </c>
      <c r="AK20" s="38" t="str">
        <f>IF(AI20&lt;&gt;"",IF(AND(AI20&gt;='TABEL KONVERSI'!$B$3,'ENTRY DATA'!AI20&lt;='TABEL KONVERSI'!$C$3),1,IF(AND(AI20&gt;='TABEL KONVERSI'!$B$4,'ENTRY DATA'!AI20&lt;='TABEL KONVERSI'!$C$4),2,IF(AND(AI20&gt;='TABEL KONVERSI'!$B$5,'ENTRY DATA'!AI20&lt;='TABEL KONVERSI'!$C$5),3,IF(AND(AI20&gt;='TABEL KONVERSI'!$B$6,'ENTRY DATA'!AI20&lt;='TABEL KONVERSI'!$C$6),4,"")))),"-")</f>
        <v>-</v>
      </c>
      <c r="AL20" s="38" t="str">
        <f t="shared" si="44"/>
        <v>-</v>
      </c>
      <c r="AM20" s="38" t="str">
        <f>VLOOKUP(AJ20,'TABEL KONVERSI'!$A$3:$D$7,4)</f>
        <v>-</v>
      </c>
      <c r="AN20" s="38" t="str">
        <f t="shared" si="45"/>
        <v>-</v>
      </c>
      <c r="AO20" s="38" t="str">
        <f>VLOOKUP(AK20,'TABEL KONVERSI'!$A$3:$D$7,4)</f>
        <v>-</v>
      </c>
      <c r="AP20" s="42"/>
      <c r="AQ20" s="37"/>
      <c r="AR20" s="73"/>
      <c r="AS20" s="73"/>
      <c r="AT20" s="38" t="str">
        <f t="shared" si="46"/>
        <v/>
      </c>
      <c r="AU20" s="38" t="str">
        <f t="shared" si="47"/>
        <v/>
      </c>
      <c r="AV20" s="38" t="str">
        <f>IF(AT20&lt;&gt;"",IF(AND(AT20&gt;='TABEL KONVERSI'!$B$3,'ENTRY DATA'!AT20&lt;='TABEL KONVERSI'!$C$3),1,IF(AND(AT20&gt;='TABEL KONVERSI'!$B$4,'ENTRY DATA'!AT20&lt;='TABEL KONVERSI'!$C$4),2,IF(AND(AT20&gt;='TABEL KONVERSI'!$B$5,'ENTRY DATA'!AT20&lt;='TABEL KONVERSI'!$C$5),3,IF(AND(AT20&gt;='TABEL KONVERSI'!$B$6,'ENTRY DATA'!AT20&lt;='TABEL KONVERSI'!$C$6),4,"")))),"-")</f>
        <v>-</v>
      </c>
      <c r="AW20" s="38" t="str">
        <f>IF(AU20&lt;&gt;"",IF(AND(AU20&gt;='TABEL KONVERSI'!$B$3,'ENTRY DATA'!AU20&lt;='TABEL KONVERSI'!$C$3),1,IF(AND(AU20&gt;='TABEL KONVERSI'!$B$4,'ENTRY DATA'!AU20&lt;='TABEL KONVERSI'!$C$4),2,IF(AND(AU20&gt;='TABEL KONVERSI'!$B$5,'ENTRY DATA'!AU20&lt;='TABEL KONVERSI'!$C$5),3,IF(AND(AU20&gt;='TABEL KONVERSI'!$B$6,'ENTRY DATA'!AU20&lt;='TABEL KONVERSI'!$C$6),4,"")))),"-")</f>
        <v>-</v>
      </c>
      <c r="AX20" s="38" t="str">
        <f t="shared" si="48"/>
        <v>-</v>
      </c>
      <c r="AY20" s="38" t="str">
        <f>VLOOKUP(AV20,'TABEL KONVERSI'!$A$3:$D$7,4)</f>
        <v>-</v>
      </c>
      <c r="AZ20" s="38" t="str">
        <f t="shared" si="49"/>
        <v>-</v>
      </c>
      <c r="BA20" s="38" t="str">
        <f>VLOOKUP(AW20,'TABEL KONVERSI'!$A$3:$D$7,4)</f>
        <v>-</v>
      </c>
      <c r="BB20" s="42"/>
      <c r="BC20" s="37"/>
      <c r="BD20" s="73"/>
      <c r="BE20" s="73"/>
      <c r="BF20" s="38" t="str">
        <f t="shared" si="50"/>
        <v/>
      </c>
      <c r="BG20" s="38" t="str">
        <f t="shared" si="51"/>
        <v/>
      </c>
      <c r="BH20" s="38" t="str">
        <f>IF(BF20&lt;&gt;"",IF(AND(BF20&gt;='TABEL KONVERSI'!$B$3,'ENTRY DATA'!BF20&lt;='TABEL KONVERSI'!$C$3),1,IF(AND(BF20&gt;='TABEL KONVERSI'!$B$4,'ENTRY DATA'!BF20&lt;='TABEL KONVERSI'!$C$4),2,IF(AND(BF20&gt;='TABEL KONVERSI'!$B$5,'ENTRY DATA'!BF20&lt;='TABEL KONVERSI'!$C$5),3,IF(AND(BF20&gt;='TABEL KONVERSI'!$B$6,'ENTRY DATA'!BF20&lt;='TABEL KONVERSI'!$C$6),4,"")))),"-")</f>
        <v>-</v>
      </c>
      <c r="BI20" s="38" t="str">
        <f>IF(BG20&lt;&gt;"",IF(AND(BG20&gt;='TABEL KONVERSI'!$B$3,'ENTRY DATA'!BG20&lt;='TABEL KONVERSI'!$C$3),1,IF(AND(BG20&gt;='TABEL KONVERSI'!$B$4,'ENTRY DATA'!BG20&lt;='TABEL KONVERSI'!$C$4),2,IF(AND(BG20&gt;='TABEL KONVERSI'!$B$5,'ENTRY DATA'!BG20&lt;='TABEL KONVERSI'!$C$5),3,IF(AND(BG20&gt;='TABEL KONVERSI'!$B$6,'ENTRY DATA'!BG20&lt;='TABEL KONVERSI'!$C$6),4,"")))),"-")</f>
        <v>-</v>
      </c>
      <c r="BJ20" s="38" t="str">
        <f t="shared" si="52"/>
        <v>-</v>
      </c>
      <c r="BK20" s="38" t="str">
        <f>VLOOKUP(BH20,'TABEL KONVERSI'!$A$3:$D$7,4)</f>
        <v>-</v>
      </c>
      <c r="BL20" s="38" t="str">
        <f t="shared" si="53"/>
        <v>-</v>
      </c>
      <c r="BM20" s="38" t="str">
        <f>VLOOKUP(BI20,'TABEL KONVERSI'!$A$3:$D$7,4)</f>
        <v>-</v>
      </c>
      <c r="BN20" s="42"/>
      <c r="BO20" s="37"/>
      <c r="BP20" s="73"/>
      <c r="BQ20" s="73"/>
      <c r="BR20" s="38" t="str">
        <f t="shared" si="54"/>
        <v/>
      </c>
      <c r="BS20" s="38" t="str">
        <f t="shared" si="55"/>
        <v/>
      </c>
      <c r="BT20" s="38" t="str">
        <f>IF(BR20&lt;&gt;"",IF(AND(BR20&gt;='TABEL KONVERSI'!$B$3,'ENTRY DATA'!BR20&lt;='TABEL KONVERSI'!$C$3),1,IF(AND(BR20&gt;='TABEL KONVERSI'!$B$4,'ENTRY DATA'!BR20&lt;='TABEL KONVERSI'!$C$4),2,IF(AND(BR20&gt;='TABEL KONVERSI'!$B$5,'ENTRY DATA'!BR20&lt;='TABEL KONVERSI'!$C$5),3,IF(AND(BR20&gt;='TABEL KONVERSI'!$B$6,'ENTRY DATA'!BR20&lt;='TABEL KONVERSI'!$C$6),4,"")))),"-")</f>
        <v>-</v>
      </c>
      <c r="BU20" s="38" t="str">
        <f>IF(BS20&lt;&gt;"",IF(AND(BS20&gt;='TABEL KONVERSI'!$B$3,'ENTRY DATA'!BS20&lt;='TABEL KONVERSI'!$C$3),1,IF(AND(BS20&gt;='TABEL KONVERSI'!$B$4,'ENTRY DATA'!BS20&lt;='TABEL KONVERSI'!$C$4),2,IF(AND(BS20&gt;='TABEL KONVERSI'!$B$5,'ENTRY DATA'!BS20&lt;='TABEL KONVERSI'!$C$5),3,IF(AND(BS20&gt;='TABEL KONVERSI'!$B$6,'ENTRY DATA'!BS20&lt;='TABEL KONVERSI'!$C$6),4,"")))),"-")</f>
        <v>-</v>
      </c>
      <c r="BV20" s="38" t="str">
        <f t="shared" si="56"/>
        <v>-</v>
      </c>
      <c r="BW20" s="38" t="str">
        <f>VLOOKUP(BT20,'TABEL KONVERSI'!$A$3:$D$7,4)</f>
        <v>-</v>
      </c>
      <c r="BX20" s="38" t="str">
        <f t="shared" si="57"/>
        <v>-</v>
      </c>
      <c r="BY20" s="38" t="str">
        <f>VLOOKUP(BU20,'TABEL KONVERSI'!$A$3:$D$7,4)</f>
        <v>-</v>
      </c>
      <c r="BZ20" s="42"/>
      <c r="CA20" s="37"/>
      <c r="CB20" s="73"/>
      <c r="CC20" s="73"/>
      <c r="CD20" s="38" t="str">
        <f t="shared" si="58"/>
        <v/>
      </c>
      <c r="CE20" s="38" t="str">
        <f t="shared" si="59"/>
        <v/>
      </c>
      <c r="CF20" s="38" t="str">
        <f>IF(CD20&lt;&gt;"",IF(AND(CD20&gt;='TABEL KONVERSI'!$B$3,'ENTRY DATA'!CD20&lt;='TABEL KONVERSI'!$C$3),1,IF(AND(CD20&gt;='TABEL KONVERSI'!$B$4,'ENTRY DATA'!CD20&lt;='TABEL KONVERSI'!$C$4),2,IF(AND(CD20&gt;='TABEL KONVERSI'!$B$5,'ENTRY DATA'!CD20&lt;='TABEL KONVERSI'!$C$5),3,IF(AND(CD20&gt;='TABEL KONVERSI'!$B$6,'ENTRY DATA'!CD20&lt;='TABEL KONVERSI'!$C$6),4,"")))),"-")</f>
        <v>-</v>
      </c>
      <c r="CG20" s="38" t="str">
        <f>IF(CE20&lt;&gt;"",IF(AND(CE20&gt;='TABEL KONVERSI'!$B$3,'ENTRY DATA'!CE20&lt;='TABEL KONVERSI'!$C$3),1,IF(AND(CE20&gt;='TABEL KONVERSI'!$B$4,'ENTRY DATA'!CE20&lt;='TABEL KONVERSI'!$C$4),2,IF(AND(CE20&gt;='TABEL KONVERSI'!$B$5,'ENTRY DATA'!CE20&lt;='TABEL KONVERSI'!$C$5),3,IF(AND(CE20&gt;='TABEL KONVERSI'!$B$6,'ENTRY DATA'!CE20&lt;='TABEL KONVERSI'!$C$6),4,"")))),"-")</f>
        <v>-</v>
      </c>
      <c r="CH20" s="38" t="str">
        <f t="shared" si="60"/>
        <v>-</v>
      </c>
      <c r="CI20" s="38" t="str">
        <f>VLOOKUP(CF20,'TABEL KONVERSI'!$A$3:$D$7,4)</f>
        <v>-</v>
      </c>
      <c r="CJ20" s="38" t="str">
        <f t="shared" si="61"/>
        <v>-</v>
      </c>
      <c r="CK20" s="38" t="str">
        <f>VLOOKUP(CG20,'TABEL KONVERSI'!$A$3:$D$7,4)</f>
        <v>-</v>
      </c>
      <c r="CL20" s="42"/>
      <c r="CM20" s="37"/>
      <c r="CN20" s="73"/>
      <c r="CO20" s="73"/>
      <c r="CP20" s="38" t="str">
        <f t="shared" si="62"/>
        <v/>
      </c>
      <c r="CQ20" s="38" t="str">
        <f t="shared" si="63"/>
        <v/>
      </c>
      <c r="CR20" s="38" t="str">
        <f>IF(CP20&lt;&gt;"",IF(AND(CP20&gt;='TABEL KONVERSI'!$B$3,'ENTRY DATA'!CP20&lt;='TABEL KONVERSI'!$C$3),1,IF(AND(CP20&gt;='TABEL KONVERSI'!$B$4,'ENTRY DATA'!CP20&lt;='TABEL KONVERSI'!$C$4),2,IF(AND(CP20&gt;='TABEL KONVERSI'!$B$5,'ENTRY DATA'!CP20&lt;='TABEL KONVERSI'!$C$5),3,IF(AND(CP20&gt;='TABEL KONVERSI'!$B$6,'ENTRY DATA'!CP20&lt;='TABEL KONVERSI'!$C$6),4,"")))),"-")</f>
        <v>-</v>
      </c>
      <c r="CS20" s="38" t="str">
        <f>IF(CQ20&lt;&gt;"",IF(AND(CQ20&gt;='TABEL KONVERSI'!$B$3,'ENTRY DATA'!CQ20&lt;='TABEL KONVERSI'!$C$3),1,IF(AND(CQ20&gt;='TABEL KONVERSI'!$B$4,'ENTRY DATA'!CQ20&lt;='TABEL KONVERSI'!$C$4),2,IF(AND(CQ20&gt;='TABEL KONVERSI'!$B$5,'ENTRY DATA'!CQ20&lt;='TABEL KONVERSI'!$C$5),3,IF(AND(CQ20&gt;='TABEL KONVERSI'!$B$6,'ENTRY DATA'!CQ20&lt;='TABEL KONVERSI'!$C$6),4,"")))),"-")</f>
        <v>-</v>
      </c>
      <c r="CT20" s="38" t="str">
        <f t="shared" si="64"/>
        <v>-</v>
      </c>
      <c r="CU20" s="38" t="str">
        <f>VLOOKUP(CR20,'TABEL KONVERSI'!$A$3:$D$7,4)</f>
        <v>-</v>
      </c>
      <c r="CV20" s="38" t="str">
        <f t="shared" si="65"/>
        <v>-</v>
      </c>
      <c r="CW20" s="38" t="str">
        <f>VLOOKUP(CS20,'TABEL KONVERSI'!$A$3:$D$7,4)</f>
        <v>-</v>
      </c>
      <c r="CX20" s="42"/>
      <c r="CY20" s="37"/>
      <c r="CZ20" s="73"/>
      <c r="DA20" s="73"/>
      <c r="DB20" s="38" t="str">
        <f t="shared" si="66"/>
        <v/>
      </c>
      <c r="DC20" s="38" t="str">
        <f t="shared" si="67"/>
        <v/>
      </c>
      <c r="DD20" s="38" t="str">
        <f>IF(DB20&lt;&gt;"",IF(AND(DB20&gt;='TABEL KONVERSI'!$B$3,'ENTRY DATA'!DB20&lt;='TABEL KONVERSI'!$C$3),1,IF(AND(DB20&gt;='TABEL KONVERSI'!$B$4,'ENTRY DATA'!DB20&lt;='TABEL KONVERSI'!$C$4),2,IF(AND(DB20&gt;='TABEL KONVERSI'!$B$5,'ENTRY DATA'!DB20&lt;='TABEL KONVERSI'!$C$5),3,IF(AND(DB20&gt;='TABEL KONVERSI'!$B$6,'ENTRY DATA'!DB20&lt;='TABEL KONVERSI'!$C$6),4,"")))),"-")</f>
        <v>-</v>
      </c>
      <c r="DE20" s="38" t="str">
        <f>IF(DC20&lt;&gt;"",IF(AND(DC20&gt;='TABEL KONVERSI'!$B$3,'ENTRY DATA'!DC20&lt;='TABEL KONVERSI'!$C$3),1,IF(AND(DC20&gt;='TABEL KONVERSI'!$B$4,'ENTRY DATA'!DC20&lt;='TABEL KONVERSI'!$C$4),2,IF(AND(DC20&gt;='TABEL KONVERSI'!$B$5,'ENTRY DATA'!DC20&lt;='TABEL KONVERSI'!$C$5),3,IF(AND(DC20&gt;='TABEL KONVERSI'!$B$6,'ENTRY DATA'!DC20&lt;='TABEL KONVERSI'!$C$6),4,"")))),"-")</f>
        <v>-</v>
      </c>
      <c r="DF20" s="38" t="str">
        <f t="shared" si="68"/>
        <v>-</v>
      </c>
      <c r="DG20" s="38" t="str">
        <f>VLOOKUP(DD20,'TABEL KONVERSI'!$A$3:$D$7,4)</f>
        <v>-</v>
      </c>
      <c r="DH20" s="38" t="str">
        <f t="shared" si="69"/>
        <v>-</v>
      </c>
      <c r="DI20" s="38" t="str">
        <f>VLOOKUP(DE20,'TABEL KONVERSI'!$A$3:$D$7,4)</f>
        <v>-</v>
      </c>
      <c r="DJ20" s="42"/>
      <c r="DK20" s="37"/>
      <c r="DL20" s="73"/>
      <c r="DM20" s="73"/>
      <c r="DN20" s="38" t="str">
        <f t="shared" si="70"/>
        <v/>
      </c>
      <c r="DO20" s="38" t="str">
        <f t="shared" si="71"/>
        <v/>
      </c>
      <c r="DP20" s="38" t="str">
        <f>IF(DN20&lt;&gt;"",IF(AND(DN20&gt;='TABEL KONVERSI'!$B$3,'ENTRY DATA'!DN20&lt;='TABEL KONVERSI'!$C$3),1,IF(AND(DN20&gt;='TABEL KONVERSI'!$B$4,'ENTRY DATA'!DN20&lt;='TABEL KONVERSI'!$C$4),2,IF(AND(DN20&gt;='TABEL KONVERSI'!$B$5,'ENTRY DATA'!DN20&lt;='TABEL KONVERSI'!$C$5),3,IF(AND(DN20&gt;='TABEL KONVERSI'!$B$6,'ENTRY DATA'!DN20&lt;='TABEL KONVERSI'!$C$6),4,"")))),"-")</f>
        <v>-</v>
      </c>
      <c r="DQ20" s="38" t="str">
        <f>IF(DO20&lt;&gt;"",IF(AND(DO20&gt;='TABEL KONVERSI'!$B$3,'ENTRY DATA'!DO20&lt;='TABEL KONVERSI'!$C$3),1,IF(AND(DO20&gt;='TABEL KONVERSI'!$B$4,'ENTRY DATA'!DO20&lt;='TABEL KONVERSI'!$C$4),2,IF(AND(DO20&gt;='TABEL KONVERSI'!$B$5,'ENTRY DATA'!DO20&lt;='TABEL KONVERSI'!$C$5),3,IF(AND(DO20&gt;='TABEL KONVERSI'!$B$6,'ENTRY DATA'!DO20&lt;='TABEL KONVERSI'!$C$6),4,"")))),"-")</f>
        <v>-</v>
      </c>
      <c r="DR20" s="38" t="str">
        <f t="shared" si="72"/>
        <v>-</v>
      </c>
      <c r="DS20" s="38" t="str">
        <f>VLOOKUP(DP20,'TABEL KONVERSI'!$A$3:$D$7,4)</f>
        <v>-</v>
      </c>
      <c r="DT20" s="38" t="str">
        <f t="shared" si="73"/>
        <v>-</v>
      </c>
      <c r="DU20" s="38" t="str">
        <f>VLOOKUP(DQ20,'TABEL KONVERSI'!$A$3:$D$7,4)</f>
        <v>-</v>
      </c>
      <c r="DV20" s="42"/>
      <c r="DW20" s="37"/>
      <c r="DX20" s="73"/>
      <c r="DY20" s="73"/>
      <c r="DZ20" s="38" t="str">
        <f t="shared" si="74"/>
        <v/>
      </c>
      <c r="EA20" s="38" t="str">
        <f t="shared" si="75"/>
        <v/>
      </c>
      <c r="EB20" s="38" t="str">
        <f>IF(DZ20&lt;&gt;"",IF(AND(DZ20&gt;='TABEL KONVERSI'!$B$3,'ENTRY DATA'!DZ20&lt;='TABEL KONVERSI'!$C$3),1,IF(AND(DZ20&gt;='TABEL KONVERSI'!$B$4,'ENTRY DATA'!DZ20&lt;='TABEL KONVERSI'!$C$4),2,IF(AND(DZ20&gt;='TABEL KONVERSI'!$B$5,'ENTRY DATA'!DZ20&lt;='TABEL KONVERSI'!$C$5),3,IF(AND(DZ20&gt;='TABEL KONVERSI'!$B$6,'ENTRY DATA'!DZ20&lt;='TABEL KONVERSI'!$C$6),4,"")))),"-")</f>
        <v>-</v>
      </c>
      <c r="EC20" s="38" t="str">
        <f>IF(EA20&lt;&gt;"",IF(AND(EA20&gt;='TABEL KONVERSI'!$B$3,'ENTRY DATA'!EA20&lt;='TABEL KONVERSI'!$C$3),1,IF(AND(EA20&gt;='TABEL KONVERSI'!$B$4,'ENTRY DATA'!EA20&lt;='TABEL KONVERSI'!$C$4),2,IF(AND(EA20&gt;='TABEL KONVERSI'!$B$5,'ENTRY DATA'!EA20&lt;='TABEL KONVERSI'!$C$5),3,IF(AND(EA20&gt;='TABEL KONVERSI'!$B$6,'ENTRY DATA'!EA20&lt;='TABEL KONVERSI'!$C$6),4,"")))),"-")</f>
        <v>-</v>
      </c>
      <c r="ED20" s="38" t="str">
        <f t="shared" si="76"/>
        <v>-</v>
      </c>
      <c r="EE20" s="38" t="str">
        <f>VLOOKUP(EB20,'TABEL KONVERSI'!$A$3:$D$7,4)</f>
        <v>-</v>
      </c>
      <c r="EF20" s="38" t="str">
        <f t="shared" si="77"/>
        <v>-</v>
      </c>
      <c r="EG20" s="38" t="str">
        <f>VLOOKUP(EC20,'TABEL KONVERSI'!$A$3:$D$7,4)</f>
        <v>-</v>
      </c>
      <c r="EH20" s="42"/>
      <c r="EI20" s="37"/>
      <c r="EJ20" s="73"/>
      <c r="EK20" s="73"/>
      <c r="EL20" s="38" t="str">
        <f t="shared" si="78"/>
        <v/>
      </c>
      <c r="EM20" s="38" t="str">
        <f t="shared" si="79"/>
        <v/>
      </c>
      <c r="EN20" s="38" t="str">
        <f>IF(EL20&lt;&gt;"",IF(AND(EL20&gt;='TABEL KONVERSI'!$B$3,'ENTRY DATA'!EL20&lt;='TABEL KONVERSI'!$C$3),1,IF(AND(EL20&gt;='TABEL KONVERSI'!$B$4,'ENTRY DATA'!EL20&lt;='TABEL KONVERSI'!$C$4),2,IF(AND(EL20&gt;='TABEL KONVERSI'!$B$5,'ENTRY DATA'!EL20&lt;='TABEL KONVERSI'!$C$5),3,IF(AND(EL20&gt;='TABEL KONVERSI'!$B$6,'ENTRY DATA'!EL20&lt;='TABEL KONVERSI'!$C$6),4,"")))),"-")</f>
        <v>-</v>
      </c>
      <c r="EO20" s="38" t="str">
        <f>IF(EM20&lt;&gt;"",IF(AND(EM20&gt;='TABEL KONVERSI'!$B$3,'ENTRY DATA'!EM20&lt;='TABEL KONVERSI'!$C$3),1,IF(AND(EM20&gt;='TABEL KONVERSI'!$B$4,'ENTRY DATA'!EM20&lt;='TABEL KONVERSI'!$C$4),2,IF(AND(EM20&gt;='TABEL KONVERSI'!$B$5,'ENTRY DATA'!EM20&lt;='TABEL KONVERSI'!$C$5),3,IF(AND(EM20&gt;='TABEL KONVERSI'!$B$6,'ENTRY DATA'!EM20&lt;='TABEL KONVERSI'!$C$6),4,"")))),"-")</f>
        <v>-</v>
      </c>
      <c r="EP20" s="38" t="str">
        <f t="shared" si="80"/>
        <v>-</v>
      </c>
      <c r="EQ20" s="38" t="str">
        <f>VLOOKUP(EN20,'TABEL KONVERSI'!$A$3:$D$7,4)</f>
        <v>-</v>
      </c>
      <c r="ER20" s="38" t="str">
        <f t="shared" si="81"/>
        <v>-</v>
      </c>
      <c r="ES20" s="38" t="str">
        <f>VLOOKUP(EO20,'TABEL KONVERSI'!$A$3:$D$7,4)</f>
        <v>-</v>
      </c>
      <c r="ET20" s="42"/>
      <c r="EU20" s="37"/>
      <c r="EV20" s="73"/>
      <c r="EW20" s="73"/>
      <c r="EX20" s="38" t="str">
        <f t="shared" si="82"/>
        <v/>
      </c>
      <c r="EY20" s="38" t="str">
        <f t="shared" si="83"/>
        <v/>
      </c>
      <c r="EZ20" s="38" t="str">
        <f>IF(EX20&lt;&gt;"",IF(AND(EX20&gt;='TABEL KONVERSI'!$B$3,'ENTRY DATA'!EX20&lt;='TABEL KONVERSI'!$C$3),1,IF(AND(EX20&gt;='TABEL KONVERSI'!$B$4,'ENTRY DATA'!EX20&lt;='TABEL KONVERSI'!$C$4),2,IF(AND(EX20&gt;='TABEL KONVERSI'!$B$5,'ENTRY DATA'!EX20&lt;='TABEL KONVERSI'!$C$5),3,IF(AND(EX20&gt;='TABEL KONVERSI'!$B$6,'ENTRY DATA'!EX20&lt;='TABEL KONVERSI'!$C$6),4,"")))),"-")</f>
        <v>-</v>
      </c>
      <c r="FA20" s="38" t="str">
        <f>IF(EY20&lt;&gt;"",IF(AND(EY20&gt;='TABEL KONVERSI'!$B$3,'ENTRY DATA'!EY20&lt;='TABEL KONVERSI'!$C$3),1,IF(AND(EY20&gt;='TABEL KONVERSI'!$B$4,'ENTRY DATA'!EY20&lt;='TABEL KONVERSI'!$C$4),2,IF(AND(EY20&gt;='TABEL KONVERSI'!$B$5,'ENTRY DATA'!EY20&lt;='TABEL KONVERSI'!$C$5),3,IF(AND(EY20&gt;='TABEL KONVERSI'!$B$6,'ENTRY DATA'!EY20&lt;='TABEL KONVERSI'!$C$6),4,"")))),"-")</f>
        <v>-</v>
      </c>
      <c r="FB20" s="38" t="str">
        <f t="shared" si="84"/>
        <v>-</v>
      </c>
      <c r="FC20" s="38" t="str">
        <f>VLOOKUP(EZ20,'TABEL KONVERSI'!$A$3:$D$7,4)</f>
        <v>-</v>
      </c>
      <c r="FD20" s="38" t="str">
        <f t="shared" si="85"/>
        <v>-</v>
      </c>
      <c r="FE20" s="38" t="str">
        <f>VLOOKUP(FA20,'TABEL KONVERSI'!$A$3:$D$7,4)</f>
        <v>-</v>
      </c>
      <c r="FF20" s="42"/>
      <c r="FG20" s="37"/>
      <c r="FH20" s="73"/>
      <c r="FI20" s="73"/>
      <c r="FJ20" s="38" t="str">
        <f t="shared" si="86"/>
        <v/>
      </c>
      <c r="FK20" s="38" t="str">
        <f t="shared" si="87"/>
        <v/>
      </c>
      <c r="FL20" s="38" t="str">
        <f>IF(FJ20&lt;&gt;"",IF(AND(FJ20&gt;='TABEL KONVERSI'!$B$3,'ENTRY DATA'!FJ20&lt;='TABEL KONVERSI'!$C$3),1,IF(AND(FJ20&gt;='TABEL KONVERSI'!$B$4,'ENTRY DATA'!FJ20&lt;='TABEL KONVERSI'!$C$4),2,IF(AND(FJ20&gt;='TABEL KONVERSI'!$B$5,'ENTRY DATA'!FJ20&lt;='TABEL KONVERSI'!$C$5),3,IF(AND(FJ20&gt;='TABEL KONVERSI'!$B$6,'ENTRY DATA'!FJ20&lt;='TABEL KONVERSI'!$C$6),4,"")))),"-")</f>
        <v>-</v>
      </c>
      <c r="FM20" s="38" t="str">
        <f>IF(FK20&lt;&gt;"",IF(AND(FK20&gt;='TABEL KONVERSI'!$B$3,'ENTRY DATA'!FK20&lt;='TABEL KONVERSI'!$C$3),1,IF(AND(FK20&gt;='TABEL KONVERSI'!$B$4,'ENTRY DATA'!FK20&lt;='TABEL KONVERSI'!$C$4),2,IF(AND(FK20&gt;='TABEL KONVERSI'!$B$5,'ENTRY DATA'!FK20&lt;='TABEL KONVERSI'!$C$5),3,IF(AND(FK20&gt;='TABEL KONVERSI'!$B$6,'ENTRY DATA'!FK20&lt;='TABEL KONVERSI'!$C$6),4,"")))),"-")</f>
        <v>-</v>
      </c>
      <c r="FN20" s="38" t="str">
        <f t="shared" si="88"/>
        <v>-</v>
      </c>
      <c r="FO20" s="38" t="str">
        <f>VLOOKUP(FL20,'TABEL KONVERSI'!$A$3:$D$7,4)</f>
        <v>-</v>
      </c>
      <c r="FP20" s="38" t="str">
        <f t="shared" si="89"/>
        <v>-</v>
      </c>
      <c r="FQ20" s="38" t="str">
        <f>VLOOKUP(FM20,'TABEL KONVERSI'!$A$3:$D$7,4)</f>
        <v>-</v>
      </c>
      <c r="FR20" s="42"/>
      <c r="FS20" s="37"/>
      <c r="FT20" s="73"/>
      <c r="FU20" s="73"/>
      <c r="FV20" s="38" t="str">
        <f t="shared" si="90"/>
        <v/>
      </c>
      <c r="FW20" s="38" t="str">
        <f t="shared" si="91"/>
        <v/>
      </c>
      <c r="FX20" s="38" t="str">
        <f>IF(FV20&lt;&gt;"",IF(AND(FV20&gt;='TABEL KONVERSI'!$B$3,'ENTRY DATA'!FV20&lt;='TABEL KONVERSI'!$C$3),1,IF(AND(FV20&gt;='TABEL KONVERSI'!$B$4,'ENTRY DATA'!FV20&lt;='TABEL KONVERSI'!$C$4),2,IF(AND(FV20&gt;='TABEL KONVERSI'!$B$5,'ENTRY DATA'!FV20&lt;='TABEL KONVERSI'!$C$5),3,IF(AND(FV20&gt;='TABEL KONVERSI'!$B$6,'ENTRY DATA'!FV20&lt;='TABEL KONVERSI'!$C$6),4,"")))),"-")</f>
        <v>-</v>
      </c>
      <c r="FY20" s="38" t="str">
        <f>IF(FW20&lt;&gt;"",IF(AND(FW20&gt;='TABEL KONVERSI'!$B$3,'ENTRY DATA'!FW20&lt;='TABEL KONVERSI'!$C$3),1,IF(AND(FW20&gt;='TABEL KONVERSI'!$B$4,'ENTRY DATA'!FW20&lt;='TABEL KONVERSI'!$C$4),2,IF(AND(FW20&gt;='TABEL KONVERSI'!$B$5,'ENTRY DATA'!FW20&lt;='TABEL KONVERSI'!$C$5),3,IF(AND(FW20&gt;='TABEL KONVERSI'!$B$6,'ENTRY DATA'!FW20&lt;='TABEL KONVERSI'!$C$6),4,"")))),"-")</f>
        <v>-</v>
      </c>
      <c r="FZ20" s="38" t="str">
        <f t="shared" si="92"/>
        <v>-</v>
      </c>
      <c r="GA20" s="38" t="str">
        <f>VLOOKUP(FX20,'TABEL KONVERSI'!$A$3:$D$7,4)</f>
        <v>-</v>
      </c>
      <c r="GB20" s="38" t="str">
        <f t="shared" si="93"/>
        <v>-</v>
      </c>
      <c r="GC20" s="38" t="str">
        <f>VLOOKUP(FY20,'TABEL KONVERSI'!$A$3:$D$7,4)</f>
        <v>-</v>
      </c>
      <c r="GD20" s="42"/>
      <c r="GE20" s="37"/>
      <c r="GF20" s="73"/>
      <c r="GG20" s="73"/>
      <c r="GH20" s="38" t="str">
        <f t="shared" si="94"/>
        <v/>
      </c>
      <c r="GI20" s="38" t="str">
        <f t="shared" si="95"/>
        <v/>
      </c>
      <c r="GJ20" s="38" t="str">
        <f>IF(GH20&lt;&gt;"",IF(AND(GH20&gt;='TABEL KONVERSI'!$B$3,'ENTRY DATA'!GH20&lt;='TABEL KONVERSI'!$C$3),1,IF(AND(GH20&gt;='TABEL KONVERSI'!$B$4,'ENTRY DATA'!GH20&lt;='TABEL KONVERSI'!$C$4),2,IF(AND(GH20&gt;='TABEL KONVERSI'!$B$5,'ENTRY DATA'!GH20&lt;='TABEL KONVERSI'!$C$5),3,IF(AND(GH20&gt;='TABEL KONVERSI'!$B$6,'ENTRY DATA'!GH20&lt;='TABEL KONVERSI'!$C$6),4,"")))),"-")</f>
        <v>-</v>
      </c>
      <c r="GK20" s="38" t="str">
        <f>IF(GI20&lt;&gt;"",IF(AND(GI20&gt;='TABEL KONVERSI'!$B$3,'ENTRY DATA'!GI20&lt;='TABEL KONVERSI'!$C$3),1,IF(AND(GI20&gt;='TABEL KONVERSI'!$B$4,'ENTRY DATA'!GI20&lt;='TABEL KONVERSI'!$C$4),2,IF(AND(GI20&gt;='TABEL KONVERSI'!$B$5,'ENTRY DATA'!GI20&lt;='TABEL KONVERSI'!$C$5),3,IF(AND(GI20&gt;='TABEL KONVERSI'!$B$6,'ENTRY DATA'!GI20&lt;='TABEL KONVERSI'!$C$6),4,"")))),"-")</f>
        <v>-</v>
      </c>
      <c r="GL20" s="38" t="str">
        <f t="shared" si="96"/>
        <v>-</v>
      </c>
      <c r="GM20" s="38" t="str">
        <f>VLOOKUP(GJ20,'TABEL KONVERSI'!$A$3:$D$7,4)</f>
        <v>-</v>
      </c>
      <c r="GN20" s="38" t="str">
        <f t="shared" si="97"/>
        <v>-</v>
      </c>
      <c r="GO20" s="38" t="str">
        <f>VLOOKUP(GK20,'TABEL KONVERSI'!$A$3:$D$7,4)</f>
        <v>-</v>
      </c>
      <c r="GP20" s="43">
        <f t="shared" si="0"/>
        <v>0</v>
      </c>
      <c r="GQ20" s="43">
        <f t="shared" si="1"/>
        <v>0</v>
      </c>
      <c r="GR20" s="43">
        <f t="shared" si="2"/>
        <v>0</v>
      </c>
      <c r="GS20" s="43">
        <f t="shared" si="3"/>
        <v>0</v>
      </c>
      <c r="GT20" s="43">
        <f t="shared" si="4"/>
        <v>0</v>
      </c>
      <c r="GU20" s="43">
        <f t="shared" si="5"/>
        <v>0</v>
      </c>
      <c r="GV20" s="43">
        <f t="shared" si="6"/>
        <v>0</v>
      </c>
      <c r="GW20" s="43">
        <f t="shared" si="7"/>
        <v>0</v>
      </c>
      <c r="GX20" s="43">
        <f t="shared" si="8"/>
        <v>0</v>
      </c>
      <c r="GY20" s="43">
        <f t="shared" si="9"/>
        <v>0</v>
      </c>
      <c r="GZ20" s="43">
        <f t="shared" si="10"/>
        <v>0</v>
      </c>
      <c r="HA20" s="43">
        <f t="shared" si="11"/>
        <v>0</v>
      </c>
      <c r="HB20" s="43">
        <f t="shared" si="12"/>
        <v>0</v>
      </c>
      <c r="HC20" s="43">
        <f t="shared" si="13"/>
        <v>0</v>
      </c>
      <c r="HD20" s="43">
        <f t="shared" si="14"/>
        <v>0</v>
      </c>
      <c r="HE20" s="43">
        <f t="shared" si="15"/>
        <v>0</v>
      </c>
      <c r="HF20" s="38">
        <f t="shared" si="98"/>
        <v>0</v>
      </c>
      <c r="HG20" s="38">
        <f t="shared" si="99"/>
        <v>0</v>
      </c>
      <c r="HH20" s="38">
        <f t="shared" si="100"/>
        <v>0</v>
      </c>
      <c r="HI20" s="39">
        <f t="shared" si="101"/>
        <v>0</v>
      </c>
      <c r="HJ20" s="44" t="str">
        <f t="shared" si="102"/>
        <v>-</v>
      </c>
      <c r="HK20" s="45" t="str">
        <f>VLOOKUP(HJ20,'TABEL KONVERSI'!$B$11:$D$15,2,0)</f>
        <v>-</v>
      </c>
      <c r="HL20" s="43">
        <f t="shared" si="16"/>
        <v>0</v>
      </c>
      <c r="HM20" s="43">
        <f t="shared" si="17"/>
        <v>0</v>
      </c>
      <c r="HN20" s="43">
        <f t="shared" si="18"/>
        <v>0</v>
      </c>
      <c r="HO20" s="43">
        <f t="shared" si="19"/>
        <v>0</v>
      </c>
      <c r="HP20" s="43">
        <f t="shared" si="20"/>
        <v>0</v>
      </c>
      <c r="HQ20" s="43">
        <f t="shared" si="21"/>
        <v>0</v>
      </c>
      <c r="HR20" s="43">
        <f t="shared" si="22"/>
        <v>0</v>
      </c>
      <c r="HS20" s="43">
        <f t="shared" si="23"/>
        <v>0</v>
      </c>
      <c r="HT20" s="43">
        <f t="shared" si="24"/>
        <v>0</v>
      </c>
      <c r="HU20" s="43">
        <f t="shared" si="25"/>
        <v>0</v>
      </c>
      <c r="HV20" s="43">
        <f t="shared" si="26"/>
        <v>0</v>
      </c>
      <c r="HW20" s="43">
        <f t="shared" si="27"/>
        <v>0</v>
      </c>
      <c r="HX20" s="43">
        <f t="shared" si="28"/>
        <v>0</v>
      </c>
      <c r="HY20" s="43">
        <f t="shared" si="29"/>
        <v>0</v>
      </c>
      <c r="HZ20" s="43">
        <f t="shared" si="30"/>
        <v>0</v>
      </c>
      <c r="IA20" s="43">
        <f t="shared" si="31"/>
        <v>0</v>
      </c>
      <c r="IB20" s="38">
        <f t="shared" si="103"/>
        <v>0</v>
      </c>
      <c r="IC20" s="38">
        <f t="shared" si="104"/>
        <v>0</v>
      </c>
      <c r="ID20" s="38">
        <f t="shared" si="105"/>
        <v>0</v>
      </c>
      <c r="IE20" s="38">
        <f t="shared" si="106"/>
        <v>0</v>
      </c>
      <c r="IF20" s="46" t="str">
        <f t="shared" si="107"/>
        <v>-</v>
      </c>
      <c r="IG20" s="45" t="str">
        <f>VLOOKUP(IF20,'TABEL KONVERSI'!$B$11:$D$15,3,0)</f>
        <v>-</v>
      </c>
      <c r="IH20" s="40" t="s">
        <v>223</v>
      </c>
      <c r="II20" s="41" t="s">
        <v>106</v>
      </c>
      <c r="IJ20" s="45" t="str">
        <f>IF(II20&lt;&gt;"",VLOOKUP(II20,'TABEL KONVERSI'!$A$19:$B$23,2,0),"")</f>
        <v>Aktif dalam mengikuti kegiatan</v>
      </c>
      <c r="IK20" s="47" t="s">
        <v>58</v>
      </c>
      <c r="IL20" s="50" t="s">
        <v>58</v>
      </c>
      <c r="IM20" s="45" t="str">
        <f>IF(IL20&lt;&gt;"",VLOOKUP(IL20,'TABEL KONVERSI'!$A$19:$B$23,2,0),"")</f>
        <v>-</v>
      </c>
      <c r="IN20" s="49" t="s">
        <v>58</v>
      </c>
      <c r="IO20" s="48" t="s">
        <v>58</v>
      </c>
      <c r="IP20" s="45" t="str">
        <f>IF(IO20&lt;&gt;"",VLOOKUP(IO20,'TABEL KONVERSI'!$A$19:$B$23,2,0),"")</f>
        <v>-</v>
      </c>
      <c r="IQ20" s="49" t="s">
        <v>58</v>
      </c>
      <c r="IR20" s="50" t="s">
        <v>58</v>
      </c>
      <c r="IS20" s="45" t="str">
        <f>IF(IR20&lt;&gt;"",VLOOKUP(IR20,'TABEL KONVERSI'!$A$19:$B$23,2,0),"")</f>
        <v>-</v>
      </c>
      <c r="IT20" s="49" t="s">
        <v>58</v>
      </c>
      <c r="IU20" s="50" t="s">
        <v>58</v>
      </c>
      <c r="IV20" s="45" t="str">
        <f>IF(IU20&lt;&gt;"",VLOOKUP(IU20,'TABEL KONVERSI'!$A$19:$B$23,2,0),"")</f>
        <v>-</v>
      </c>
      <c r="IW20" s="48" t="s">
        <v>58</v>
      </c>
      <c r="IX20" s="48" t="s">
        <v>58</v>
      </c>
      <c r="IY20" s="48" t="s">
        <v>58</v>
      </c>
      <c r="IZ20" s="47" t="s">
        <v>58</v>
      </c>
      <c r="JA20" s="45">
        <f t="shared" si="32"/>
        <v>0</v>
      </c>
      <c r="JB20" s="45">
        <f t="shared" si="33"/>
        <v>1</v>
      </c>
    </row>
    <row r="21" spans="1:262" x14ac:dyDescent="0.25">
      <c r="A21" s="33">
        <v>9</v>
      </c>
      <c r="B21" s="51"/>
      <c r="C21" s="51"/>
      <c r="D21" s="77"/>
      <c r="E21" s="52"/>
      <c r="F21" s="42"/>
      <c r="G21" s="37"/>
      <c r="H21" s="73"/>
      <c r="I21" s="73"/>
      <c r="J21" s="38" t="str">
        <f t="shared" si="34"/>
        <v/>
      </c>
      <c r="K21" s="38" t="str">
        <f t="shared" si="35"/>
        <v/>
      </c>
      <c r="L21" s="38" t="str">
        <f>IF(J21&lt;&gt;"",IF(AND(J21&gt;='TABEL KONVERSI'!$B$3,'ENTRY DATA'!J21&lt;='TABEL KONVERSI'!$C$3),1,IF(AND(J21&gt;='TABEL KONVERSI'!$B$4,'ENTRY DATA'!J21&lt;='TABEL KONVERSI'!$C$4),2,IF(AND(J21&gt;='TABEL KONVERSI'!$B$5,'ENTRY DATA'!J21&lt;='TABEL KONVERSI'!$C$5),3,IF(AND(J21&gt;='TABEL KONVERSI'!$B$6,'ENTRY DATA'!J21&lt;='TABEL KONVERSI'!$C$6),4,"")))),"-")</f>
        <v>-</v>
      </c>
      <c r="M21" s="38" t="str">
        <f>IF(K21&lt;&gt;"",IF(AND(K21&gt;='TABEL KONVERSI'!$B$3,'ENTRY DATA'!K21&lt;='TABEL KONVERSI'!$C$3),1,IF(AND(K21&gt;='TABEL KONVERSI'!$B$4,'ENTRY DATA'!K21&lt;='TABEL KONVERSI'!$C$4),2,IF(AND(K21&gt;='TABEL KONVERSI'!$B$5,'ENTRY DATA'!K21&lt;='TABEL KONVERSI'!$C$5),3,IF(AND(K21&gt;='TABEL KONVERSI'!$B$6,'ENTRY DATA'!K21&lt;='TABEL KONVERSI'!$C$6),4,"")))),"-")</f>
        <v>-</v>
      </c>
      <c r="N21" s="38" t="str">
        <f t="shared" si="36"/>
        <v>-</v>
      </c>
      <c r="O21" s="38" t="str">
        <f>VLOOKUP(L21,'TABEL KONVERSI'!$A$3:$D$7,4)</f>
        <v>-</v>
      </c>
      <c r="P21" s="38" t="str">
        <f t="shared" si="37"/>
        <v>-</v>
      </c>
      <c r="Q21" s="38" t="str">
        <f>VLOOKUP(M21,'TABEL KONVERSI'!$A$3:$D$7,4)</f>
        <v>-</v>
      </c>
      <c r="R21" s="42"/>
      <c r="S21" s="37"/>
      <c r="T21" s="73"/>
      <c r="U21" s="73"/>
      <c r="V21" s="38" t="str">
        <f t="shared" si="38"/>
        <v/>
      </c>
      <c r="W21" s="38" t="str">
        <f t="shared" si="39"/>
        <v/>
      </c>
      <c r="X21" s="38" t="str">
        <f>IF(V21&lt;&gt;"",IF(AND(V21&gt;='TABEL KONVERSI'!$B$3,'ENTRY DATA'!V21&lt;='TABEL KONVERSI'!$C$3),1,IF(AND(V21&gt;='TABEL KONVERSI'!$B$4,'ENTRY DATA'!V21&lt;='TABEL KONVERSI'!$C$4),2,IF(AND(V21&gt;='TABEL KONVERSI'!$B$5,'ENTRY DATA'!V21&lt;='TABEL KONVERSI'!$C$5),3,IF(AND(V21&gt;='TABEL KONVERSI'!$B$6,'ENTRY DATA'!V21&lt;='TABEL KONVERSI'!$C$6),4,"")))),"-")</f>
        <v>-</v>
      </c>
      <c r="Y21" s="38" t="str">
        <f>IF(W21&lt;&gt;"",IF(AND(W21&gt;='TABEL KONVERSI'!$B$3,'ENTRY DATA'!W21&lt;='TABEL KONVERSI'!$C$3),1,IF(AND(W21&gt;='TABEL KONVERSI'!$B$4,'ENTRY DATA'!W21&lt;='TABEL KONVERSI'!$C$4),2,IF(AND(W21&gt;='TABEL KONVERSI'!$B$5,'ENTRY DATA'!W21&lt;='TABEL KONVERSI'!$C$5),3,IF(AND(W21&gt;='TABEL KONVERSI'!$B$6,'ENTRY DATA'!W21&lt;='TABEL KONVERSI'!$C$6),4,"")))),"-")</f>
        <v>-</v>
      </c>
      <c r="Z21" s="38" t="str">
        <f t="shared" si="40"/>
        <v>-</v>
      </c>
      <c r="AA21" s="38" t="str">
        <f>VLOOKUP(X21,'TABEL KONVERSI'!$A$3:$D$7,4)</f>
        <v>-</v>
      </c>
      <c r="AB21" s="38" t="str">
        <f t="shared" si="41"/>
        <v>-</v>
      </c>
      <c r="AC21" s="38" t="str">
        <f>VLOOKUP(Y21,'TABEL KONVERSI'!$A$3:$D$7,4)</f>
        <v>-</v>
      </c>
      <c r="AD21" s="42"/>
      <c r="AE21" s="37"/>
      <c r="AF21" s="73"/>
      <c r="AG21" s="73"/>
      <c r="AH21" s="38" t="str">
        <f t="shared" si="42"/>
        <v/>
      </c>
      <c r="AI21" s="38" t="str">
        <f t="shared" si="43"/>
        <v/>
      </c>
      <c r="AJ21" s="38" t="str">
        <f>IF(AH21&lt;&gt;"",IF(AND(AH21&gt;='TABEL KONVERSI'!$B$3,'ENTRY DATA'!AH21&lt;='TABEL KONVERSI'!$C$3),1,IF(AND(AH21&gt;='TABEL KONVERSI'!$B$4,'ENTRY DATA'!AH21&lt;='TABEL KONVERSI'!$C$4),2,IF(AND(AH21&gt;='TABEL KONVERSI'!$B$5,'ENTRY DATA'!AH21&lt;='TABEL KONVERSI'!$C$5),3,IF(AND(AH21&gt;='TABEL KONVERSI'!$B$6,'ENTRY DATA'!AH21&lt;='TABEL KONVERSI'!$C$6),4,"")))),"-")</f>
        <v>-</v>
      </c>
      <c r="AK21" s="38" t="str">
        <f>IF(AI21&lt;&gt;"",IF(AND(AI21&gt;='TABEL KONVERSI'!$B$3,'ENTRY DATA'!AI21&lt;='TABEL KONVERSI'!$C$3),1,IF(AND(AI21&gt;='TABEL KONVERSI'!$B$4,'ENTRY DATA'!AI21&lt;='TABEL KONVERSI'!$C$4),2,IF(AND(AI21&gt;='TABEL KONVERSI'!$B$5,'ENTRY DATA'!AI21&lt;='TABEL KONVERSI'!$C$5),3,IF(AND(AI21&gt;='TABEL KONVERSI'!$B$6,'ENTRY DATA'!AI21&lt;='TABEL KONVERSI'!$C$6),4,"")))),"-")</f>
        <v>-</v>
      </c>
      <c r="AL21" s="38" t="str">
        <f t="shared" si="44"/>
        <v>-</v>
      </c>
      <c r="AM21" s="38" t="str">
        <f>VLOOKUP(AJ21,'TABEL KONVERSI'!$A$3:$D$7,4)</f>
        <v>-</v>
      </c>
      <c r="AN21" s="38" t="str">
        <f t="shared" si="45"/>
        <v>-</v>
      </c>
      <c r="AO21" s="38" t="str">
        <f>VLOOKUP(AK21,'TABEL KONVERSI'!$A$3:$D$7,4)</f>
        <v>-</v>
      </c>
      <c r="AP21" s="42"/>
      <c r="AQ21" s="37"/>
      <c r="AR21" s="73"/>
      <c r="AS21" s="73"/>
      <c r="AT21" s="38" t="str">
        <f t="shared" si="46"/>
        <v/>
      </c>
      <c r="AU21" s="38" t="str">
        <f t="shared" si="47"/>
        <v/>
      </c>
      <c r="AV21" s="38" t="str">
        <f>IF(AT21&lt;&gt;"",IF(AND(AT21&gt;='TABEL KONVERSI'!$B$3,'ENTRY DATA'!AT21&lt;='TABEL KONVERSI'!$C$3),1,IF(AND(AT21&gt;='TABEL KONVERSI'!$B$4,'ENTRY DATA'!AT21&lt;='TABEL KONVERSI'!$C$4),2,IF(AND(AT21&gt;='TABEL KONVERSI'!$B$5,'ENTRY DATA'!AT21&lt;='TABEL KONVERSI'!$C$5),3,IF(AND(AT21&gt;='TABEL KONVERSI'!$B$6,'ENTRY DATA'!AT21&lt;='TABEL KONVERSI'!$C$6),4,"")))),"-")</f>
        <v>-</v>
      </c>
      <c r="AW21" s="38" t="str">
        <f>IF(AU21&lt;&gt;"",IF(AND(AU21&gt;='TABEL KONVERSI'!$B$3,'ENTRY DATA'!AU21&lt;='TABEL KONVERSI'!$C$3),1,IF(AND(AU21&gt;='TABEL KONVERSI'!$B$4,'ENTRY DATA'!AU21&lt;='TABEL KONVERSI'!$C$4),2,IF(AND(AU21&gt;='TABEL KONVERSI'!$B$5,'ENTRY DATA'!AU21&lt;='TABEL KONVERSI'!$C$5),3,IF(AND(AU21&gt;='TABEL KONVERSI'!$B$6,'ENTRY DATA'!AU21&lt;='TABEL KONVERSI'!$C$6),4,"")))),"-")</f>
        <v>-</v>
      </c>
      <c r="AX21" s="38" t="str">
        <f t="shared" si="48"/>
        <v>-</v>
      </c>
      <c r="AY21" s="38" t="str">
        <f>VLOOKUP(AV21,'TABEL KONVERSI'!$A$3:$D$7,4)</f>
        <v>-</v>
      </c>
      <c r="AZ21" s="38" t="str">
        <f t="shared" si="49"/>
        <v>-</v>
      </c>
      <c r="BA21" s="38" t="str">
        <f>VLOOKUP(AW21,'TABEL KONVERSI'!$A$3:$D$7,4)</f>
        <v>-</v>
      </c>
      <c r="BB21" s="42"/>
      <c r="BC21" s="37"/>
      <c r="BD21" s="73"/>
      <c r="BE21" s="73"/>
      <c r="BF21" s="38" t="str">
        <f t="shared" si="50"/>
        <v/>
      </c>
      <c r="BG21" s="38" t="str">
        <f t="shared" si="51"/>
        <v/>
      </c>
      <c r="BH21" s="38" t="str">
        <f>IF(BF21&lt;&gt;"",IF(AND(BF21&gt;='TABEL KONVERSI'!$B$3,'ENTRY DATA'!BF21&lt;='TABEL KONVERSI'!$C$3),1,IF(AND(BF21&gt;='TABEL KONVERSI'!$B$4,'ENTRY DATA'!BF21&lt;='TABEL KONVERSI'!$C$4),2,IF(AND(BF21&gt;='TABEL KONVERSI'!$B$5,'ENTRY DATA'!BF21&lt;='TABEL KONVERSI'!$C$5),3,IF(AND(BF21&gt;='TABEL KONVERSI'!$B$6,'ENTRY DATA'!BF21&lt;='TABEL KONVERSI'!$C$6),4,"")))),"-")</f>
        <v>-</v>
      </c>
      <c r="BI21" s="38" t="str">
        <f>IF(BG21&lt;&gt;"",IF(AND(BG21&gt;='TABEL KONVERSI'!$B$3,'ENTRY DATA'!BG21&lt;='TABEL KONVERSI'!$C$3),1,IF(AND(BG21&gt;='TABEL KONVERSI'!$B$4,'ENTRY DATA'!BG21&lt;='TABEL KONVERSI'!$C$4),2,IF(AND(BG21&gt;='TABEL KONVERSI'!$B$5,'ENTRY DATA'!BG21&lt;='TABEL KONVERSI'!$C$5),3,IF(AND(BG21&gt;='TABEL KONVERSI'!$B$6,'ENTRY DATA'!BG21&lt;='TABEL KONVERSI'!$C$6),4,"")))),"-")</f>
        <v>-</v>
      </c>
      <c r="BJ21" s="38" t="str">
        <f t="shared" si="52"/>
        <v>-</v>
      </c>
      <c r="BK21" s="38" t="str">
        <f>VLOOKUP(BH21,'TABEL KONVERSI'!$A$3:$D$7,4)</f>
        <v>-</v>
      </c>
      <c r="BL21" s="38" t="str">
        <f t="shared" si="53"/>
        <v>-</v>
      </c>
      <c r="BM21" s="38" t="str">
        <f>VLOOKUP(BI21,'TABEL KONVERSI'!$A$3:$D$7,4)</f>
        <v>-</v>
      </c>
      <c r="BN21" s="42"/>
      <c r="BO21" s="37"/>
      <c r="BP21" s="73"/>
      <c r="BQ21" s="73"/>
      <c r="BR21" s="38" t="str">
        <f t="shared" si="54"/>
        <v/>
      </c>
      <c r="BS21" s="38" t="str">
        <f t="shared" si="55"/>
        <v/>
      </c>
      <c r="BT21" s="38" t="str">
        <f>IF(BR21&lt;&gt;"",IF(AND(BR21&gt;='TABEL KONVERSI'!$B$3,'ENTRY DATA'!BR21&lt;='TABEL KONVERSI'!$C$3),1,IF(AND(BR21&gt;='TABEL KONVERSI'!$B$4,'ENTRY DATA'!BR21&lt;='TABEL KONVERSI'!$C$4),2,IF(AND(BR21&gt;='TABEL KONVERSI'!$B$5,'ENTRY DATA'!BR21&lt;='TABEL KONVERSI'!$C$5),3,IF(AND(BR21&gt;='TABEL KONVERSI'!$B$6,'ENTRY DATA'!BR21&lt;='TABEL KONVERSI'!$C$6),4,"")))),"-")</f>
        <v>-</v>
      </c>
      <c r="BU21" s="38" t="str">
        <f>IF(BS21&lt;&gt;"",IF(AND(BS21&gt;='TABEL KONVERSI'!$B$3,'ENTRY DATA'!BS21&lt;='TABEL KONVERSI'!$C$3),1,IF(AND(BS21&gt;='TABEL KONVERSI'!$B$4,'ENTRY DATA'!BS21&lt;='TABEL KONVERSI'!$C$4),2,IF(AND(BS21&gt;='TABEL KONVERSI'!$B$5,'ENTRY DATA'!BS21&lt;='TABEL KONVERSI'!$C$5),3,IF(AND(BS21&gt;='TABEL KONVERSI'!$B$6,'ENTRY DATA'!BS21&lt;='TABEL KONVERSI'!$C$6),4,"")))),"-")</f>
        <v>-</v>
      </c>
      <c r="BV21" s="38" t="str">
        <f t="shared" si="56"/>
        <v>-</v>
      </c>
      <c r="BW21" s="38" t="str">
        <f>VLOOKUP(BT21,'TABEL KONVERSI'!$A$3:$D$7,4)</f>
        <v>-</v>
      </c>
      <c r="BX21" s="38" t="str">
        <f t="shared" si="57"/>
        <v>-</v>
      </c>
      <c r="BY21" s="38" t="str">
        <f>VLOOKUP(BU21,'TABEL KONVERSI'!$A$3:$D$7,4)</f>
        <v>-</v>
      </c>
      <c r="BZ21" s="42"/>
      <c r="CA21" s="37"/>
      <c r="CB21" s="73"/>
      <c r="CC21" s="73"/>
      <c r="CD21" s="38" t="str">
        <f t="shared" si="58"/>
        <v/>
      </c>
      <c r="CE21" s="38" t="str">
        <f t="shared" si="59"/>
        <v/>
      </c>
      <c r="CF21" s="38" t="str">
        <f>IF(CD21&lt;&gt;"",IF(AND(CD21&gt;='TABEL KONVERSI'!$B$3,'ENTRY DATA'!CD21&lt;='TABEL KONVERSI'!$C$3),1,IF(AND(CD21&gt;='TABEL KONVERSI'!$B$4,'ENTRY DATA'!CD21&lt;='TABEL KONVERSI'!$C$4),2,IF(AND(CD21&gt;='TABEL KONVERSI'!$B$5,'ENTRY DATA'!CD21&lt;='TABEL KONVERSI'!$C$5),3,IF(AND(CD21&gt;='TABEL KONVERSI'!$B$6,'ENTRY DATA'!CD21&lt;='TABEL KONVERSI'!$C$6),4,"")))),"-")</f>
        <v>-</v>
      </c>
      <c r="CG21" s="38" t="str">
        <f>IF(CE21&lt;&gt;"",IF(AND(CE21&gt;='TABEL KONVERSI'!$B$3,'ENTRY DATA'!CE21&lt;='TABEL KONVERSI'!$C$3),1,IF(AND(CE21&gt;='TABEL KONVERSI'!$B$4,'ENTRY DATA'!CE21&lt;='TABEL KONVERSI'!$C$4),2,IF(AND(CE21&gt;='TABEL KONVERSI'!$B$5,'ENTRY DATA'!CE21&lt;='TABEL KONVERSI'!$C$5),3,IF(AND(CE21&gt;='TABEL KONVERSI'!$B$6,'ENTRY DATA'!CE21&lt;='TABEL KONVERSI'!$C$6),4,"")))),"-")</f>
        <v>-</v>
      </c>
      <c r="CH21" s="38" t="str">
        <f t="shared" si="60"/>
        <v>-</v>
      </c>
      <c r="CI21" s="38" t="str">
        <f>VLOOKUP(CF21,'TABEL KONVERSI'!$A$3:$D$7,4)</f>
        <v>-</v>
      </c>
      <c r="CJ21" s="38" t="str">
        <f t="shared" si="61"/>
        <v>-</v>
      </c>
      <c r="CK21" s="38" t="str">
        <f>VLOOKUP(CG21,'TABEL KONVERSI'!$A$3:$D$7,4)</f>
        <v>-</v>
      </c>
      <c r="CL21" s="42"/>
      <c r="CM21" s="37"/>
      <c r="CN21" s="73"/>
      <c r="CO21" s="73"/>
      <c r="CP21" s="38" t="str">
        <f t="shared" si="62"/>
        <v/>
      </c>
      <c r="CQ21" s="38" t="str">
        <f t="shared" si="63"/>
        <v/>
      </c>
      <c r="CR21" s="38" t="str">
        <f>IF(CP21&lt;&gt;"",IF(AND(CP21&gt;='TABEL KONVERSI'!$B$3,'ENTRY DATA'!CP21&lt;='TABEL KONVERSI'!$C$3),1,IF(AND(CP21&gt;='TABEL KONVERSI'!$B$4,'ENTRY DATA'!CP21&lt;='TABEL KONVERSI'!$C$4),2,IF(AND(CP21&gt;='TABEL KONVERSI'!$B$5,'ENTRY DATA'!CP21&lt;='TABEL KONVERSI'!$C$5),3,IF(AND(CP21&gt;='TABEL KONVERSI'!$B$6,'ENTRY DATA'!CP21&lt;='TABEL KONVERSI'!$C$6),4,"")))),"-")</f>
        <v>-</v>
      </c>
      <c r="CS21" s="38" t="str">
        <f>IF(CQ21&lt;&gt;"",IF(AND(CQ21&gt;='TABEL KONVERSI'!$B$3,'ENTRY DATA'!CQ21&lt;='TABEL KONVERSI'!$C$3),1,IF(AND(CQ21&gt;='TABEL KONVERSI'!$B$4,'ENTRY DATA'!CQ21&lt;='TABEL KONVERSI'!$C$4),2,IF(AND(CQ21&gt;='TABEL KONVERSI'!$B$5,'ENTRY DATA'!CQ21&lt;='TABEL KONVERSI'!$C$5),3,IF(AND(CQ21&gt;='TABEL KONVERSI'!$B$6,'ENTRY DATA'!CQ21&lt;='TABEL KONVERSI'!$C$6),4,"")))),"-")</f>
        <v>-</v>
      </c>
      <c r="CT21" s="38" t="str">
        <f t="shared" si="64"/>
        <v>-</v>
      </c>
      <c r="CU21" s="38" t="str">
        <f>VLOOKUP(CR21,'TABEL KONVERSI'!$A$3:$D$7,4)</f>
        <v>-</v>
      </c>
      <c r="CV21" s="38" t="str">
        <f t="shared" si="65"/>
        <v>-</v>
      </c>
      <c r="CW21" s="38" t="str">
        <f>VLOOKUP(CS21,'TABEL KONVERSI'!$A$3:$D$7,4)</f>
        <v>-</v>
      </c>
      <c r="CX21" s="42"/>
      <c r="CY21" s="37"/>
      <c r="CZ21" s="73"/>
      <c r="DA21" s="73"/>
      <c r="DB21" s="38" t="str">
        <f t="shared" si="66"/>
        <v/>
      </c>
      <c r="DC21" s="38" t="str">
        <f t="shared" si="67"/>
        <v/>
      </c>
      <c r="DD21" s="38" t="str">
        <f>IF(DB21&lt;&gt;"",IF(AND(DB21&gt;='TABEL KONVERSI'!$B$3,'ENTRY DATA'!DB21&lt;='TABEL KONVERSI'!$C$3),1,IF(AND(DB21&gt;='TABEL KONVERSI'!$B$4,'ENTRY DATA'!DB21&lt;='TABEL KONVERSI'!$C$4),2,IF(AND(DB21&gt;='TABEL KONVERSI'!$B$5,'ENTRY DATA'!DB21&lt;='TABEL KONVERSI'!$C$5),3,IF(AND(DB21&gt;='TABEL KONVERSI'!$B$6,'ENTRY DATA'!DB21&lt;='TABEL KONVERSI'!$C$6),4,"")))),"-")</f>
        <v>-</v>
      </c>
      <c r="DE21" s="38" t="str">
        <f>IF(DC21&lt;&gt;"",IF(AND(DC21&gt;='TABEL KONVERSI'!$B$3,'ENTRY DATA'!DC21&lt;='TABEL KONVERSI'!$C$3),1,IF(AND(DC21&gt;='TABEL KONVERSI'!$B$4,'ENTRY DATA'!DC21&lt;='TABEL KONVERSI'!$C$4),2,IF(AND(DC21&gt;='TABEL KONVERSI'!$B$5,'ENTRY DATA'!DC21&lt;='TABEL KONVERSI'!$C$5),3,IF(AND(DC21&gt;='TABEL KONVERSI'!$B$6,'ENTRY DATA'!DC21&lt;='TABEL KONVERSI'!$C$6),4,"")))),"-")</f>
        <v>-</v>
      </c>
      <c r="DF21" s="38" t="str">
        <f t="shared" si="68"/>
        <v>-</v>
      </c>
      <c r="DG21" s="38" t="str">
        <f>VLOOKUP(DD21,'TABEL KONVERSI'!$A$3:$D$7,4)</f>
        <v>-</v>
      </c>
      <c r="DH21" s="38" t="str">
        <f t="shared" si="69"/>
        <v>-</v>
      </c>
      <c r="DI21" s="38" t="str">
        <f>VLOOKUP(DE21,'TABEL KONVERSI'!$A$3:$D$7,4)</f>
        <v>-</v>
      </c>
      <c r="DJ21" s="42"/>
      <c r="DK21" s="37"/>
      <c r="DL21" s="73"/>
      <c r="DM21" s="73"/>
      <c r="DN21" s="38" t="str">
        <f t="shared" si="70"/>
        <v/>
      </c>
      <c r="DO21" s="38" t="str">
        <f t="shared" si="71"/>
        <v/>
      </c>
      <c r="DP21" s="38" t="str">
        <f>IF(DN21&lt;&gt;"",IF(AND(DN21&gt;='TABEL KONVERSI'!$B$3,'ENTRY DATA'!DN21&lt;='TABEL KONVERSI'!$C$3),1,IF(AND(DN21&gt;='TABEL KONVERSI'!$B$4,'ENTRY DATA'!DN21&lt;='TABEL KONVERSI'!$C$4),2,IF(AND(DN21&gt;='TABEL KONVERSI'!$B$5,'ENTRY DATA'!DN21&lt;='TABEL KONVERSI'!$C$5),3,IF(AND(DN21&gt;='TABEL KONVERSI'!$B$6,'ENTRY DATA'!DN21&lt;='TABEL KONVERSI'!$C$6),4,"")))),"-")</f>
        <v>-</v>
      </c>
      <c r="DQ21" s="38" t="str">
        <f>IF(DO21&lt;&gt;"",IF(AND(DO21&gt;='TABEL KONVERSI'!$B$3,'ENTRY DATA'!DO21&lt;='TABEL KONVERSI'!$C$3),1,IF(AND(DO21&gt;='TABEL KONVERSI'!$B$4,'ENTRY DATA'!DO21&lt;='TABEL KONVERSI'!$C$4),2,IF(AND(DO21&gt;='TABEL KONVERSI'!$B$5,'ENTRY DATA'!DO21&lt;='TABEL KONVERSI'!$C$5),3,IF(AND(DO21&gt;='TABEL KONVERSI'!$B$6,'ENTRY DATA'!DO21&lt;='TABEL KONVERSI'!$C$6),4,"")))),"-")</f>
        <v>-</v>
      </c>
      <c r="DR21" s="38" t="str">
        <f t="shared" si="72"/>
        <v>-</v>
      </c>
      <c r="DS21" s="38" t="str">
        <f>VLOOKUP(DP21,'TABEL KONVERSI'!$A$3:$D$7,4)</f>
        <v>-</v>
      </c>
      <c r="DT21" s="38" t="str">
        <f t="shared" si="73"/>
        <v>-</v>
      </c>
      <c r="DU21" s="38" t="str">
        <f>VLOOKUP(DQ21,'TABEL KONVERSI'!$A$3:$D$7,4)</f>
        <v>-</v>
      </c>
      <c r="DV21" s="42"/>
      <c r="DW21" s="37"/>
      <c r="DX21" s="73"/>
      <c r="DY21" s="73"/>
      <c r="DZ21" s="38" t="str">
        <f t="shared" si="74"/>
        <v/>
      </c>
      <c r="EA21" s="38" t="str">
        <f t="shared" si="75"/>
        <v/>
      </c>
      <c r="EB21" s="38" t="str">
        <f>IF(DZ21&lt;&gt;"",IF(AND(DZ21&gt;='TABEL KONVERSI'!$B$3,'ENTRY DATA'!DZ21&lt;='TABEL KONVERSI'!$C$3),1,IF(AND(DZ21&gt;='TABEL KONVERSI'!$B$4,'ENTRY DATA'!DZ21&lt;='TABEL KONVERSI'!$C$4),2,IF(AND(DZ21&gt;='TABEL KONVERSI'!$B$5,'ENTRY DATA'!DZ21&lt;='TABEL KONVERSI'!$C$5),3,IF(AND(DZ21&gt;='TABEL KONVERSI'!$B$6,'ENTRY DATA'!DZ21&lt;='TABEL KONVERSI'!$C$6),4,"")))),"-")</f>
        <v>-</v>
      </c>
      <c r="EC21" s="38" t="str">
        <f>IF(EA21&lt;&gt;"",IF(AND(EA21&gt;='TABEL KONVERSI'!$B$3,'ENTRY DATA'!EA21&lt;='TABEL KONVERSI'!$C$3),1,IF(AND(EA21&gt;='TABEL KONVERSI'!$B$4,'ENTRY DATA'!EA21&lt;='TABEL KONVERSI'!$C$4),2,IF(AND(EA21&gt;='TABEL KONVERSI'!$B$5,'ENTRY DATA'!EA21&lt;='TABEL KONVERSI'!$C$5),3,IF(AND(EA21&gt;='TABEL KONVERSI'!$B$6,'ENTRY DATA'!EA21&lt;='TABEL KONVERSI'!$C$6),4,"")))),"-")</f>
        <v>-</v>
      </c>
      <c r="ED21" s="38" t="str">
        <f t="shared" si="76"/>
        <v>-</v>
      </c>
      <c r="EE21" s="38" t="str">
        <f>VLOOKUP(EB21,'TABEL KONVERSI'!$A$3:$D$7,4)</f>
        <v>-</v>
      </c>
      <c r="EF21" s="38" t="str">
        <f t="shared" si="77"/>
        <v>-</v>
      </c>
      <c r="EG21" s="38" t="str">
        <f>VLOOKUP(EC21,'TABEL KONVERSI'!$A$3:$D$7,4)</f>
        <v>-</v>
      </c>
      <c r="EH21" s="42"/>
      <c r="EI21" s="37"/>
      <c r="EJ21" s="73"/>
      <c r="EK21" s="73"/>
      <c r="EL21" s="38" t="str">
        <f t="shared" si="78"/>
        <v/>
      </c>
      <c r="EM21" s="38" t="str">
        <f t="shared" si="79"/>
        <v/>
      </c>
      <c r="EN21" s="38" t="str">
        <f>IF(EL21&lt;&gt;"",IF(AND(EL21&gt;='TABEL KONVERSI'!$B$3,'ENTRY DATA'!EL21&lt;='TABEL KONVERSI'!$C$3),1,IF(AND(EL21&gt;='TABEL KONVERSI'!$B$4,'ENTRY DATA'!EL21&lt;='TABEL KONVERSI'!$C$4),2,IF(AND(EL21&gt;='TABEL KONVERSI'!$B$5,'ENTRY DATA'!EL21&lt;='TABEL KONVERSI'!$C$5),3,IF(AND(EL21&gt;='TABEL KONVERSI'!$B$6,'ENTRY DATA'!EL21&lt;='TABEL KONVERSI'!$C$6),4,"")))),"-")</f>
        <v>-</v>
      </c>
      <c r="EO21" s="38" t="str">
        <f>IF(EM21&lt;&gt;"",IF(AND(EM21&gt;='TABEL KONVERSI'!$B$3,'ENTRY DATA'!EM21&lt;='TABEL KONVERSI'!$C$3),1,IF(AND(EM21&gt;='TABEL KONVERSI'!$B$4,'ENTRY DATA'!EM21&lt;='TABEL KONVERSI'!$C$4),2,IF(AND(EM21&gt;='TABEL KONVERSI'!$B$5,'ENTRY DATA'!EM21&lt;='TABEL KONVERSI'!$C$5),3,IF(AND(EM21&gt;='TABEL KONVERSI'!$B$6,'ENTRY DATA'!EM21&lt;='TABEL KONVERSI'!$C$6),4,"")))),"-")</f>
        <v>-</v>
      </c>
      <c r="EP21" s="38" t="str">
        <f t="shared" si="80"/>
        <v>-</v>
      </c>
      <c r="EQ21" s="38" t="str">
        <f>VLOOKUP(EN21,'TABEL KONVERSI'!$A$3:$D$7,4)</f>
        <v>-</v>
      </c>
      <c r="ER21" s="38" t="str">
        <f t="shared" si="81"/>
        <v>-</v>
      </c>
      <c r="ES21" s="38" t="str">
        <f>VLOOKUP(EO21,'TABEL KONVERSI'!$A$3:$D$7,4)</f>
        <v>-</v>
      </c>
      <c r="ET21" s="42"/>
      <c r="EU21" s="37"/>
      <c r="EV21" s="73"/>
      <c r="EW21" s="73"/>
      <c r="EX21" s="38" t="str">
        <f t="shared" si="82"/>
        <v/>
      </c>
      <c r="EY21" s="38" t="str">
        <f t="shared" si="83"/>
        <v/>
      </c>
      <c r="EZ21" s="38" t="str">
        <f>IF(EX21&lt;&gt;"",IF(AND(EX21&gt;='TABEL KONVERSI'!$B$3,'ENTRY DATA'!EX21&lt;='TABEL KONVERSI'!$C$3),1,IF(AND(EX21&gt;='TABEL KONVERSI'!$B$4,'ENTRY DATA'!EX21&lt;='TABEL KONVERSI'!$C$4),2,IF(AND(EX21&gt;='TABEL KONVERSI'!$B$5,'ENTRY DATA'!EX21&lt;='TABEL KONVERSI'!$C$5),3,IF(AND(EX21&gt;='TABEL KONVERSI'!$B$6,'ENTRY DATA'!EX21&lt;='TABEL KONVERSI'!$C$6),4,"")))),"-")</f>
        <v>-</v>
      </c>
      <c r="FA21" s="38" t="str">
        <f>IF(EY21&lt;&gt;"",IF(AND(EY21&gt;='TABEL KONVERSI'!$B$3,'ENTRY DATA'!EY21&lt;='TABEL KONVERSI'!$C$3),1,IF(AND(EY21&gt;='TABEL KONVERSI'!$B$4,'ENTRY DATA'!EY21&lt;='TABEL KONVERSI'!$C$4),2,IF(AND(EY21&gt;='TABEL KONVERSI'!$B$5,'ENTRY DATA'!EY21&lt;='TABEL KONVERSI'!$C$5),3,IF(AND(EY21&gt;='TABEL KONVERSI'!$B$6,'ENTRY DATA'!EY21&lt;='TABEL KONVERSI'!$C$6),4,"")))),"-")</f>
        <v>-</v>
      </c>
      <c r="FB21" s="38" t="str">
        <f t="shared" si="84"/>
        <v>-</v>
      </c>
      <c r="FC21" s="38" t="str">
        <f>VLOOKUP(EZ21,'TABEL KONVERSI'!$A$3:$D$7,4)</f>
        <v>-</v>
      </c>
      <c r="FD21" s="38" t="str">
        <f t="shared" si="85"/>
        <v>-</v>
      </c>
      <c r="FE21" s="38" t="str">
        <f>VLOOKUP(FA21,'TABEL KONVERSI'!$A$3:$D$7,4)</f>
        <v>-</v>
      </c>
      <c r="FF21" s="42"/>
      <c r="FG21" s="37"/>
      <c r="FH21" s="73"/>
      <c r="FI21" s="73"/>
      <c r="FJ21" s="38" t="str">
        <f t="shared" si="86"/>
        <v/>
      </c>
      <c r="FK21" s="38" t="str">
        <f t="shared" si="87"/>
        <v/>
      </c>
      <c r="FL21" s="38" t="str">
        <f>IF(FJ21&lt;&gt;"",IF(AND(FJ21&gt;='TABEL KONVERSI'!$B$3,'ENTRY DATA'!FJ21&lt;='TABEL KONVERSI'!$C$3),1,IF(AND(FJ21&gt;='TABEL KONVERSI'!$B$4,'ENTRY DATA'!FJ21&lt;='TABEL KONVERSI'!$C$4),2,IF(AND(FJ21&gt;='TABEL KONVERSI'!$B$5,'ENTRY DATA'!FJ21&lt;='TABEL KONVERSI'!$C$5),3,IF(AND(FJ21&gt;='TABEL KONVERSI'!$B$6,'ENTRY DATA'!FJ21&lt;='TABEL KONVERSI'!$C$6),4,"")))),"-")</f>
        <v>-</v>
      </c>
      <c r="FM21" s="38" t="str">
        <f>IF(FK21&lt;&gt;"",IF(AND(FK21&gt;='TABEL KONVERSI'!$B$3,'ENTRY DATA'!FK21&lt;='TABEL KONVERSI'!$C$3),1,IF(AND(FK21&gt;='TABEL KONVERSI'!$B$4,'ENTRY DATA'!FK21&lt;='TABEL KONVERSI'!$C$4),2,IF(AND(FK21&gt;='TABEL KONVERSI'!$B$5,'ENTRY DATA'!FK21&lt;='TABEL KONVERSI'!$C$5),3,IF(AND(FK21&gt;='TABEL KONVERSI'!$B$6,'ENTRY DATA'!FK21&lt;='TABEL KONVERSI'!$C$6),4,"")))),"-")</f>
        <v>-</v>
      </c>
      <c r="FN21" s="38" t="str">
        <f t="shared" si="88"/>
        <v>-</v>
      </c>
      <c r="FO21" s="38" t="str">
        <f>VLOOKUP(FL21,'TABEL KONVERSI'!$A$3:$D$7,4)</f>
        <v>-</v>
      </c>
      <c r="FP21" s="38" t="str">
        <f t="shared" si="89"/>
        <v>-</v>
      </c>
      <c r="FQ21" s="38" t="str">
        <f>VLOOKUP(FM21,'TABEL KONVERSI'!$A$3:$D$7,4)</f>
        <v>-</v>
      </c>
      <c r="FR21" s="42"/>
      <c r="FS21" s="37"/>
      <c r="FT21" s="73"/>
      <c r="FU21" s="73"/>
      <c r="FV21" s="38" t="str">
        <f t="shared" si="90"/>
        <v/>
      </c>
      <c r="FW21" s="38" t="str">
        <f t="shared" si="91"/>
        <v/>
      </c>
      <c r="FX21" s="38" t="str">
        <f>IF(FV21&lt;&gt;"",IF(AND(FV21&gt;='TABEL KONVERSI'!$B$3,'ENTRY DATA'!FV21&lt;='TABEL KONVERSI'!$C$3),1,IF(AND(FV21&gt;='TABEL KONVERSI'!$B$4,'ENTRY DATA'!FV21&lt;='TABEL KONVERSI'!$C$4),2,IF(AND(FV21&gt;='TABEL KONVERSI'!$B$5,'ENTRY DATA'!FV21&lt;='TABEL KONVERSI'!$C$5),3,IF(AND(FV21&gt;='TABEL KONVERSI'!$B$6,'ENTRY DATA'!FV21&lt;='TABEL KONVERSI'!$C$6),4,"")))),"-")</f>
        <v>-</v>
      </c>
      <c r="FY21" s="38" t="str">
        <f>IF(FW21&lt;&gt;"",IF(AND(FW21&gt;='TABEL KONVERSI'!$B$3,'ENTRY DATA'!FW21&lt;='TABEL KONVERSI'!$C$3),1,IF(AND(FW21&gt;='TABEL KONVERSI'!$B$4,'ENTRY DATA'!FW21&lt;='TABEL KONVERSI'!$C$4),2,IF(AND(FW21&gt;='TABEL KONVERSI'!$B$5,'ENTRY DATA'!FW21&lt;='TABEL KONVERSI'!$C$5),3,IF(AND(FW21&gt;='TABEL KONVERSI'!$B$6,'ENTRY DATA'!FW21&lt;='TABEL KONVERSI'!$C$6),4,"")))),"-")</f>
        <v>-</v>
      </c>
      <c r="FZ21" s="38" t="str">
        <f t="shared" si="92"/>
        <v>-</v>
      </c>
      <c r="GA21" s="38" t="str">
        <f>VLOOKUP(FX21,'TABEL KONVERSI'!$A$3:$D$7,4)</f>
        <v>-</v>
      </c>
      <c r="GB21" s="38" t="str">
        <f t="shared" si="93"/>
        <v>-</v>
      </c>
      <c r="GC21" s="38" t="str">
        <f>VLOOKUP(FY21,'TABEL KONVERSI'!$A$3:$D$7,4)</f>
        <v>-</v>
      </c>
      <c r="GD21" s="42"/>
      <c r="GE21" s="37"/>
      <c r="GF21" s="73"/>
      <c r="GG21" s="73"/>
      <c r="GH21" s="38" t="str">
        <f t="shared" si="94"/>
        <v/>
      </c>
      <c r="GI21" s="38" t="str">
        <f t="shared" si="95"/>
        <v/>
      </c>
      <c r="GJ21" s="38" t="str">
        <f>IF(GH21&lt;&gt;"",IF(AND(GH21&gt;='TABEL KONVERSI'!$B$3,'ENTRY DATA'!GH21&lt;='TABEL KONVERSI'!$C$3),1,IF(AND(GH21&gt;='TABEL KONVERSI'!$B$4,'ENTRY DATA'!GH21&lt;='TABEL KONVERSI'!$C$4),2,IF(AND(GH21&gt;='TABEL KONVERSI'!$B$5,'ENTRY DATA'!GH21&lt;='TABEL KONVERSI'!$C$5),3,IF(AND(GH21&gt;='TABEL KONVERSI'!$B$6,'ENTRY DATA'!GH21&lt;='TABEL KONVERSI'!$C$6),4,"")))),"-")</f>
        <v>-</v>
      </c>
      <c r="GK21" s="38" t="str">
        <f>IF(GI21&lt;&gt;"",IF(AND(GI21&gt;='TABEL KONVERSI'!$B$3,'ENTRY DATA'!GI21&lt;='TABEL KONVERSI'!$C$3),1,IF(AND(GI21&gt;='TABEL KONVERSI'!$B$4,'ENTRY DATA'!GI21&lt;='TABEL KONVERSI'!$C$4),2,IF(AND(GI21&gt;='TABEL KONVERSI'!$B$5,'ENTRY DATA'!GI21&lt;='TABEL KONVERSI'!$C$5),3,IF(AND(GI21&gt;='TABEL KONVERSI'!$B$6,'ENTRY DATA'!GI21&lt;='TABEL KONVERSI'!$C$6),4,"")))),"-")</f>
        <v>-</v>
      </c>
      <c r="GL21" s="38" t="str">
        <f t="shared" si="96"/>
        <v>-</v>
      </c>
      <c r="GM21" s="38" t="str">
        <f>VLOOKUP(GJ21,'TABEL KONVERSI'!$A$3:$D$7,4)</f>
        <v>-</v>
      </c>
      <c r="GN21" s="38" t="str">
        <f t="shared" si="97"/>
        <v>-</v>
      </c>
      <c r="GO21" s="38" t="str">
        <f>VLOOKUP(GK21,'TABEL KONVERSI'!$A$3:$D$7,4)</f>
        <v>-</v>
      </c>
      <c r="GP21" s="43">
        <f t="shared" si="0"/>
        <v>0</v>
      </c>
      <c r="GQ21" s="43">
        <f t="shared" si="1"/>
        <v>0</v>
      </c>
      <c r="GR21" s="43">
        <f t="shared" si="2"/>
        <v>0</v>
      </c>
      <c r="GS21" s="43">
        <f t="shared" si="3"/>
        <v>0</v>
      </c>
      <c r="GT21" s="43">
        <f t="shared" si="4"/>
        <v>0</v>
      </c>
      <c r="GU21" s="43">
        <f t="shared" si="5"/>
        <v>0</v>
      </c>
      <c r="GV21" s="43">
        <f t="shared" si="6"/>
        <v>0</v>
      </c>
      <c r="GW21" s="43">
        <f t="shared" si="7"/>
        <v>0</v>
      </c>
      <c r="GX21" s="43">
        <f t="shared" si="8"/>
        <v>0</v>
      </c>
      <c r="GY21" s="43">
        <f t="shared" si="9"/>
        <v>0</v>
      </c>
      <c r="GZ21" s="43">
        <f t="shared" si="10"/>
        <v>0</v>
      </c>
      <c r="HA21" s="43">
        <f t="shared" si="11"/>
        <v>0</v>
      </c>
      <c r="HB21" s="43">
        <f t="shared" si="12"/>
        <v>0</v>
      </c>
      <c r="HC21" s="43">
        <f t="shared" si="13"/>
        <v>0</v>
      </c>
      <c r="HD21" s="43">
        <f t="shared" si="14"/>
        <v>0</v>
      </c>
      <c r="HE21" s="43">
        <f t="shared" si="15"/>
        <v>0</v>
      </c>
      <c r="HF21" s="38">
        <f t="shared" si="98"/>
        <v>0</v>
      </c>
      <c r="HG21" s="38">
        <f t="shared" si="99"/>
        <v>0</v>
      </c>
      <c r="HH21" s="38">
        <f t="shared" si="100"/>
        <v>0</v>
      </c>
      <c r="HI21" s="39">
        <f t="shared" si="101"/>
        <v>0</v>
      </c>
      <c r="HJ21" s="44" t="str">
        <f t="shared" si="102"/>
        <v>-</v>
      </c>
      <c r="HK21" s="45" t="str">
        <f>VLOOKUP(HJ21,'TABEL KONVERSI'!$B$11:$D$15,2,0)</f>
        <v>-</v>
      </c>
      <c r="HL21" s="43">
        <f t="shared" si="16"/>
        <v>0</v>
      </c>
      <c r="HM21" s="43">
        <f t="shared" si="17"/>
        <v>0</v>
      </c>
      <c r="HN21" s="43">
        <f t="shared" si="18"/>
        <v>0</v>
      </c>
      <c r="HO21" s="43">
        <f t="shared" si="19"/>
        <v>0</v>
      </c>
      <c r="HP21" s="43">
        <f t="shared" si="20"/>
        <v>0</v>
      </c>
      <c r="HQ21" s="43">
        <f t="shared" si="21"/>
        <v>0</v>
      </c>
      <c r="HR21" s="43">
        <f t="shared" si="22"/>
        <v>0</v>
      </c>
      <c r="HS21" s="43">
        <f t="shared" si="23"/>
        <v>0</v>
      </c>
      <c r="HT21" s="43">
        <f t="shared" si="24"/>
        <v>0</v>
      </c>
      <c r="HU21" s="43">
        <f t="shared" si="25"/>
        <v>0</v>
      </c>
      <c r="HV21" s="43">
        <f t="shared" si="26"/>
        <v>0</v>
      </c>
      <c r="HW21" s="43">
        <f t="shared" si="27"/>
        <v>0</v>
      </c>
      <c r="HX21" s="43">
        <f t="shared" si="28"/>
        <v>0</v>
      </c>
      <c r="HY21" s="43">
        <f t="shared" si="29"/>
        <v>0</v>
      </c>
      <c r="HZ21" s="43">
        <f t="shared" si="30"/>
        <v>0</v>
      </c>
      <c r="IA21" s="43">
        <f t="shared" si="31"/>
        <v>0</v>
      </c>
      <c r="IB21" s="38">
        <f t="shared" si="103"/>
        <v>0</v>
      </c>
      <c r="IC21" s="38">
        <f t="shared" si="104"/>
        <v>0</v>
      </c>
      <c r="ID21" s="38">
        <f t="shared" si="105"/>
        <v>0</v>
      </c>
      <c r="IE21" s="38">
        <f t="shared" si="106"/>
        <v>0</v>
      </c>
      <c r="IF21" s="46" t="str">
        <f t="shared" si="107"/>
        <v>-</v>
      </c>
      <c r="IG21" s="45" t="str">
        <f>VLOOKUP(IF21,'TABEL KONVERSI'!$B$11:$D$15,3,0)</f>
        <v>-</v>
      </c>
      <c r="IH21" s="40" t="s">
        <v>223</v>
      </c>
      <c r="II21" s="41" t="s">
        <v>106</v>
      </c>
      <c r="IJ21" s="45" t="str">
        <f>IF(II21&lt;&gt;"",VLOOKUP(II21,'TABEL KONVERSI'!$A$19:$B$23,2,0),"")</f>
        <v>Aktif dalam mengikuti kegiatan</v>
      </c>
      <c r="IK21" s="47" t="s">
        <v>58</v>
      </c>
      <c r="IL21" s="50" t="s">
        <v>58</v>
      </c>
      <c r="IM21" s="45" t="str">
        <f>IF(IL21&lt;&gt;"",VLOOKUP(IL21,'TABEL KONVERSI'!$A$19:$B$23,2,0),"")</f>
        <v>-</v>
      </c>
      <c r="IN21" s="49" t="s">
        <v>58</v>
      </c>
      <c r="IO21" s="48" t="s">
        <v>58</v>
      </c>
      <c r="IP21" s="45" t="str">
        <f>IF(IO21&lt;&gt;"",VLOOKUP(IO21,'TABEL KONVERSI'!$A$19:$B$23,2,0),"")</f>
        <v>-</v>
      </c>
      <c r="IQ21" s="49" t="s">
        <v>58</v>
      </c>
      <c r="IR21" s="50" t="s">
        <v>58</v>
      </c>
      <c r="IS21" s="45" t="str">
        <f>IF(IR21&lt;&gt;"",VLOOKUP(IR21,'TABEL KONVERSI'!$A$19:$B$23,2,0),"")</f>
        <v>-</v>
      </c>
      <c r="IT21" s="49" t="s">
        <v>58</v>
      </c>
      <c r="IU21" s="50" t="s">
        <v>58</v>
      </c>
      <c r="IV21" s="45" t="str">
        <f>IF(IU21&lt;&gt;"",VLOOKUP(IU21,'TABEL KONVERSI'!$A$19:$B$23,2,0),"")</f>
        <v>-</v>
      </c>
      <c r="IW21" s="48" t="s">
        <v>58</v>
      </c>
      <c r="IX21" s="48" t="s">
        <v>58</v>
      </c>
      <c r="IY21" s="48" t="s">
        <v>58</v>
      </c>
      <c r="IZ21" s="47" t="s">
        <v>58</v>
      </c>
      <c r="JA21" s="45">
        <f t="shared" si="32"/>
        <v>0</v>
      </c>
      <c r="JB21" s="45">
        <f t="shared" si="33"/>
        <v>1</v>
      </c>
    </row>
    <row r="22" spans="1:262" x14ac:dyDescent="0.25">
      <c r="A22" s="33">
        <v>10</v>
      </c>
      <c r="B22" s="51"/>
      <c r="C22" s="51"/>
      <c r="D22" s="77"/>
      <c r="E22" s="52"/>
      <c r="F22" s="42"/>
      <c r="G22" s="37"/>
      <c r="H22" s="73"/>
      <c r="I22" s="73"/>
      <c r="J22" s="38" t="str">
        <f t="shared" si="34"/>
        <v/>
      </c>
      <c r="K22" s="38" t="str">
        <f t="shared" si="35"/>
        <v/>
      </c>
      <c r="L22" s="38" t="str">
        <f>IF(J22&lt;&gt;"",IF(AND(J22&gt;='TABEL KONVERSI'!$B$3,'ENTRY DATA'!J22&lt;='TABEL KONVERSI'!$C$3),1,IF(AND(J22&gt;='TABEL KONVERSI'!$B$4,'ENTRY DATA'!J22&lt;='TABEL KONVERSI'!$C$4),2,IF(AND(J22&gt;='TABEL KONVERSI'!$B$5,'ENTRY DATA'!J22&lt;='TABEL KONVERSI'!$C$5),3,IF(AND(J22&gt;='TABEL KONVERSI'!$B$6,'ENTRY DATA'!J22&lt;='TABEL KONVERSI'!$C$6),4,"")))),"-")</f>
        <v>-</v>
      </c>
      <c r="M22" s="38" t="str">
        <f>IF(K22&lt;&gt;"",IF(AND(K22&gt;='TABEL KONVERSI'!$B$3,'ENTRY DATA'!K22&lt;='TABEL KONVERSI'!$C$3),1,IF(AND(K22&gt;='TABEL KONVERSI'!$B$4,'ENTRY DATA'!K22&lt;='TABEL KONVERSI'!$C$4),2,IF(AND(K22&gt;='TABEL KONVERSI'!$B$5,'ENTRY DATA'!K22&lt;='TABEL KONVERSI'!$C$5),3,IF(AND(K22&gt;='TABEL KONVERSI'!$B$6,'ENTRY DATA'!K22&lt;='TABEL KONVERSI'!$C$6),4,"")))),"-")</f>
        <v>-</v>
      </c>
      <c r="N22" s="38" t="str">
        <f t="shared" si="36"/>
        <v>-</v>
      </c>
      <c r="O22" s="38" t="str">
        <f>VLOOKUP(L22,'TABEL KONVERSI'!$A$3:$D$7,4)</f>
        <v>-</v>
      </c>
      <c r="P22" s="38" t="str">
        <f t="shared" si="37"/>
        <v>-</v>
      </c>
      <c r="Q22" s="38" t="str">
        <f>VLOOKUP(M22,'TABEL KONVERSI'!$A$3:$D$7,4)</f>
        <v>-</v>
      </c>
      <c r="R22" s="42"/>
      <c r="S22" s="37"/>
      <c r="T22" s="73"/>
      <c r="U22" s="73"/>
      <c r="V22" s="38" t="str">
        <f t="shared" si="38"/>
        <v/>
      </c>
      <c r="W22" s="38" t="str">
        <f t="shared" si="39"/>
        <v/>
      </c>
      <c r="X22" s="38" t="str">
        <f>IF(V22&lt;&gt;"",IF(AND(V22&gt;='TABEL KONVERSI'!$B$3,'ENTRY DATA'!V22&lt;='TABEL KONVERSI'!$C$3),1,IF(AND(V22&gt;='TABEL KONVERSI'!$B$4,'ENTRY DATA'!V22&lt;='TABEL KONVERSI'!$C$4),2,IF(AND(V22&gt;='TABEL KONVERSI'!$B$5,'ENTRY DATA'!V22&lt;='TABEL KONVERSI'!$C$5),3,IF(AND(V22&gt;='TABEL KONVERSI'!$B$6,'ENTRY DATA'!V22&lt;='TABEL KONVERSI'!$C$6),4,"")))),"-")</f>
        <v>-</v>
      </c>
      <c r="Y22" s="38" t="str">
        <f>IF(W22&lt;&gt;"",IF(AND(W22&gt;='TABEL KONVERSI'!$B$3,'ENTRY DATA'!W22&lt;='TABEL KONVERSI'!$C$3),1,IF(AND(W22&gt;='TABEL KONVERSI'!$B$4,'ENTRY DATA'!W22&lt;='TABEL KONVERSI'!$C$4),2,IF(AND(W22&gt;='TABEL KONVERSI'!$B$5,'ENTRY DATA'!W22&lt;='TABEL KONVERSI'!$C$5),3,IF(AND(W22&gt;='TABEL KONVERSI'!$B$6,'ENTRY DATA'!W22&lt;='TABEL KONVERSI'!$C$6),4,"")))),"-")</f>
        <v>-</v>
      </c>
      <c r="Z22" s="38" t="str">
        <f t="shared" si="40"/>
        <v>-</v>
      </c>
      <c r="AA22" s="38" t="str">
        <f>VLOOKUP(X22,'TABEL KONVERSI'!$A$3:$D$7,4)</f>
        <v>-</v>
      </c>
      <c r="AB22" s="38" t="str">
        <f t="shared" si="41"/>
        <v>-</v>
      </c>
      <c r="AC22" s="38" t="str">
        <f>VLOOKUP(Y22,'TABEL KONVERSI'!$A$3:$D$7,4)</f>
        <v>-</v>
      </c>
      <c r="AD22" s="42"/>
      <c r="AE22" s="37"/>
      <c r="AF22" s="73"/>
      <c r="AG22" s="73"/>
      <c r="AH22" s="38" t="str">
        <f t="shared" si="42"/>
        <v/>
      </c>
      <c r="AI22" s="38" t="str">
        <f t="shared" si="43"/>
        <v/>
      </c>
      <c r="AJ22" s="38" t="str">
        <f>IF(AH22&lt;&gt;"",IF(AND(AH22&gt;='TABEL KONVERSI'!$B$3,'ENTRY DATA'!AH22&lt;='TABEL KONVERSI'!$C$3),1,IF(AND(AH22&gt;='TABEL KONVERSI'!$B$4,'ENTRY DATA'!AH22&lt;='TABEL KONVERSI'!$C$4),2,IF(AND(AH22&gt;='TABEL KONVERSI'!$B$5,'ENTRY DATA'!AH22&lt;='TABEL KONVERSI'!$C$5),3,IF(AND(AH22&gt;='TABEL KONVERSI'!$B$6,'ENTRY DATA'!AH22&lt;='TABEL KONVERSI'!$C$6),4,"")))),"-")</f>
        <v>-</v>
      </c>
      <c r="AK22" s="38" t="str">
        <f>IF(AI22&lt;&gt;"",IF(AND(AI22&gt;='TABEL KONVERSI'!$B$3,'ENTRY DATA'!AI22&lt;='TABEL KONVERSI'!$C$3),1,IF(AND(AI22&gt;='TABEL KONVERSI'!$B$4,'ENTRY DATA'!AI22&lt;='TABEL KONVERSI'!$C$4),2,IF(AND(AI22&gt;='TABEL KONVERSI'!$B$5,'ENTRY DATA'!AI22&lt;='TABEL KONVERSI'!$C$5),3,IF(AND(AI22&gt;='TABEL KONVERSI'!$B$6,'ENTRY DATA'!AI22&lt;='TABEL KONVERSI'!$C$6),4,"")))),"-")</f>
        <v>-</v>
      </c>
      <c r="AL22" s="38" t="str">
        <f t="shared" si="44"/>
        <v>-</v>
      </c>
      <c r="AM22" s="38" t="str">
        <f>VLOOKUP(AJ22,'TABEL KONVERSI'!$A$3:$D$7,4)</f>
        <v>-</v>
      </c>
      <c r="AN22" s="38" t="str">
        <f t="shared" si="45"/>
        <v>-</v>
      </c>
      <c r="AO22" s="38" t="str">
        <f>VLOOKUP(AK22,'TABEL KONVERSI'!$A$3:$D$7,4)</f>
        <v>-</v>
      </c>
      <c r="AP22" s="42"/>
      <c r="AQ22" s="37"/>
      <c r="AR22" s="73"/>
      <c r="AS22" s="73"/>
      <c r="AT22" s="38" t="str">
        <f t="shared" si="46"/>
        <v/>
      </c>
      <c r="AU22" s="38" t="str">
        <f t="shared" si="47"/>
        <v/>
      </c>
      <c r="AV22" s="38" t="str">
        <f>IF(AT22&lt;&gt;"",IF(AND(AT22&gt;='TABEL KONVERSI'!$B$3,'ENTRY DATA'!AT22&lt;='TABEL KONVERSI'!$C$3),1,IF(AND(AT22&gt;='TABEL KONVERSI'!$B$4,'ENTRY DATA'!AT22&lt;='TABEL KONVERSI'!$C$4),2,IF(AND(AT22&gt;='TABEL KONVERSI'!$B$5,'ENTRY DATA'!AT22&lt;='TABEL KONVERSI'!$C$5),3,IF(AND(AT22&gt;='TABEL KONVERSI'!$B$6,'ENTRY DATA'!AT22&lt;='TABEL KONVERSI'!$C$6),4,"")))),"-")</f>
        <v>-</v>
      </c>
      <c r="AW22" s="38" t="str">
        <f>IF(AU22&lt;&gt;"",IF(AND(AU22&gt;='TABEL KONVERSI'!$B$3,'ENTRY DATA'!AU22&lt;='TABEL KONVERSI'!$C$3),1,IF(AND(AU22&gt;='TABEL KONVERSI'!$B$4,'ENTRY DATA'!AU22&lt;='TABEL KONVERSI'!$C$4),2,IF(AND(AU22&gt;='TABEL KONVERSI'!$B$5,'ENTRY DATA'!AU22&lt;='TABEL KONVERSI'!$C$5),3,IF(AND(AU22&gt;='TABEL KONVERSI'!$B$6,'ENTRY DATA'!AU22&lt;='TABEL KONVERSI'!$C$6),4,"")))),"-")</f>
        <v>-</v>
      </c>
      <c r="AX22" s="38" t="str">
        <f t="shared" si="48"/>
        <v>-</v>
      </c>
      <c r="AY22" s="38" t="str">
        <f>VLOOKUP(AV22,'TABEL KONVERSI'!$A$3:$D$7,4)</f>
        <v>-</v>
      </c>
      <c r="AZ22" s="38" t="str">
        <f t="shared" si="49"/>
        <v>-</v>
      </c>
      <c r="BA22" s="38" t="str">
        <f>VLOOKUP(AW22,'TABEL KONVERSI'!$A$3:$D$7,4)</f>
        <v>-</v>
      </c>
      <c r="BB22" s="42"/>
      <c r="BC22" s="37"/>
      <c r="BD22" s="73"/>
      <c r="BE22" s="73"/>
      <c r="BF22" s="38" t="str">
        <f t="shared" si="50"/>
        <v/>
      </c>
      <c r="BG22" s="38" t="str">
        <f t="shared" si="51"/>
        <v/>
      </c>
      <c r="BH22" s="38" t="str">
        <f>IF(BF22&lt;&gt;"",IF(AND(BF22&gt;='TABEL KONVERSI'!$B$3,'ENTRY DATA'!BF22&lt;='TABEL KONVERSI'!$C$3),1,IF(AND(BF22&gt;='TABEL KONVERSI'!$B$4,'ENTRY DATA'!BF22&lt;='TABEL KONVERSI'!$C$4),2,IF(AND(BF22&gt;='TABEL KONVERSI'!$B$5,'ENTRY DATA'!BF22&lt;='TABEL KONVERSI'!$C$5),3,IF(AND(BF22&gt;='TABEL KONVERSI'!$B$6,'ENTRY DATA'!BF22&lt;='TABEL KONVERSI'!$C$6),4,"")))),"-")</f>
        <v>-</v>
      </c>
      <c r="BI22" s="38" t="str">
        <f>IF(BG22&lt;&gt;"",IF(AND(BG22&gt;='TABEL KONVERSI'!$B$3,'ENTRY DATA'!BG22&lt;='TABEL KONVERSI'!$C$3),1,IF(AND(BG22&gt;='TABEL KONVERSI'!$B$4,'ENTRY DATA'!BG22&lt;='TABEL KONVERSI'!$C$4),2,IF(AND(BG22&gt;='TABEL KONVERSI'!$B$5,'ENTRY DATA'!BG22&lt;='TABEL KONVERSI'!$C$5),3,IF(AND(BG22&gt;='TABEL KONVERSI'!$B$6,'ENTRY DATA'!BG22&lt;='TABEL KONVERSI'!$C$6),4,"")))),"-")</f>
        <v>-</v>
      </c>
      <c r="BJ22" s="38" t="str">
        <f t="shared" si="52"/>
        <v>-</v>
      </c>
      <c r="BK22" s="38" t="str">
        <f>VLOOKUP(BH22,'TABEL KONVERSI'!$A$3:$D$7,4)</f>
        <v>-</v>
      </c>
      <c r="BL22" s="38" t="str">
        <f t="shared" si="53"/>
        <v>-</v>
      </c>
      <c r="BM22" s="38" t="str">
        <f>VLOOKUP(BI22,'TABEL KONVERSI'!$A$3:$D$7,4)</f>
        <v>-</v>
      </c>
      <c r="BN22" s="42"/>
      <c r="BO22" s="37"/>
      <c r="BP22" s="73"/>
      <c r="BQ22" s="73"/>
      <c r="BR22" s="38" t="str">
        <f t="shared" si="54"/>
        <v/>
      </c>
      <c r="BS22" s="38" t="str">
        <f t="shared" si="55"/>
        <v/>
      </c>
      <c r="BT22" s="38" t="str">
        <f>IF(BR22&lt;&gt;"",IF(AND(BR22&gt;='TABEL KONVERSI'!$B$3,'ENTRY DATA'!BR22&lt;='TABEL KONVERSI'!$C$3),1,IF(AND(BR22&gt;='TABEL KONVERSI'!$B$4,'ENTRY DATA'!BR22&lt;='TABEL KONVERSI'!$C$4),2,IF(AND(BR22&gt;='TABEL KONVERSI'!$B$5,'ENTRY DATA'!BR22&lt;='TABEL KONVERSI'!$C$5),3,IF(AND(BR22&gt;='TABEL KONVERSI'!$B$6,'ENTRY DATA'!BR22&lt;='TABEL KONVERSI'!$C$6),4,"")))),"-")</f>
        <v>-</v>
      </c>
      <c r="BU22" s="38" t="str">
        <f>IF(BS22&lt;&gt;"",IF(AND(BS22&gt;='TABEL KONVERSI'!$B$3,'ENTRY DATA'!BS22&lt;='TABEL KONVERSI'!$C$3),1,IF(AND(BS22&gt;='TABEL KONVERSI'!$B$4,'ENTRY DATA'!BS22&lt;='TABEL KONVERSI'!$C$4),2,IF(AND(BS22&gt;='TABEL KONVERSI'!$B$5,'ENTRY DATA'!BS22&lt;='TABEL KONVERSI'!$C$5),3,IF(AND(BS22&gt;='TABEL KONVERSI'!$B$6,'ENTRY DATA'!BS22&lt;='TABEL KONVERSI'!$C$6),4,"")))),"-")</f>
        <v>-</v>
      </c>
      <c r="BV22" s="38" t="str">
        <f t="shared" si="56"/>
        <v>-</v>
      </c>
      <c r="BW22" s="38" t="str">
        <f>VLOOKUP(BT22,'TABEL KONVERSI'!$A$3:$D$7,4)</f>
        <v>-</v>
      </c>
      <c r="BX22" s="38" t="str">
        <f t="shared" si="57"/>
        <v>-</v>
      </c>
      <c r="BY22" s="38" t="str">
        <f>VLOOKUP(BU22,'TABEL KONVERSI'!$A$3:$D$7,4)</f>
        <v>-</v>
      </c>
      <c r="BZ22" s="42"/>
      <c r="CA22" s="37"/>
      <c r="CB22" s="73"/>
      <c r="CC22" s="73"/>
      <c r="CD22" s="38" t="str">
        <f t="shared" si="58"/>
        <v/>
      </c>
      <c r="CE22" s="38" t="str">
        <f t="shared" si="59"/>
        <v/>
      </c>
      <c r="CF22" s="38" t="str">
        <f>IF(CD22&lt;&gt;"",IF(AND(CD22&gt;='TABEL KONVERSI'!$B$3,'ENTRY DATA'!CD22&lt;='TABEL KONVERSI'!$C$3),1,IF(AND(CD22&gt;='TABEL KONVERSI'!$B$4,'ENTRY DATA'!CD22&lt;='TABEL KONVERSI'!$C$4),2,IF(AND(CD22&gt;='TABEL KONVERSI'!$B$5,'ENTRY DATA'!CD22&lt;='TABEL KONVERSI'!$C$5),3,IF(AND(CD22&gt;='TABEL KONVERSI'!$B$6,'ENTRY DATA'!CD22&lt;='TABEL KONVERSI'!$C$6),4,"")))),"-")</f>
        <v>-</v>
      </c>
      <c r="CG22" s="38" t="str">
        <f>IF(CE22&lt;&gt;"",IF(AND(CE22&gt;='TABEL KONVERSI'!$B$3,'ENTRY DATA'!CE22&lt;='TABEL KONVERSI'!$C$3),1,IF(AND(CE22&gt;='TABEL KONVERSI'!$B$4,'ENTRY DATA'!CE22&lt;='TABEL KONVERSI'!$C$4),2,IF(AND(CE22&gt;='TABEL KONVERSI'!$B$5,'ENTRY DATA'!CE22&lt;='TABEL KONVERSI'!$C$5),3,IF(AND(CE22&gt;='TABEL KONVERSI'!$B$6,'ENTRY DATA'!CE22&lt;='TABEL KONVERSI'!$C$6),4,"")))),"-")</f>
        <v>-</v>
      </c>
      <c r="CH22" s="38" t="str">
        <f t="shared" si="60"/>
        <v>-</v>
      </c>
      <c r="CI22" s="38" t="str">
        <f>VLOOKUP(CF22,'TABEL KONVERSI'!$A$3:$D$7,4)</f>
        <v>-</v>
      </c>
      <c r="CJ22" s="38" t="str">
        <f t="shared" si="61"/>
        <v>-</v>
      </c>
      <c r="CK22" s="38" t="str">
        <f>VLOOKUP(CG22,'TABEL KONVERSI'!$A$3:$D$7,4)</f>
        <v>-</v>
      </c>
      <c r="CL22" s="42"/>
      <c r="CM22" s="37"/>
      <c r="CN22" s="73"/>
      <c r="CO22" s="73"/>
      <c r="CP22" s="38" t="str">
        <f t="shared" si="62"/>
        <v/>
      </c>
      <c r="CQ22" s="38" t="str">
        <f t="shared" si="63"/>
        <v/>
      </c>
      <c r="CR22" s="38" t="str">
        <f>IF(CP22&lt;&gt;"",IF(AND(CP22&gt;='TABEL KONVERSI'!$B$3,'ENTRY DATA'!CP22&lt;='TABEL KONVERSI'!$C$3),1,IF(AND(CP22&gt;='TABEL KONVERSI'!$B$4,'ENTRY DATA'!CP22&lt;='TABEL KONVERSI'!$C$4),2,IF(AND(CP22&gt;='TABEL KONVERSI'!$B$5,'ENTRY DATA'!CP22&lt;='TABEL KONVERSI'!$C$5),3,IF(AND(CP22&gt;='TABEL KONVERSI'!$B$6,'ENTRY DATA'!CP22&lt;='TABEL KONVERSI'!$C$6),4,"")))),"-")</f>
        <v>-</v>
      </c>
      <c r="CS22" s="38" t="str">
        <f>IF(CQ22&lt;&gt;"",IF(AND(CQ22&gt;='TABEL KONVERSI'!$B$3,'ENTRY DATA'!CQ22&lt;='TABEL KONVERSI'!$C$3),1,IF(AND(CQ22&gt;='TABEL KONVERSI'!$B$4,'ENTRY DATA'!CQ22&lt;='TABEL KONVERSI'!$C$4),2,IF(AND(CQ22&gt;='TABEL KONVERSI'!$B$5,'ENTRY DATA'!CQ22&lt;='TABEL KONVERSI'!$C$5),3,IF(AND(CQ22&gt;='TABEL KONVERSI'!$B$6,'ENTRY DATA'!CQ22&lt;='TABEL KONVERSI'!$C$6),4,"")))),"-")</f>
        <v>-</v>
      </c>
      <c r="CT22" s="38" t="str">
        <f t="shared" si="64"/>
        <v>-</v>
      </c>
      <c r="CU22" s="38" t="str">
        <f>VLOOKUP(CR22,'TABEL KONVERSI'!$A$3:$D$7,4)</f>
        <v>-</v>
      </c>
      <c r="CV22" s="38" t="str">
        <f t="shared" si="65"/>
        <v>-</v>
      </c>
      <c r="CW22" s="38" t="str">
        <f>VLOOKUP(CS22,'TABEL KONVERSI'!$A$3:$D$7,4)</f>
        <v>-</v>
      </c>
      <c r="CX22" s="42"/>
      <c r="CY22" s="37"/>
      <c r="CZ22" s="73"/>
      <c r="DA22" s="73"/>
      <c r="DB22" s="38" t="str">
        <f t="shared" si="66"/>
        <v/>
      </c>
      <c r="DC22" s="38" t="str">
        <f t="shared" si="67"/>
        <v/>
      </c>
      <c r="DD22" s="38" t="str">
        <f>IF(DB22&lt;&gt;"",IF(AND(DB22&gt;='TABEL KONVERSI'!$B$3,'ENTRY DATA'!DB22&lt;='TABEL KONVERSI'!$C$3),1,IF(AND(DB22&gt;='TABEL KONVERSI'!$B$4,'ENTRY DATA'!DB22&lt;='TABEL KONVERSI'!$C$4),2,IF(AND(DB22&gt;='TABEL KONVERSI'!$B$5,'ENTRY DATA'!DB22&lt;='TABEL KONVERSI'!$C$5),3,IF(AND(DB22&gt;='TABEL KONVERSI'!$B$6,'ENTRY DATA'!DB22&lt;='TABEL KONVERSI'!$C$6),4,"")))),"-")</f>
        <v>-</v>
      </c>
      <c r="DE22" s="38" t="str">
        <f>IF(DC22&lt;&gt;"",IF(AND(DC22&gt;='TABEL KONVERSI'!$B$3,'ENTRY DATA'!DC22&lt;='TABEL KONVERSI'!$C$3),1,IF(AND(DC22&gt;='TABEL KONVERSI'!$B$4,'ENTRY DATA'!DC22&lt;='TABEL KONVERSI'!$C$4),2,IF(AND(DC22&gt;='TABEL KONVERSI'!$B$5,'ENTRY DATA'!DC22&lt;='TABEL KONVERSI'!$C$5),3,IF(AND(DC22&gt;='TABEL KONVERSI'!$B$6,'ENTRY DATA'!DC22&lt;='TABEL KONVERSI'!$C$6),4,"")))),"-")</f>
        <v>-</v>
      </c>
      <c r="DF22" s="38" t="str">
        <f t="shared" si="68"/>
        <v>-</v>
      </c>
      <c r="DG22" s="38" t="str">
        <f>VLOOKUP(DD22,'TABEL KONVERSI'!$A$3:$D$7,4)</f>
        <v>-</v>
      </c>
      <c r="DH22" s="38" t="str">
        <f t="shared" si="69"/>
        <v>-</v>
      </c>
      <c r="DI22" s="38" t="str">
        <f>VLOOKUP(DE22,'TABEL KONVERSI'!$A$3:$D$7,4)</f>
        <v>-</v>
      </c>
      <c r="DJ22" s="42"/>
      <c r="DK22" s="37"/>
      <c r="DL22" s="73"/>
      <c r="DM22" s="73"/>
      <c r="DN22" s="38" t="str">
        <f t="shared" si="70"/>
        <v/>
      </c>
      <c r="DO22" s="38" t="str">
        <f t="shared" si="71"/>
        <v/>
      </c>
      <c r="DP22" s="38" t="str">
        <f>IF(DN22&lt;&gt;"",IF(AND(DN22&gt;='TABEL KONVERSI'!$B$3,'ENTRY DATA'!DN22&lt;='TABEL KONVERSI'!$C$3),1,IF(AND(DN22&gt;='TABEL KONVERSI'!$B$4,'ENTRY DATA'!DN22&lt;='TABEL KONVERSI'!$C$4),2,IF(AND(DN22&gt;='TABEL KONVERSI'!$B$5,'ENTRY DATA'!DN22&lt;='TABEL KONVERSI'!$C$5),3,IF(AND(DN22&gt;='TABEL KONVERSI'!$B$6,'ENTRY DATA'!DN22&lt;='TABEL KONVERSI'!$C$6),4,"")))),"-")</f>
        <v>-</v>
      </c>
      <c r="DQ22" s="38" t="str">
        <f>IF(DO22&lt;&gt;"",IF(AND(DO22&gt;='TABEL KONVERSI'!$B$3,'ENTRY DATA'!DO22&lt;='TABEL KONVERSI'!$C$3),1,IF(AND(DO22&gt;='TABEL KONVERSI'!$B$4,'ENTRY DATA'!DO22&lt;='TABEL KONVERSI'!$C$4),2,IF(AND(DO22&gt;='TABEL KONVERSI'!$B$5,'ENTRY DATA'!DO22&lt;='TABEL KONVERSI'!$C$5),3,IF(AND(DO22&gt;='TABEL KONVERSI'!$B$6,'ENTRY DATA'!DO22&lt;='TABEL KONVERSI'!$C$6),4,"")))),"-")</f>
        <v>-</v>
      </c>
      <c r="DR22" s="38" t="str">
        <f t="shared" si="72"/>
        <v>-</v>
      </c>
      <c r="DS22" s="38" t="str">
        <f>VLOOKUP(DP22,'TABEL KONVERSI'!$A$3:$D$7,4)</f>
        <v>-</v>
      </c>
      <c r="DT22" s="38" t="str">
        <f t="shared" si="73"/>
        <v>-</v>
      </c>
      <c r="DU22" s="38" t="str">
        <f>VLOOKUP(DQ22,'TABEL KONVERSI'!$A$3:$D$7,4)</f>
        <v>-</v>
      </c>
      <c r="DV22" s="42"/>
      <c r="DW22" s="37"/>
      <c r="DX22" s="73"/>
      <c r="DY22" s="73"/>
      <c r="DZ22" s="38" t="str">
        <f t="shared" si="74"/>
        <v/>
      </c>
      <c r="EA22" s="38" t="str">
        <f t="shared" si="75"/>
        <v/>
      </c>
      <c r="EB22" s="38" t="str">
        <f>IF(DZ22&lt;&gt;"",IF(AND(DZ22&gt;='TABEL KONVERSI'!$B$3,'ENTRY DATA'!DZ22&lt;='TABEL KONVERSI'!$C$3),1,IF(AND(DZ22&gt;='TABEL KONVERSI'!$B$4,'ENTRY DATA'!DZ22&lt;='TABEL KONVERSI'!$C$4),2,IF(AND(DZ22&gt;='TABEL KONVERSI'!$B$5,'ENTRY DATA'!DZ22&lt;='TABEL KONVERSI'!$C$5),3,IF(AND(DZ22&gt;='TABEL KONVERSI'!$B$6,'ENTRY DATA'!DZ22&lt;='TABEL KONVERSI'!$C$6),4,"")))),"-")</f>
        <v>-</v>
      </c>
      <c r="EC22" s="38" t="str">
        <f>IF(EA22&lt;&gt;"",IF(AND(EA22&gt;='TABEL KONVERSI'!$B$3,'ENTRY DATA'!EA22&lt;='TABEL KONVERSI'!$C$3),1,IF(AND(EA22&gt;='TABEL KONVERSI'!$B$4,'ENTRY DATA'!EA22&lt;='TABEL KONVERSI'!$C$4),2,IF(AND(EA22&gt;='TABEL KONVERSI'!$B$5,'ENTRY DATA'!EA22&lt;='TABEL KONVERSI'!$C$5),3,IF(AND(EA22&gt;='TABEL KONVERSI'!$B$6,'ENTRY DATA'!EA22&lt;='TABEL KONVERSI'!$C$6),4,"")))),"-")</f>
        <v>-</v>
      </c>
      <c r="ED22" s="38" t="str">
        <f t="shared" si="76"/>
        <v>-</v>
      </c>
      <c r="EE22" s="38" t="str">
        <f>VLOOKUP(EB22,'TABEL KONVERSI'!$A$3:$D$7,4)</f>
        <v>-</v>
      </c>
      <c r="EF22" s="38" t="str">
        <f t="shared" si="77"/>
        <v>-</v>
      </c>
      <c r="EG22" s="38" t="str">
        <f>VLOOKUP(EC22,'TABEL KONVERSI'!$A$3:$D$7,4)</f>
        <v>-</v>
      </c>
      <c r="EH22" s="42"/>
      <c r="EI22" s="37"/>
      <c r="EJ22" s="73"/>
      <c r="EK22" s="73"/>
      <c r="EL22" s="38" t="str">
        <f t="shared" si="78"/>
        <v/>
      </c>
      <c r="EM22" s="38" t="str">
        <f t="shared" si="79"/>
        <v/>
      </c>
      <c r="EN22" s="38" t="str">
        <f>IF(EL22&lt;&gt;"",IF(AND(EL22&gt;='TABEL KONVERSI'!$B$3,'ENTRY DATA'!EL22&lt;='TABEL KONVERSI'!$C$3),1,IF(AND(EL22&gt;='TABEL KONVERSI'!$B$4,'ENTRY DATA'!EL22&lt;='TABEL KONVERSI'!$C$4),2,IF(AND(EL22&gt;='TABEL KONVERSI'!$B$5,'ENTRY DATA'!EL22&lt;='TABEL KONVERSI'!$C$5),3,IF(AND(EL22&gt;='TABEL KONVERSI'!$B$6,'ENTRY DATA'!EL22&lt;='TABEL KONVERSI'!$C$6),4,"")))),"-")</f>
        <v>-</v>
      </c>
      <c r="EO22" s="38" t="str">
        <f>IF(EM22&lt;&gt;"",IF(AND(EM22&gt;='TABEL KONVERSI'!$B$3,'ENTRY DATA'!EM22&lt;='TABEL KONVERSI'!$C$3),1,IF(AND(EM22&gt;='TABEL KONVERSI'!$B$4,'ENTRY DATA'!EM22&lt;='TABEL KONVERSI'!$C$4),2,IF(AND(EM22&gt;='TABEL KONVERSI'!$B$5,'ENTRY DATA'!EM22&lt;='TABEL KONVERSI'!$C$5),3,IF(AND(EM22&gt;='TABEL KONVERSI'!$B$6,'ENTRY DATA'!EM22&lt;='TABEL KONVERSI'!$C$6),4,"")))),"-")</f>
        <v>-</v>
      </c>
      <c r="EP22" s="38" t="str">
        <f t="shared" si="80"/>
        <v>-</v>
      </c>
      <c r="EQ22" s="38" t="str">
        <f>VLOOKUP(EN22,'TABEL KONVERSI'!$A$3:$D$7,4)</f>
        <v>-</v>
      </c>
      <c r="ER22" s="38" t="str">
        <f t="shared" si="81"/>
        <v>-</v>
      </c>
      <c r="ES22" s="38" t="str">
        <f>VLOOKUP(EO22,'TABEL KONVERSI'!$A$3:$D$7,4)</f>
        <v>-</v>
      </c>
      <c r="ET22" s="42"/>
      <c r="EU22" s="37"/>
      <c r="EV22" s="73"/>
      <c r="EW22" s="73"/>
      <c r="EX22" s="38" t="str">
        <f t="shared" si="82"/>
        <v/>
      </c>
      <c r="EY22" s="38" t="str">
        <f t="shared" si="83"/>
        <v/>
      </c>
      <c r="EZ22" s="38" t="str">
        <f>IF(EX22&lt;&gt;"",IF(AND(EX22&gt;='TABEL KONVERSI'!$B$3,'ENTRY DATA'!EX22&lt;='TABEL KONVERSI'!$C$3),1,IF(AND(EX22&gt;='TABEL KONVERSI'!$B$4,'ENTRY DATA'!EX22&lt;='TABEL KONVERSI'!$C$4),2,IF(AND(EX22&gt;='TABEL KONVERSI'!$B$5,'ENTRY DATA'!EX22&lt;='TABEL KONVERSI'!$C$5),3,IF(AND(EX22&gt;='TABEL KONVERSI'!$B$6,'ENTRY DATA'!EX22&lt;='TABEL KONVERSI'!$C$6),4,"")))),"-")</f>
        <v>-</v>
      </c>
      <c r="FA22" s="38" t="str">
        <f>IF(EY22&lt;&gt;"",IF(AND(EY22&gt;='TABEL KONVERSI'!$B$3,'ENTRY DATA'!EY22&lt;='TABEL KONVERSI'!$C$3),1,IF(AND(EY22&gt;='TABEL KONVERSI'!$B$4,'ENTRY DATA'!EY22&lt;='TABEL KONVERSI'!$C$4),2,IF(AND(EY22&gt;='TABEL KONVERSI'!$B$5,'ENTRY DATA'!EY22&lt;='TABEL KONVERSI'!$C$5),3,IF(AND(EY22&gt;='TABEL KONVERSI'!$B$6,'ENTRY DATA'!EY22&lt;='TABEL KONVERSI'!$C$6),4,"")))),"-")</f>
        <v>-</v>
      </c>
      <c r="FB22" s="38" t="str">
        <f t="shared" si="84"/>
        <v>-</v>
      </c>
      <c r="FC22" s="38" t="str">
        <f>VLOOKUP(EZ22,'TABEL KONVERSI'!$A$3:$D$7,4)</f>
        <v>-</v>
      </c>
      <c r="FD22" s="38" t="str">
        <f t="shared" si="85"/>
        <v>-</v>
      </c>
      <c r="FE22" s="38" t="str">
        <f>VLOOKUP(FA22,'TABEL KONVERSI'!$A$3:$D$7,4)</f>
        <v>-</v>
      </c>
      <c r="FF22" s="42"/>
      <c r="FG22" s="37"/>
      <c r="FH22" s="73"/>
      <c r="FI22" s="73"/>
      <c r="FJ22" s="38" t="str">
        <f t="shared" si="86"/>
        <v/>
      </c>
      <c r="FK22" s="38" t="str">
        <f t="shared" si="87"/>
        <v/>
      </c>
      <c r="FL22" s="38" t="str">
        <f>IF(FJ22&lt;&gt;"",IF(AND(FJ22&gt;='TABEL KONVERSI'!$B$3,'ENTRY DATA'!FJ22&lt;='TABEL KONVERSI'!$C$3),1,IF(AND(FJ22&gt;='TABEL KONVERSI'!$B$4,'ENTRY DATA'!FJ22&lt;='TABEL KONVERSI'!$C$4),2,IF(AND(FJ22&gt;='TABEL KONVERSI'!$B$5,'ENTRY DATA'!FJ22&lt;='TABEL KONVERSI'!$C$5),3,IF(AND(FJ22&gt;='TABEL KONVERSI'!$B$6,'ENTRY DATA'!FJ22&lt;='TABEL KONVERSI'!$C$6),4,"")))),"-")</f>
        <v>-</v>
      </c>
      <c r="FM22" s="38" t="str">
        <f>IF(FK22&lt;&gt;"",IF(AND(FK22&gt;='TABEL KONVERSI'!$B$3,'ENTRY DATA'!FK22&lt;='TABEL KONVERSI'!$C$3),1,IF(AND(FK22&gt;='TABEL KONVERSI'!$B$4,'ENTRY DATA'!FK22&lt;='TABEL KONVERSI'!$C$4),2,IF(AND(FK22&gt;='TABEL KONVERSI'!$B$5,'ENTRY DATA'!FK22&lt;='TABEL KONVERSI'!$C$5),3,IF(AND(FK22&gt;='TABEL KONVERSI'!$B$6,'ENTRY DATA'!FK22&lt;='TABEL KONVERSI'!$C$6),4,"")))),"-")</f>
        <v>-</v>
      </c>
      <c r="FN22" s="38" t="str">
        <f t="shared" si="88"/>
        <v>-</v>
      </c>
      <c r="FO22" s="38" t="str">
        <f>VLOOKUP(FL22,'TABEL KONVERSI'!$A$3:$D$7,4)</f>
        <v>-</v>
      </c>
      <c r="FP22" s="38" t="str">
        <f t="shared" si="89"/>
        <v>-</v>
      </c>
      <c r="FQ22" s="38" t="str">
        <f>VLOOKUP(FM22,'TABEL KONVERSI'!$A$3:$D$7,4)</f>
        <v>-</v>
      </c>
      <c r="FR22" s="42"/>
      <c r="FS22" s="37"/>
      <c r="FT22" s="73"/>
      <c r="FU22" s="73"/>
      <c r="FV22" s="38" t="str">
        <f t="shared" si="90"/>
        <v/>
      </c>
      <c r="FW22" s="38" t="str">
        <f t="shared" si="91"/>
        <v/>
      </c>
      <c r="FX22" s="38" t="str">
        <f>IF(FV22&lt;&gt;"",IF(AND(FV22&gt;='TABEL KONVERSI'!$B$3,'ENTRY DATA'!FV22&lt;='TABEL KONVERSI'!$C$3),1,IF(AND(FV22&gt;='TABEL KONVERSI'!$B$4,'ENTRY DATA'!FV22&lt;='TABEL KONVERSI'!$C$4),2,IF(AND(FV22&gt;='TABEL KONVERSI'!$B$5,'ENTRY DATA'!FV22&lt;='TABEL KONVERSI'!$C$5),3,IF(AND(FV22&gt;='TABEL KONVERSI'!$B$6,'ENTRY DATA'!FV22&lt;='TABEL KONVERSI'!$C$6),4,"")))),"-")</f>
        <v>-</v>
      </c>
      <c r="FY22" s="38" t="str">
        <f>IF(FW22&lt;&gt;"",IF(AND(FW22&gt;='TABEL KONVERSI'!$B$3,'ENTRY DATA'!FW22&lt;='TABEL KONVERSI'!$C$3),1,IF(AND(FW22&gt;='TABEL KONVERSI'!$B$4,'ENTRY DATA'!FW22&lt;='TABEL KONVERSI'!$C$4),2,IF(AND(FW22&gt;='TABEL KONVERSI'!$B$5,'ENTRY DATA'!FW22&lt;='TABEL KONVERSI'!$C$5),3,IF(AND(FW22&gt;='TABEL KONVERSI'!$B$6,'ENTRY DATA'!FW22&lt;='TABEL KONVERSI'!$C$6),4,"")))),"-")</f>
        <v>-</v>
      </c>
      <c r="FZ22" s="38" t="str">
        <f t="shared" si="92"/>
        <v>-</v>
      </c>
      <c r="GA22" s="38" t="str">
        <f>VLOOKUP(FX22,'TABEL KONVERSI'!$A$3:$D$7,4)</f>
        <v>-</v>
      </c>
      <c r="GB22" s="38" t="str">
        <f t="shared" si="93"/>
        <v>-</v>
      </c>
      <c r="GC22" s="38" t="str">
        <f>VLOOKUP(FY22,'TABEL KONVERSI'!$A$3:$D$7,4)</f>
        <v>-</v>
      </c>
      <c r="GD22" s="42"/>
      <c r="GE22" s="37"/>
      <c r="GF22" s="73"/>
      <c r="GG22" s="73"/>
      <c r="GH22" s="38" t="str">
        <f t="shared" si="94"/>
        <v/>
      </c>
      <c r="GI22" s="38" t="str">
        <f t="shared" si="95"/>
        <v/>
      </c>
      <c r="GJ22" s="38" t="str">
        <f>IF(GH22&lt;&gt;"",IF(AND(GH22&gt;='TABEL KONVERSI'!$B$3,'ENTRY DATA'!GH22&lt;='TABEL KONVERSI'!$C$3),1,IF(AND(GH22&gt;='TABEL KONVERSI'!$B$4,'ENTRY DATA'!GH22&lt;='TABEL KONVERSI'!$C$4),2,IF(AND(GH22&gt;='TABEL KONVERSI'!$B$5,'ENTRY DATA'!GH22&lt;='TABEL KONVERSI'!$C$5),3,IF(AND(GH22&gt;='TABEL KONVERSI'!$B$6,'ENTRY DATA'!GH22&lt;='TABEL KONVERSI'!$C$6),4,"")))),"-")</f>
        <v>-</v>
      </c>
      <c r="GK22" s="38" t="str">
        <f>IF(GI22&lt;&gt;"",IF(AND(GI22&gt;='TABEL KONVERSI'!$B$3,'ENTRY DATA'!GI22&lt;='TABEL KONVERSI'!$C$3),1,IF(AND(GI22&gt;='TABEL KONVERSI'!$B$4,'ENTRY DATA'!GI22&lt;='TABEL KONVERSI'!$C$4),2,IF(AND(GI22&gt;='TABEL KONVERSI'!$B$5,'ENTRY DATA'!GI22&lt;='TABEL KONVERSI'!$C$5),3,IF(AND(GI22&gt;='TABEL KONVERSI'!$B$6,'ENTRY DATA'!GI22&lt;='TABEL KONVERSI'!$C$6),4,"")))),"-")</f>
        <v>-</v>
      </c>
      <c r="GL22" s="38" t="str">
        <f t="shared" si="96"/>
        <v>-</v>
      </c>
      <c r="GM22" s="38" t="str">
        <f>VLOOKUP(GJ22,'TABEL KONVERSI'!$A$3:$D$7,4)</f>
        <v>-</v>
      </c>
      <c r="GN22" s="38" t="str">
        <f t="shared" si="97"/>
        <v>-</v>
      </c>
      <c r="GO22" s="38" t="str">
        <f>VLOOKUP(GK22,'TABEL KONVERSI'!$A$3:$D$7,4)</f>
        <v>-</v>
      </c>
      <c r="GP22" s="43">
        <f t="shared" si="0"/>
        <v>0</v>
      </c>
      <c r="GQ22" s="43">
        <f t="shared" si="1"/>
        <v>0</v>
      </c>
      <c r="GR22" s="43">
        <f t="shared" si="2"/>
        <v>0</v>
      </c>
      <c r="GS22" s="43">
        <f t="shared" si="3"/>
        <v>0</v>
      </c>
      <c r="GT22" s="43">
        <f t="shared" si="4"/>
        <v>0</v>
      </c>
      <c r="GU22" s="43">
        <f t="shared" si="5"/>
        <v>0</v>
      </c>
      <c r="GV22" s="43">
        <f t="shared" si="6"/>
        <v>0</v>
      </c>
      <c r="GW22" s="43">
        <f t="shared" si="7"/>
        <v>0</v>
      </c>
      <c r="GX22" s="43">
        <f t="shared" si="8"/>
        <v>0</v>
      </c>
      <c r="GY22" s="43">
        <f t="shared" si="9"/>
        <v>0</v>
      </c>
      <c r="GZ22" s="43">
        <f t="shared" si="10"/>
        <v>0</v>
      </c>
      <c r="HA22" s="43">
        <f t="shared" si="11"/>
        <v>0</v>
      </c>
      <c r="HB22" s="43">
        <f t="shared" si="12"/>
        <v>0</v>
      </c>
      <c r="HC22" s="43">
        <f t="shared" si="13"/>
        <v>0</v>
      </c>
      <c r="HD22" s="43">
        <f t="shared" si="14"/>
        <v>0</v>
      </c>
      <c r="HE22" s="43">
        <f t="shared" si="15"/>
        <v>0</v>
      </c>
      <c r="HF22" s="38">
        <f t="shared" si="98"/>
        <v>0</v>
      </c>
      <c r="HG22" s="38">
        <f t="shared" si="99"/>
        <v>0</v>
      </c>
      <c r="HH22" s="38">
        <f t="shared" si="100"/>
        <v>0</v>
      </c>
      <c r="HI22" s="39">
        <f t="shared" si="101"/>
        <v>0</v>
      </c>
      <c r="HJ22" s="44" t="str">
        <f t="shared" si="102"/>
        <v>-</v>
      </c>
      <c r="HK22" s="45" t="str">
        <f>VLOOKUP(HJ22,'TABEL KONVERSI'!$B$11:$D$15,2,0)</f>
        <v>-</v>
      </c>
      <c r="HL22" s="43">
        <f t="shared" si="16"/>
        <v>0</v>
      </c>
      <c r="HM22" s="43">
        <f t="shared" si="17"/>
        <v>0</v>
      </c>
      <c r="HN22" s="43">
        <f t="shared" si="18"/>
        <v>0</v>
      </c>
      <c r="HO22" s="43">
        <f t="shared" si="19"/>
        <v>0</v>
      </c>
      <c r="HP22" s="43">
        <f t="shared" si="20"/>
        <v>0</v>
      </c>
      <c r="HQ22" s="43">
        <f t="shared" si="21"/>
        <v>0</v>
      </c>
      <c r="HR22" s="43">
        <f t="shared" si="22"/>
        <v>0</v>
      </c>
      <c r="HS22" s="43">
        <f t="shared" si="23"/>
        <v>0</v>
      </c>
      <c r="HT22" s="43">
        <f t="shared" si="24"/>
        <v>0</v>
      </c>
      <c r="HU22" s="43">
        <f t="shared" si="25"/>
        <v>0</v>
      </c>
      <c r="HV22" s="43">
        <f t="shared" si="26"/>
        <v>0</v>
      </c>
      <c r="HW22" s="43">
        <f t="shared" si="27"/>
        <v>0</v>
      </c>
      <c r="HX22" s="43">
        <f t="shared" si="28"/>
        <v>0</v>
      </c>
      <c r="HY22" s="43">
        <f t="shared" si="29"/>
        <v>0</v>
      </c>
      <c r="HZ22" s="43">
        <f t="shared" si="30"/>
        <v>0</v>
      </c>
      <c r="IA22" s="43">
        <f t="shared" si="31"/>
        <v>0</v>
      </c>
      <c r="IB22" s="38">
        <f t="shared" si="103"/>
        <v>0</v>
      </c>
      <c r="IC22" s="38">
        <f t="shared" si="104"/>
        <v>0</v>
      </c>
      <c r="ID22" s="38">
        <f t="shared" si="105"/>
        <v>0</v>
      </c>
      <c r="IE22" s="38">
        <f t="shared" si="106"/>
        <v>0</v>
      </c>
      <c r="IF22" s="46" t="str">
        <f t="shared" si="107"/>
        <v>-</v>
      </c>
      <c r="IG22" s="45" t="str">
        <f>VLOOKUP(IF22,'TABEL KONVERSI'!$B$11:$D$15,3,0)</f>
        <v>-</v>
      </c>
      <c r="IH22" s="40" t="s">
        <v>223</v>
      </c>
      <c r="II22" s="41" t="s">
        <v>106</v>
      </c>
      <c r="IJ22" s="45" t="str">
        <f>IF(II22&lt;&gt;"",VLOOKUP(II22,'TABEL KONVERSI'!$A$19:$B$23,2,0),"")</f>
        <v>Aktif dalam mengikuti kegiatan</v>
      </c>
      <c r="IK22" s="47" t="s">
        <v>58</v>
      </c>
      <c r="IL22" s="50" t="s">
        <v>58</v>
      </c>
      <c r="IM22" s="45" t="str">
        <f>IF(IL22&lt;&gt;"",VLOOKUP(IL22,'TABEL KONVERSI'!$A$19:$B$23,2,0),"")</f>
        <v>-</v>
      </c>
      <c r="IN22" s="49" t="s">
        <v>58</v>
      </c>
      <c r="IO22" s="48" t="s">
        <v>58</v>
      </c>
      <c r="IP22" s="45" t="str">
        <f>IF(IO22&lt;&gt;"",VLOOKUP(IO22,'TABEL KONVERSI'!$A$19:$B$23,2,0),"")</f>
        <v>-</v>
      </c>
      <c r="IQ22" s="49" t="s">
        <v>58</v>
      </c>
      <c r="IR22" s="50" t="s">
        <v>58</v>
      </c>
      <c r="IS22" s="45" t="str">
        <f>IF(IR22&lt;&gt;"",VLOOKUP(IR22,'TABEL KONVERSI'!$A$19:$B$23,2,0),"")</f>
        <v>-</v>
      </c>
      <c r="IT22" s="49" t="s">
        <v>58</v>
      </c>
      <c r="IU22" s="50" t="s">
        <v>58</v>
      </c>
      <c r="IV22" s="45" t="str">
        <f>IF(IU22&lt;&gt;"",VLOOKUP(IU22,'TABEL KONVERSI'!$A$19:$B$23,2,0),"")</f>
        <v>-</v>
      </c>
      <c r="IW22" s="48" t="s">
        <v>58</v>
      </c>
      <c r="IX22" s="48" t="s">
        <v>58</v>
      </c>
      <c r="IY22" s="48" t="s">
        <v>58</v>
      </c>
      <c r="IZ22" s="47" t="s">
        <v>58</v>
      </c>
      <c r="JA22" s="45">
        <f t="shared" si="32"/>
        <v>0</v>
      </c>
      <c r="JB22" s="45">
        <f t="shared" si="33"/>
        <v>1</v>
      </c>
    </row>
    <row r="23" spans="1:262" x14ac:dyDescent="0.25">
      <c r="A23" s="33">
        <v>11</v>
      </c>
      <c r="B23" s="51"/>
      <c r="C23" s="51"/>
      <c r="D23" s="77"/>
      <c r="E23" s="52"/>
      <c r="F23" s="42"/>
      <c r="G23" s="37"/>
      <c r="H23" s="73"/>
      <c r="I23" s="73"/>
      <c r="J23" s="38" t="str">
        <f t="shared" si="34"/>
        <v/>
      </c>
      <c r="K23" s="38" t="str">
        <f t="shared" si="35"/>
        <v/>
      </c>
      <c r="L23" s="38" t="str">
        <f>IF(J23&lt;&gt;"",IF(AND(J23&gt;='TABEL KONVERSI'!$B$3,'ENTRY DATA'!J23&lt;='TABEL KONVERSI'!$C$3),1,IF(AND(J23&gt;='TABEL KONVERSI'!$B$4,'ENTRY DATA'!J23&lt;='TABEL KONVERSI'!$C$4),2,IF(AND(J23&gt;='TABEL KONVERSI'!$B$5,'ENTRY DATA'!J23&lt;='TABEL KONVERSI'!$C$5),3,IF(AND(J23&gt;='TABEL KONVERSI'!$B$6,'ENTRY DATA'!J23&lt;='TABEL KONVERSI'!$C$6),4,"")))),"-")</f>
        <v>-</v>
      </c>
      <c r="M23" s="38" t="str">
        <f>IF(K23&lt;&gt;"",IF(AND(K23&gt;='TABEL KONVERSI'!$B$3,'ENTRY DATA'!K23&lt;='TABEL KONVERSI'!$C$3),1,IF(AND(K23&gt;='TABEL KONVERSI'!$B$4,'ENTRY DATA'!K23&lt;='TABEL KONVERSI'!$C$4),2,IF(AND(K23&gt;='TABEL KONVERSI'!$B$5,'ENTRY DATA'!K23&lt;='TABEL KONVERSI'!$C$5),3,IF(AND(K23&gt;='TABEL KONVERSI'!$B$6,'ENTRY DATA'!K23&lt;='TABEL KONVERSI'!$C$6),4,"")))),"-")</f>
        <v>-</v>
      </c>
      <c r="N23" s="38" t="str">
        <f t="shared" si="36"/>
        <v>-</v>
      </c>
      <c r="O23" s="38" t="str">
        <f>VLOOKUP(L23,'TABEL KONVERSI'!$A$3:$D$7,4)</f>
        <v>-</v>
      </c>
      <c r="P23" s="38" t="str">
        <f t="shared" si="37"/>
        <v>-</v>
      </c>
      <c r="Q23" s="38" t="str">
        <f>VLOOKUP(M23,'TABEL KONVERSI'!$A$3:$D$7,4)</f>
        <v>-</v>
      </c>
      <c r="R23" s="42"/>
      <c r="S23" s="37"/>
      <c r="T23" s="73"/>
      <c r="U23" s="73"/>
      <c r="V23" s="38" t="str">
        <f t="shared" si="38"/>
        <v/>
      </c>
      <c r="W23" s="38" t="str">
        <f t="shared" si="39"/>
        <v/>
      </c>
      <c r="X23" s="38" t="str">
        <f>IF(V23&lt;&gt;"",IF(AND(V23&gt;='TABEL KONVERSI'!$B$3,'ENTRY DATA'!V23&lt;='TABEL KONVERSI'!$C$3),1,IF(AND(V23&gt;='TABEL KONVERSI'!$B$4,'ENTRY DATA'!V23&lt;='TABEL KONVERSI'!$C$4),2,IF(AND(V23&gt;='TABEL KONVERSI'!$B$5,'ENTRY DATA'!V23&lt;='TABEL KONVERSI'!$C$5),3,IF(AND(V23&gt;='TABEL KONVERSI'!$B$6,'ENTRY DATA'!V23&lt;='TABEL KONVERSI'!$C$6),4,"")))),"-")</f>
        <v>-</v>
      </c>
      <c r="Y23" s="38" t="str">
        <f>IF(W23&lt;&gt;"",IF(AND(W23&gt;='TABEL KONVERSI'!$B$3,'ENTRY DATA'!W23&lt;='TABEL KONVERSI'!$C$3),1,IF(AND(W23&gt;='TABEL KONVERSI'!$B$4,'ENTRY DATA'!W23&lt;='TABEL KONVERSI'!$C$4),2,IF(AND(W23&gt;='TABEL KONVERSI'!$B$5,'ENTRY DATA'!W23&lt;='TABEL KONVERSI'!$C$5),3,IF(AND(W23&gt;='TABEL KONVERSI'!$B$6,'ENTRY DATA'!W23&lt;='TABEL KONVERSI'!$C$6),4,"")))),"-")</f>
        <v>-</v>
      </c>
      <c r="Z23" s="38" t="str">
        <f t="shared" si="40"/>
        <v>-</v>
      </c>
      <c r="AA23" s="38" t="str">
        <f>VLOOKUP(X23,'TABEL KONVERSI'!$A$3:$D$7,4)</f>
        <v>-</v>
      </c>
      <c r="AB23" s="38" t="str">
        <f t="shared" si="41"/>
        <v>-</v>
      </c>
      <c r="AC23" s="38" t="str">
        <f>VLOOKUP(Y23,'TABEL KONVERSI'!$A$3:$D$7,4)</f>
        <v>-</v>
      </c>
      <c r="AD23" s="42"/>
      <c r="AE23" s="37"/>
      <c r="AF23" s="73"/>
      <c r="AG23" s="73"/>
      <c r="AH23" s="38" t="str">
        <f t="shared" si="42"/>
        <v/>
      </c>
      <c r="AI23" s="38" t="str">
        <f t="shared" si="43"/>
        <v/>
      </c>
      <c r="AJ23" s="38" t="str">
        <f>IF(AH23&lt;&gt;"",IF(AND(AH23&gt;='TABEL KONVERSI'!$B$3,'ENTRY DATA'!AH23&lt;='TABEL KONVERSI'!$C$3),1,IF(AND(AH23&gt;='TABEL KONVERSI'!$B$4,'ENTRY DATA'!AH23&lt;='TABEL KONVERSI'!$C$4),2,IF(AND(AH23&gt;='TABEL KONVERSI'!$B$5,'ENTRY DATA'!AH23&lt;='TABEL KONVERSI'!$C$5),3,IF(AND(AH23&gt;='TABEL KONVERSI'!$B$6,'ENTRY DATA'!AH23&lt;='TABEL KONVERSI'!$C$6),4,"")))),"-")</f>
        <v>-</v>
      </c>
      <c r="AK23" s="38" t="str">
        <f>IF(AI23&lt;&gt;"",IF(AND(AI23&gt;='TABEL KONVERSI'!$B$3,'ENTRY DATA'!AI23&lt;='TABEL KONVERSI'!$C$3),1,IF(AND(AI23&gt;='TABEL KONVERSI'!$B$4,'ENTRY DATA'!AI23&lt;='TABEL KONVERSI'!$C$4),2,IF(AND(AI23&gt;='TABEL KONVERSI'!$B$5,'ENTRY DATA'!AI23&lt;='TABEL KONVERSI'!$C$5),3,IF(AND(AI23&gt;='TABEL KONVERSI'!$B$6,'ENTRY DATA'!AI23&lt;='TABEL KONVERSI'!$C$6),4,"")))),"-")</f>
        <v>-</v>
      </c>
      <c r="AL23" s="38" t="str">
        <f t="shared" si="44"/>
        <v>-</v>
      </c>
      <c r="AM23" s="38" t="str">
        <f>VLOOKUP(AJ23,'TABEL KONVERSI'!$A$3:$D$7,4)</f>
        <v>-</v>
      </c>
      <c r="AN23" s="38" t="str">
        <f t="shared" si="45"/>
        <v>-</v>
      </c>
      <c r="AO23" s="38" t="str">
        <f>VLOOKUP(AK23,'TABEL KONVERSI'!$A$3:$D$7,4)</f>
        <v>-</v>
      </c>
      <c r="AP23" s="42"/>
      <c r="AQ23" s="37"/>
      <c r="AR23" s="73"/>
      <c r="AS23" s="73"/>
      <c r="AT23" s="38" t="str">
        <f t="shared" si="46"/>
        <v/>
      </c>
      <c r="AU23" s="38" t="str">
        <f t="shared" si="47"/>
        <v/>
      </c>
      <c r="AV23" s="38" t="str">
        <f>IF(AT23&lt;&gt;"",IF(AND(AT23&gt;='TABEL KONVERSI'!$B$3,'ENTRY DATA'!AT23&lt;='TABEL KONVERSI'!$C$3),1,IF(AND(AT23&gt;='TABEL KONVERSI'!$B$4,'ENTRY DATA'!AT23&lt;='TABEL KONVERSI'!$C$4),2,IF(AND(AT23&gt;='TABEL KONVERSI'!$B$5,'ENTRY DATA'!AT23&lt;='TABEL KONVERSI'!$C$5),3,IF(AND(AT23&gt;='TABEL KONVERSI'!$B$6,'ENTRY DATA'!AT23&lt;='TABEL KONVERSI'!$C$6),4,"")))),"-")</f>
        <v>-</v>
      </c>
      <c r="AW23" s="38" t="str">
        <f>IF(AU23&lt;&gt;"",IF(AND(AU23&gt;='TABEL KONVERSI'!$B$3,'ENTRY DATA'!AU23&lt;='TABEL KONVERSI'!$C$3),1,IF(AND(AU23&gt;='TABEL KONVERSI'!$B$4,'ENTRY DATA'!AU23&lt;='TABEL KONVERSI'!$C$4),2,IF(AND(AU23&gt;='TABEL KONVERSI'!$B$5,'ENTRY DATA'!AU23&lt;='TABEL KONVERSI'!$C$5),3,IF(AND(AU23&gt;='TABEL KONVERSI'!$B$6,'ENTRY DATA'!AU23&lt;='TABEL KONVERSI'!$C$6),4,"")))),"-")</f>
        <v>-</v>
      </c>
      <c r="AX23" s="38" t="str">
        <f t="shared" si="48"/>
        <v>-</v>
      </c>
      <c r="AY23" s="38" t="str">
        <f>VLOOKUP(AV23,'TABEL KONVERSI'!$A$3:$D$7,4)</f>
        <v>-</v>
      </c>
      <c r="AZ23" s="38" t="str">
        <f t="shared" si="49"/>
        <v>-</v>
      </c>
      <c r="BA23" s="38" t="str">
        <f>VLOOKUP(AW23,'TABEL KONVERSI'!$A$3:$D$7,4)</f>
        <v>-</v>
      </c>
      <c r="BB23" s="42"/>
      <c r="BC23" s="37"/>
      <c r="BD23" s="73"/>
      <c r="BE23" s="73"/>
      <c r="BF23" s="38" t="str">
        <f t="shared" si="50"/>
        <v/>
      </c>
      <c r="BG23" s="38" t="str">
        <f t="shared" si="51"/>
        <v/>
      </c>
      <c r="BH23" s="38" t="str">
        <f>IF(BF23&lt;&gt;"",IF(AND(BF23&gt;='TABEL KONVERSI'!$B$3,'ENTRY DATA'!BF23&lt;='TABEL KONVERSI'!$C$3),1,IF(AND(BF23&gt;='TABEL KONVERSI'!$B$4,'ENTRY DATA'!BF23&lt;='TABEL KONVERSI'!$C$4),2,IF(AND(BF23&gt;='TABEL KONVERSI'!$B$5,'ENTRY DATA'!BF23&lt;='TABEL KONVERSI'!$C$5),3,IF(AND(BF23&gt;='TABEL KONVERSI'!$B$6,'ENTRY DATA'!BF23&lt;='TABEL KONVERSI'!$C$6),4,"")))),"-")</f>
        <v>-</v>
      </c>
      <c r="BI23" s="38" t="str">
        <f>IF(BG23&lt;&gt;"",IF(AND(BG23&gt;='TABEL KONVERSI'!$B$3,'ENTRY DATA'!BG23&lt;='TABEL KONVERSI'!$C$3),1,IF(AND(BG23&gt;='TABEL KONVERSI'!$B$4,'ENTRY DATA'!BG23&lt;='TABEL KONVERSI'!$C$4),2,IF(AND(BG23&gt;='TABEL KONVERSI'!$B$5,'ENTRY DATA'!BG23&lt;='TABEL KONVERSI'!$C$5),3,IF(AND(BG23&gt;='TABEL KONVERSI'!$B$6,'ENTRY DATA'!BG23&lt;='TABEL KONVERSI'!$C$6),4,"")))),"-")</f>
        <v>-</v>
      </c>
      <c r="BJ23" s="38" t="str">
        <f t="shared" si="52"/>
        <v>-</v>
      </c>
      <c r="BK23" s="38" t="str">
        <f>VLOOKUP(BH23,'TABEL KONVERSI'!$A$3:$D$7,4)</f>
        <v>-</v>
      </c>
      <c r="BL23" s="38" t="str">
        <f t="shared" si="53"/>
        <v>-</v>
      </c>
      <c r="BM23" s="38" t="str">
        <f>VLOOKUP(BI23,'TABEL KONVERSI'!$A$3:$D$7,4)</f>
        <v>-</v>
      </c>
      <c r="BN23" s="42"/>
      <c r="BO23" s="37"/>
      <c r="BP23" s="73"/>
      <c r="BQ23" s="73"/>
      <c r="BR23" s="38" t="str">
        <f t="shared" si="54"/>
        <v/>
      </c>
      <c r="BS23" s="38" t="str">
        <f t="shared" si="55"/>
        <v/>
      </c>
      <c r="BT23" s="38" t="str">
        <f>IF(BR23&lt;&gt;"",IF(AND(BR23&gt;='TABEL KONVERSI'!$B$3,'ENTRY DATA'!BR23&lt;='TABEL KONVERSI'!$C$3),1,IF(AND(BR23&gt;='TABEL KONVERSI'!$B$4,'ENTRY DATA'!BR23&lt;='TABEL KONVERSI'!$C$4),2,IF(AND(BR23&gt;='TABEL KONVERSI'!$B$5,'ENTRY DATA'!BR23&lt;='TABEL KONVERSI'!$C$5),3,IF(AND(BR23&gt;='TABEL KONVERSI'!$B$6,'ENTRY DATA'!BR23&lt;='TABEL KONVERSI'!$C$6),4,"")))),"-")</f>
        <v>-</v>
      </c>
      <c r="BU23" s="38" t="str">
        <f>IF(BS23&lt;&gt;"",IF(AND(BS23&gt;='TABEL KONVERSI'!$B$3,'ENTRY DATA'!BS23&lt;='TABEL KONVERSI'!$C$3),1,IF(AND(BS23&gt;='TABEL KONVERSI'!$B$4,'ENTRY DATA'!BS23&lt;='TABEL KONVERSI'!$C$4),2,IF(AND(BS23&gt;='TABEL KONVERSI'!$B$5,'ENTRY DATA'!BS23&lt;='TABEL KONVERSI'!$C$5),3,IF(AND(BS23&gt;='TABEL KONVERSI'!$B$6,'ENTRY DATA'!BS23&lt;='TABEL KONVERSI'!$C$6),4,"")))),"-")</f>
        <v>-</v>
      </c>
      <c r="BV23" s="38" t="str">
        <f t="shared" si="56"/>
        <v>-</v>
      </c>
      <c r="BW23" s="38" t="str">
        <f>VLOOKUP(BT23,'TABEL KONVERSI'!$A$3:$D$7,4)</f>
        <v>-</v>
      </c>
      <c r="BX23" s="38" t="str">
        <f t="shared" si="57"/>
        <v>-</v>
      </c>
      <c r="BY23" s="38" t="str">
        <f>VLOOKUP(BU23,'TABEL KONVERSI'!$A$3:$D$7,4)</f>
        <v>-</v>
      </c>
      <c r="BZ23" s="42"/>
      <c r="CA23" s="37"/>
      <c r="CB23" s="73"/>
      <c r="CC23" s="73"/>
      <c r="CD23" s="38" t="str">
        <f t="shared" si="58"/>
        <v/>
      </c>
      <c r="CE23" s="38" t="str">
        <f t="shared" si="59"/>
        <v/>
      </c>
      <c r="CF23" s="38" t="str">
        <f>IF(CD23&lt;&gt;"",IF(AND(CD23&gt;='TABEL KONVERSI'!$B$3,'ENTRY DATA'!CD23&lt;='TABEL KONVERSI'!$C$3),1,IF(AND(CD23&gt;='TABEL KONVERSI'!$B$4,'ENTRY DATA'!CD23&lt;='TABEL KONVERSI'!$C$4),2,IF(AND(CD23&gt;='TABEL KONVERSI'!$B$5,'ENTRY DATA'!CD23&lt;='TABEL KONVERSI'!$C$5),3,IF(AND(CD23&gt;='TABEL KONVERSI'!$B$6,'ENTRY DATA'!CD23&lt;='TABEL KONVERSI'!$C$6),4,"")))),"-")</f>
        <v>-</v>
      </c>
      <c r="CG23" s="38" t="str">
        <f>IF(CE23&lt;&gt;"",IF(AND(CE23&gt;='TABEL KONVERSI'!$B$3,'ENTRY DATA'!CE23&lt;='TABEL KONVERSI'!$C$3),1,IF(AND(CE23&gt;='TABEL KONVERSI'!$B$4,'ENTRY DATA'!CE23&lt;='TABEL KONVERSI'!$C$4),2,IF(AND(CE23&gt;='TABEL KONVERSI'!$B$5,'ENTRY DATA'!CE23&lt;='TABEL KONVERSI'!$C$5),3,IF(AND(CE23&gt;='TABEL KONVERSI'!$B$6,'ENTRY DATA'!CE23&lt;='TABEL KONVERSI'!$C$6),4,"")))),"-")</f>
        <v>-</v>
      </c>
      <c r="CH23" s="38" t="str">
        <f t="shared" si="60"/>
        <v>-</v>
      </c>
      <c r="CI23" s="38" t="str">
        <f>VLOOKUP(CF23,'TABEL KONVERSI'!$A$3:$D$7,4)</f>
        <v>-</v>
      </c>
      <c r="CJ23" s="38" t="str">
        <f t="shared" si="61"/>
        <v>-</v>
      </c>
      <c r="CK23" s="38" t="str">
        <f>VLOOKUP(CG23,'TABEL KONVERSI'!$A$3:$D$7,4)</f>
        <v>-</v>
      </c>
      <c r="CL23" s="42"/>
      <c r="CM23" s="37"/>
      <c r="CN23" s="73"/>
      <c r="CO23" s="73"/>
      <c r="CP23" s="38" t="str">
        <f t="shared" si="62"/>
        <v/>
      </c>
      <c r="CQ23" s="38" t="str">
        <f t="shared" si="63"/>
        <v/>
      </c>
      <c r="CR23" s="38" t="str">
        <f>IF(CP23&lt;&gt;"",IF(AND(CP23&gt;='TABEL KONVERSI'!$B$3,'ENTRY DATA'!CP23&lt;='TABEL KONVERSI'!$C$3),1,IF(AND(CP23&gt;='TABEL KONVERSI'!$B$4,'ENTRY DATA'!CP23&lt;='TABEL KONVERSI'!$C$4),2,IF(AND(CP23&gt;='TABEL KONVERSI'!$B$5,'ENTRY DATA'!CP23&lt;='TABEL KONVERSI'!$C$5),3,IF(AND(CP23&gt;='TABEL KONVERSI'!$B$6,'ENTRY DATA'!CP23&lt;='TABEL KONVERSI'!$C$6),4,"")))),"-")</f>
        <v>-</v>
      </c>
      <c r="CS23" s="38" t="str">
        <f>IF(CQ23&lt;&gt;"",IF(AND(CQ23&gt;='TABEL KONVERSI'!$B$3,'ENTRY DATA'!CQ23&lt;='TABEL KONVERSI'!$C$3),1,IF(AND(CQ23&gt;='TABEL KONVERSI'!$B$4,'ENTRY DATA'!CQ23&lt;='TABEL KONVERSI'!$C$4),2,IF(AND(CQ23&gt;='TABEL KONVERSI'!$B$5,'ENTRY DATA'!CQ23&lt;='TABEL KONVERSI'!$C$5),3,IF(AND(CQ23&gt;='TABEL KONVERSI'!$B$6,'ENTRY DATA'!CQ23&lt;='TABEL KONVERSI'!$C$6),4,"")))),"-")</f>
        <v>-</v>
      </c>
      <c r="CT23" s="38" t="str">
        <f t="shared" si="64"/>
        <v>-</v>
      </c>
      <c r="CU23" s="38" t="str">
        <f>VLOOKUP(CR23,'TABEL KONVERSI'!$A$3:$D$7,4)</f>
        <v>-</v>
      </c>
      <c r="CV23" s="38" t="str">
        <f t="shared" si="65"/>
        <v>-</v>
      </c>
      <c r="CW23" s="38" t="str">
        <f>VLOOKUP(CS23,'TABEL KONVERSI'!$A$3:$D$7,4)</f>
        <v>-</v>
      </c>
      <c r="CX23" s="42"/>
      <c r="CY23" s="37"/>
      <c r="CZ23" s="73"/>
      <c r="DA23" s="73"/>
      <c r="DB23" s="38" t="str">
        <f t="shared" si="66"/>
        <v/>
      </c>
      <c r="DC23" s="38" t="str">
        <f t="shared" si="67"/>
        <v/>
      </c>
      <c r="DD23" s="38" t="str">
        <f>IF(DB23&lt;&gt;"",IF(AND(DB23&gt;='TABEL KONVERSI'!$B$3,'ENTRY DATA'!DB23&lt;='TABEL KONVERSI'!$C$3),1,IF(AND(DB23&gt;='TABEL KONVERSI'!$B$4,'ENTRY DATA'!DB23&lt;='TABEL KONVERSI'!$C$4),2,IF(AND(DB23&gt;='TABEL KONVERSI'!$B$5,'ENTRY DATA'!DB23&lt;='TABEL KONVERSI'!$C$5),3,IF(AND(DB23&gt;='TABEL KONVERSI'!$B$6,'ENTRY DATA'!DB23&lt;='TABEL KONVERSI'!$C$6),4,"")))),"-")</f>
        <v>-</v>
      </c>
      <c r="DE23" s="38" t="str">
        <f>IF(DC23&lt;&gt;"",IF(AND(DC23&gt;='TABEL KONVERSI'!$B$3,'ENTRY DATA'!DC23&lt;='TABEL KONVERSI'!$C$3),1,IF(AND(DC23&gt;='TABEL KONVERSI'!$B$4,'ENTRY DATA'!DC23&lt;='TABEL KONVERSI'!$C$4),2,IF(AND(DC23&gt;='TABEL KONVERSI'!$B$5,'ENTRY DATA'!DC23&lt;='TABEL KONVERSI'!$C$5),3,IF(AND(DC23&gt;='TABEL KONVERSI'!$B$6,'ENTRY DATA'!DC23&lt;='TABEL KONVERSI'!$C$6),4,"")))),"-")</f>
        <v>-</v>
      </c>
      <c r="DF23" s="38" t="str">
        <f t="shared" si="68"/>
        <v>-</v>
      </c>
      <c r="DG23" s="38" t="str">
        <f>VLOOKUP(DD23,'TABEL KONVERSI'!$A$3:$D$7,4)</f>
        <v>-</v>
      </c>
      <c r="DH23" s="38" t="str">
        <f t="shared" si="69"/>
        <v>-</v>
      </c>
      <c r="DI23" s="38" t="str">
        <f>VLOOKUP(DE23,'TABEL KONVERSI'!$A$3:$D$7,4)</f>
        <v>-</v>
      </c>
      <c r="DJ23" s="42"/>
      <c r="DK23" s="37"/>
      <c r="DL23" s="73"/>
      <c r="DM23" s="73"/>
      <c r="DN23" s="38" t="str">
        <f t="shared" si="70"/>
        <v/>
      </c>
      <c r="DO23" s="38" t="str">
        <f t="shared" si="71"/>
        <v/>
      </c>
      <c r="DP23" s="38" t="str">
        <f>IF(DN23&lt;&gt;"",IF(AND(DN23&gt;='TABEL KONVERSI'!$B$3,'ENTRY DATA'!DN23&lt;='TABEL KONVERSI'!$C$3),1,IF(AND(DN23&gt;='TABEL KONVERSI'!$B$4,'ENTRY DATA'!DN23&lt;='TABEL KONVERSI'!$C$4),2,IF(AND(DN23&gt;='TABEL KONVERSI'!$B$5,'ENTRY DATA'!DN23&lt;='TABEL KONVERSI'!$C$5),3,IF(AND(DN23&gt;='TABEL KONVERSI'!$B$6,'ENTRY DATA'!DN23&lt;='TABEL KONVERSI'!$C$6),4,"")))),"-")</f>
        <v>-</v>
      </c>
      <c r="DQ23" s="38" t="str">
        <f>IF(DO23&lt;&gt;"",IF(AND(DO23&gt;='TABEL KONVERSI'!$B$3,'ENTRY DATA'!DO23&lt;='TABEL KONVERSI'!$C$3),1,IF(AND(DO23&gt;='TABEL KONVERSI'!$B$4,'ENTRY DATA'!DO23&lt;='TABEL KONVERSI'!$C$4),2,IF(AND(DO23&gt;='TABEL KONVERSI'!$B$5,'ENTRY DATA'!DO23&lt;='TABEL KONVERSI'!$C$5),3,IF(AND(DO23&gt;='TABEL KONVERSI'!$B$6,'ENTRY DATA'!DO23&lt;='TABEL KONVERSI'!$C$6),4,"")))),"-")</f>
        <v>-</v>
      </c>
      <c r="DR23" s="38" t="str">
        <f t="shared" si="72"/>
        <v>-</v>
      </c>
      <c r="DS23" s="38" t="str">
        <f>VLOOKUP(DP23,'TABEL KONVERSI'!$A$3:$D$7,4)</f>
        <v>-</v>
      </c>
      <c r="DT23" s="38" t="str">
        <f t="shared" si="73"/>
        <v>-</v>
      </c>
      <c r="DU23" s="38" t="str">
        <f>VLOOKUP(DQ23,'TABEL KONVERSI'!$A$3:$D$7,4)</f>
        <v>-</v>
      </c>
      <c r="DV23" s="42"/>
      <c r="DW23" s="37"/>
      <c r="DX23" s="73"/>
      <c r="DY23" s="73"/>
      <c r="DZ23" s="38" t="str">
        <f t="shared" si="74"/>
        <v/>
      </c>
      <c r="EA23" s="38" t="str">
        <f t="shared" si="75"/>
        <v/>
      </c>
      <c r="EB23" s="38" t="str">
        <f>IF(DZ23&lt;&gt;"",IF(AND(DZ23&gt;='TABEL KONVERSI'!$B$3,'ENTRY DATA'!DZ23&lt;='TABEL KONVERSI'!$C$3),1,IF(AND(DZ23&gt;='TABEL KONVERSI'!$B$4,'ENTRY DATA'!DZ23&lt;='TABEL KONVERSI'!$C$4),2,IF(AND(DZ23&gt;='TABEL KONVERSI'!$B$5,'ENTRY DATA'!DZ23&lt;='TABEL KONVERSI'!$C$5),3,IF(AND(DZ23&gt;='TABEL KONVERSI'!$B$6,'ENTRY DATA'!DZ23&lt;='TABEL KONVERSI'!$C$6),4,"")))),"-")</f>
        <v>-</v>
      </c>
      <c r="EC23" s="38" t="str">
        <f>IF(EA23&lt;&gt;"",IF(AND(EA23&gt;='TABEL KONVERSI'!$B$3,'ENTRY DATA'!EA23&lt;='TABEL KONVERSI'!$C$3),1,IF(AND(EA23&gt;='TABEL KONVERSI'!$B$4,'ENTRY DATA'!EA23&lt;='TABEL KONVERSI'!$C$4),2,IF(AND(EA23&gt;='TABEL KONVERSI'!$B$5,'ENTRY DATA'!EA23&lt;='TABEL KONVERSI'!$C$5),3,IF(AND(EA23&gt;='TABEL KONVERSI'!$B$6,'ENTRY DATA'!EA23&lt;='TABEL KONVERSI'!$C$6),4,"")))),"-")</f>
        <v>-</v>
      </c>
      <c r="ED23" s="38" t="str">
        <f t="shared" si="76"/>
        <v>-</v>
      </c>
      <c r="EE23" s="38" t="str">
        <f>VLOOKUP(EB23,'TABEL KONVERSI'!$A$3:$D$7,4)</f>
        <v>-</v>
      </c>
      <c r="EF23" s="38" t="str">
        <f t="shared" si="77"/>
        <v>-</v>
      </c>
      <c r="EG23" s="38" t="str">
        <f>VLOOKUP(EC23,'TABEL KONVERSI'!$A$3:$D$7,4)</f>
        <v>-</v>
      </c>
      <c r="EH23" s="42"/>
      <c r="EI23" s="37"/>
      <c r="EJ23" s="73"/>
      <c r="EK23" s="73"/>
      <c r="EL23" s="38" t="str">
        <f t="shared" si="78"/>
        <v/>
      </c>
      <c r="EM23" s="38" t="str">
        <f t="shared" si="79"/>
        <v/>
      </c>
      <c r="EN23" s="38" t="str">
        <f>IF(EL23&lt;&gt;"",IF(AND(EL23&gt;='TABEL KONVERSI'!$B$3,'ENTRY DATA'!EL23&lt;='TABEL KONVERSI'!$C$3),1,IF(AND(EL23&gt;='TABEL KONVERSI'!$B$4,'ENTRY DATA'!EL23&lt;='TABEL KONVERSI'!$C$4),2,IF(AND(EL23&gt;='TABEL KONVERSI'!$B$5,'ENTRY DATA'!EL23&lt;='TABEL KONVERSI'!$C$5),3,IF(AND(EL23&gt;='TABEL KONVERSI'!$B$6,'ENTRY DATA'!EL23&lt;='TABEL KONVERSI'!$C$6),4,"")))),"-")</f>
        <v>-</v>
      </c>
      <c r="EO23" s="38" t="str">
        <f>IF(EM23&lt;&gt;"",IF(AND(EM23&gt;='TABEL KONVERSI'!$B$3,'ENTRY DATA'!EM23&lt;='TABEL KONVERSI'!$C$3),1,IF(AND(EM23&gt;='TABEL KONVERSI'!$B$4,'ENTRY DATA'!EM23&lt;='TABEL KONVERSI'!$C$4),2,IF(AND(EM23&gt;='TABEL KONVERSI'!$B$5,'ENTRY DATA'!EM23&lt;='TABEL KONVERSI'!$C$5),3,IF(AND(EM23&gt;='TABEL KONVERSI'!$B$6,'ENTRY DATA'!EM23&lt;='TABEL KONVERSI'!$C$6),4,"")))),"-")</f>
        <v>-</v>
      </c>
      <c r="EP23" s="38" t="str">
        <f t="shared" si="80"/>
        <v>-</v>
      </c>
      <c r="EQ23" s="38" t="str">
        <f>VLOOKUP(EN23,'TABEL KONVERSI'!$A$3:$D$7,4)</f>
        <v>-</v>
      </c>
      <c r="ER23" s="38" t="str">
        <f t="shared" si="81"/>
        <v>-</v>
      </c>
      <c r="ES23" s="38" t="str">
        <f>VLOOKUP(EO23,'TABEL KONVERSI'!$A$3:$D$7,4)</f>
        <v>-</v>
      </c>
      <c r="ET23" s="42"/>
      <c r="EU23" s="37"/>
      <c r="EV23" s="73"/>
      <c r="EW23" s="73"/>
      <c r="EX23" s="38" t="str">
        <f t="shared" si="82"/>
        <v/>
      </c>
      <c r="EY23" s="38" t="str">
        <f t="shared" si="83"/>
        <v/>
      </c>
      <c r="EZ23" s="38" t="str">
        <f>IF(EX23&lt;&gt;"",IF(AND(EX23&gt;='TABEL KONVERSI'!$B$3,'ENTRY DATA'!EX23&lt;='TABEL KONVERSI'!$C$3),1,IF(AND(EX23&gt;='TABEL KONVERSI'!$B$4,'ENTRY DATA'!EX23&lt;='TABEL KONVERSI'!$C$4),2,IF(AND(EX23&gt;='TABEL KONVERSI'!$B$5,'ENTRY DATA'!EX23&lt;='TABEL KONVERSI'!$C$5),3,IF(AND(EX23&gt;='TABEL KONVERSI'!$B$6,'ENTRY DATA'!EX23&lt;='TABEL KONVERSI'!$C$6),4,"")))),"-")</f>
        <v>-</v>
      </c>
      <c r="FA23" s="38" t="str">
        <f>IF(EY23&lt;&gt;"",IF(AND(EY23&gt;='TABEL KONVERSI'!$B$3,'ENTRY DATA'!EY23&lt;='TABEL KONVERSI'!$C$3),1,IF(AND(EY23&gt;='TABEL KONVERSI'!$B$4,'ENTRY DATA'!EY23&lt;='TABEL KONVERSI'!$C$4),2,IF(AND(EY23&gt;='TABEL KONVERSI'!$B$5,'ENTRY DATA'!EY23&lt;='TABEL KONVERSI'!$C$5),3,IF(AND(EY23&gt;='TABEL KONVERSI'!$B$6,'ENTRY DATA'!EY23&lt;='TABEL KONVERSI'!$C$6),4,"")))),"-")</f>
        <v>-</v>
      </c>
      <c r="FB23" s="38" t="str">
        <f t="shared" si="84"/>
        <v>-</v>
      </c>
      <c r="FC23" s="38" t="str">
        <f>VLOOKUP(EZ23,'TABEL KONVERSI'!$A$3:$D$7,4)</f>
        <v>-</v>
      </c>
      <c r="FD23" s="38" t="str">
        <f t="shared" si="85"/>
        <v>-</v>
      </c>
      <c r="FE23" s="38" t="str">
        <f>VLOOKUP(FA23,'TABEL KONVERSI'!$A$3:$D$7,4)</f>
        <v>-</v>
      </c>
      <c r="FF23" s="42"/>
      <c r="FG23" s="37"/>
      <c r="FH23" s="73"/>
      <c r="FI23" s="73"/>
      <c r="FJ23" s="38" t="str">
        <f t="shared" si="86"/>
        <v/>
      </c>
      <c r="FK23" s="38" t="str">
        <f t="shared" si="87"/>
        <v/>
      </c>
      <c r="FL23" s="38" t="str">
        <f>IF(FJ23&lt;&gt;"",IF(AND(FJ23&gt;='TABEL KONVERSI'!$B$3,'ENTRY DATA'!FJ23&lt;='TABEL KONVERSI'!$C$3),1,IF(AND(FJ23&gt;='TABEL KONVERSI'!$B$4,'ENTRY DATA'!FJ23&lt;='TABEL KONVERSI'!$C$4),2,IF(AND(FJ23&gt;='TABEL KONVERSI'!$B$5,'ENTRY DATA'!FJ23&lt;='TABEL KONVERSI'!$C$5),3,IF(AND(FJ23&gt;='TABEL KONVERSI'!$B$6,'ENTRY DATA'!FJ23&lt;='TABEL KONVERSI'!$C$6),4,"")))),"-")</f>
        <v>-</v>
      </c>
      <c r="FM23" s="38" t="str">
        <f>IF(FK23&lt;&gt;"",IF(AND(FK23&gt;='TABEL KONVERSI'!$B$3,'ENTRY DATA'!FK23&lt;='TABEL KONVERSI'!$C$3),1,IF(AND(FK23&gt;='TABEL KONVERSI'!$B$4,'ENTRY DATA'!FK23&lt;='TABEL KONVERSI'!$C$4),2,IF(AND(FK23&gt;='TABEL KONVERSI'!$B$5,'ENTRY DATA'!FK23&lt;='TABEL KONVERSI'!$C$5),3,IF(AND(FK23&gt;='TABEL KONVERSI'!$B$6,'ENTRY DATA'!FK23&lt;='TABEL KONVERSI'!$C$6),4,"")))),"-")</f>
        <v>-</v>
      </c>
      <c r="FN23" s="38" t="str">
        <f t="shared" si="88"/>
        <v>-</v>
      </c>
      <c r="FO23" s="38" t="str">
        <f>VLOOKUP(FL23,'TABEL KONVERSI'!$A$3:$D$7,4)</f>
        <v>-</v>
      </c>
      <c r="FP23" s="38" t="str">
        <f t="shared" si="89"/>
        <v>-</v>
      </c>
      <c r="FQ23" s="38" t="str">
        <f>VLOOKUP(FM23,'TABEL KONVERSI'!$A$3:$D$7,4)</f>
        <v>-</v>
      </c>
      <c r="FR23" s="42"/>
      <c r="FS23" s="37"/>
      <c r="FT23" s="73"/>
      <c r="FU23" s="73"/>
      <c r="FV23" s="38" t="str">
        <f t="shared" si="90"/>
        <v/>
      </c>
      <c r="FW23" s="38" t="str">
        <f t="shared" si="91"/>
        <v/>
      </c>
      <c r="FX23" s="38" t="str">
        <f>IF(FV23&lt;&gt;"",IF(AND(FV23&gt;='TABEL KONVERSI'!$B$3,'ENTRY DATA'!FV23&lt;='TABEL KONVERSI'!$C$3),1,IF(AND(FV23&gt;='TABEL KONVERSI'!$B$4,'ENTRY DATA'!FV23&lt;='TABEL KONVERSI'!$C$4),2,IF(AND(FV23&gt;='TABEL KONVERSI'!$B$5,'ENTRY DATA'!FV23&lt;='TABEL KONVERSI'!$C$5),3,IF(AND(FV23&gt;='TABEL KONVERSI'!$B$6,'ENTRY DATA'!FV23&lt;='TABEL KONVERSI'!$C$6),4,"")))),"-")</f>
        <v>-</v>
      </c>
      <c r="FY23" s="38" t="str">
        <f>IF(FW23&lt;&gt;"",IF(AND(FW23&gt;='TABEL KONVERSI'!$B$3,'ENTRY DATA'!FW23&lt;='TABEL KONVERSI'!$C$3),1,IF(AND(FW23&gt;='TABEL KONVERSI'!$B$4,'ENTRY DATA'!FW23&lt;='TABEL KONVERSI'!$C$4),2,IF(AND(FW23&gt;='TABEL KONVERSI'!$B$5,'ENTRY DATA'!FW23&lt;='TABEL KONVERSI'!$C$5),3,IF(AND(FW23&gt;='TABEL KONVERSI'!$B$6,'ENTRY DATA'!FW23&lt;='TABEL KONVERSI'!$C$6),4,"")))),"-")</f>
        <v>-</v>
      </c>
      <c r="FZ23" s="38" t="str">
        <f t="shared" si="92"/>
        <v>-</v>
      </c>
      <c r="GA23" s="38" t="str">
        <f>VLOOKUP(FX23,'TABEL KONVERSI'!$A$3:$D$7,4)</f>
        <v>-</v>
      </c>
      <c r="GB23" s="38" t="str">
        <f t="shared" si="93"/>
        <v>-</v>
      </c>
      <c r="GC23" s="38" t="str">
        <f>VLOOKUP(FY23,'TABEL KONVERSI'!$A$3:$D$7,4)</f>
        <v>-</v>
      </c>
      <c r="GD23" s="42"/>
      <c r="GE23" s="37"/>
      <c r="GF23" s="73"/>
      <c r="GG23" s="73"/>
      <c r="GH23" s="38" t="str">
        <f t="shared" si="94"/>
        <v/>
      </c>
      <c r="GI23" s="38" t="str">
        <f t="shared" si="95"/>
        <v/>
      </c>
      <c r="GJ23" s="38" t="str">
        <f>IF(GH23&lt;&gt;"",IF(AND(GH23&gt;='TABEL KONVERSI'!$B$3,'ENTRY DATA'!GH23&lt;='TABEL KONVERSI'!$C$3),1,IF(AND(GH23&gt;='TABEL KONVERSI'!$B$4,'ENTRY DATA'!GH23&lt;='TABEL KONVERSI'!$C$4),2,IF(AND(GH23&gt;='TABEL KONVERSI'!$B$5,'ENTRY DATA'!GH23&lt;='TABEL KONVERSI'!$C$5),3,IF(AND(GH23&gt;='TABEL KONVERSI'!$B$6,'ENTRY DATA'!GH23&lt;='TABEL KONVERSI'!$C$6),4,"")))),"-")</f>
        <v>-</v>
      </c>
      <c r="GK23" s="38" t="str">
        <f>IF(GI23&lt;&gt;"",IF(AND(GI23&gt;='TABEL KONVERSI'!$B$3,'ENTRY DATA'!GI23&lt;='TABEL KONVERSI'!$C$3),1,IF(AND(GI23&gt;='TABEL KONVERSI'!$B$4,'ENTRY DATA'!GI23&lt;='TABEL KONVERSI'!$C$4),2,IF(AND(GI23&gt;='TABEL KONVERSI'!$B$5,'ENTRY DATA'!GI23&lt;='TABEL KONVERSI'!$C$5),3,IF(AND(GI23&gt;='TABEL KONVERSI'!$B$6,'ENTRY DATA'!GI23&lt;='TABEL KONVERSI'!$C$6),4,"")))),"-")</f>
        <v>-</v>
      </c>
      <c r="GL23" s="38" t="str">
        <f t="shared" si="96"/>
        <v>-</v>
      </c>
      <c r="GM23" s="38" t="str">
        <f>VLOOKUP(GJ23,'TABEL KONVERSI'!$A$3:$D$7,4)</f>
        <v>-</v>
      </c>
      <c r="GN23" s="38" t="str">
        <f t="shared" si="97"/>
        <v>-</v>
      </c>
      <c r="GO23" s="38" t="str">
        <f>VLOOKUP(GK23,'TABEL KONVERSI'!$A$3:$D$7,4)</f>
        <v>-</v>
      </c>
      <c r="GP23" s="43">
        <f t="shared" si="0"/>
        <v>0</v>
      </c>
      <c r="GQ23" s="43">
        <f t="shared" si="1"/>
        <v>0</v>
      </c>
      <c r="GR23" s="43">
        <f t="shared" si="2"/>
        <v>0</v>
      </c>
      <c r="GS23" s="43">
        <f t="shared" si="3"/>
        <v>0</v>
      </c>
      <c r="GT23" s="43">
        <f t="shared" si="4"/>
        <v>0</v>
      </c>
      <c r="GU23" s="43">
        <f t="shared" si="5"/>
        <v>0</v>
      </c>
      <c r="GV23" s="43">
        <f t="shared" si="6"/>
        <v>0</v>
      </c>
      <c r="GW23" s="43">
        <f t="shared" si="7"/>
        <v>0</v>
      </c>
      <c r="GX23" s="43">
        <f t="shared" si="8"/>
        <v>0</v>
      </c>
      <c r="GY23" s="43">
        <f t="shared" si="9"/>
        <v>0</v>
      </c>
      <c r="GZ23" s="43">
        <f t="shared" si="10"/>
        <v>0</v>
      </c>
      <c r="HA23" s="43">
        <f t="shared" si="11"/>
        <v>0</v>
      </c>
      <c r="HB23" s="43">
        <f t="shared" si="12"/>
        <v>0</v>
      </c>
      <c r="HC23" s="43">
        <f t="shared" si="13"/>
        <v>0</v>
      </c>
      <c r="HD23" s="43">
        <f t="shared" si="14"/>
        <v>0</v>
      </c>
      <c r="HE23" s="43">
        <f t="shared" si="15"/>
        <v>0</v>
      </c>
      <c r="HF23" s="38">
        <f t="shared" si="98"/>
        <v>0</v>
      </c>
      <c r="HG23" s="38">
        <f t="shared" si="99"/>
        <v>0</v>
      </c>
      <c r="HH23" s="38">
        <f t="shared" si="100"/>
        <v>0</v>
      </c>
      <c r="HI23" s="39">
        <f t="shared" si="101"/>
        <v>0</v>
      </c>
      <c r="HJ23" s="44" t="str">
        <f t="shared" si="102"/>
        <v>-</v>
      </c>
      <c r="HK23" s="45" t="str">
        <f>VLOOKUP(HJ23,'TABEL KONVERSI'!$B$11:$D$15,2,0)</f>
        <v>-</v>
      </c>
      <c r="HL23" s="43">
        <f t="shared" si="16"/>
        <v>0</v>
      </c>
      <c r="HM23" s="43">
        <f t="shared" si="17"/>
        <v>0</v>
      </c>
      <c r="HN23" s="43">
        <f t="shared" si="18"/>
        <v>0</v>
      </c>
      <c r="HO23" s="43">
        <f t="shared" si="19"/>
        <v>0</v>
      </c>
      <c r="HP23" s="43">
        <f t="shared" si="20"/>
        <v>0</v>
      </c>
      <c r="HQ23" s="43">
        <f t="shared" si="21"/>
        <v>0</v>
      </c>
      <c r="HR23" s="43">
        <f t="shared" si="22"/>
        <v>0</v>
      </c>
      <c r="HS23" s="43">
        <f t="shared" si="23"/>
        <v>0</v>
      </c>
      <c r="HT23" s="43">
        <f t="shared" si="24"/>
        <v>0</v>
      </c>
      <c r="HU23" s="43">
        <f t="shared" si="25"/>
        <v>0</v>
      </c>
      <c r="HV23" s="43">
        <f t="shared" si="26"/>
        <v>0</v>
      </c>
      <c r="HW23" s="43">
        <f t="shared" si="27"/>
        <v>0</v>
      </c>
      <c r="HX23" s="43">
        <f t="shared" si="28"/>
        <v>0</v>
      </c>
      <c r="HY23" s="43">
        <f t="shared" si="29"/>
        <v>0</v>
      </c>
      <c r="HZ23" s="43">
        <f t="shared" si="30"/>
        <v>0</v>
      </c>
      <c r="IA23" s="43">
        <f t="shared" si="31"/>
        <v>0</v>
      </c>
      <c r="IB23" s="38">
        <f t="shared" si="103"/>
        <v>0</v>
      </c>
      <c r="IC23" s="38">
        <f t="shared" si="104"/>
        <v>0</v>
      </c>
      <c r="ID23" s="38">
        <f t="shared" si="105"/>
        <v>0</v>
      </c>
      <c r="IE23" s="38">
        <f t="shared" si="106"/>
        <v>0</v>
      </c>
      <c r="IF23" s="46" t="str">
        <f t="shared" si="107"/>
        <v>-</v>
      </c>
      <c r="IG23" s="45" t="str">
        <f>VLOOKUP(IF23,'TABEL KONVERSI'!$B$11:$D$15,3,0)</f>
        <v>-</v>
      </c>
      <c r="IH23" s="40" t="s">
        <v>223</v>
      </c>
      <c r="II23" s="41" t="s">
        <v>106</v>
      </c>
      <c r="IJ23" s="45" t="str">
        <f>IF(II23&lt;&gt;"",VLOOKUP(II23,'TABEL KONVERSI'!$A$19:$B$23,2,0),"")</f>
        <v>Aktif dalam mengikuti kegiatan</v>
      </c>
      <c r="IK23" s="47" t="s">
        <v>58</v>
      </c>
      <c r="IL23" s="50" t="s">
        <v>58</v>
      </c>
      <c r="IM23" s="45" t="str">
        <f>IF(IL23&lt;&gt;"",VLOOKUP(IL23,'TABEL KONVERSI'!$A$19:$B$23,2,0),"")</f>
        <v>-</v>
      </c>
      <c r="IN23" s="49" t="s">
        <v>58</v>
      </c>
      <c r="IO23" s="48" t="s">
        <v>58</v>
      </c>
      <c r="IP23" s="45" t="str">
        <f>IF(IO23&lt;&gt;"",VLOOKUP(IO23,'TABEL KONVERSI'!$A$19:$B$23,2,0),"")</f>
        <v>-</v>
      </c>
      <c r="IQ23" s="49" t="s">
        <v>58</v>
      </c>
      <c r="IR23" s="50" t="s">
        <v>58</v>
      </c>
      <c r="IS23" s="45" t="str">
        <f>IF(IR23&lt;&gt;"",VLOOKUP(IR23,'TABEL KONVERSI'!$A$19:$B$23,2,0),"")</f>
        <v>-</v>
      </c>
      <c r="IT23" s="49" t="s">
        <v>58</v>
      </c>
      <c r="IU23" s="50" t="s">
        <v>58</v>
      </c>
      <c r="IV23" s="45" t="str">
        <f>IF(IU23&lt;&gt;"",VLOOKUP(IU23,'TABEL KONVERSI'!$A$19:$B$23,2,0),"")</f>
        <v>-</v>
      </c>
      <c r="IW23" s="48" t="s">
        <v>58</v>
      </c>
      <c r="IX23" s="48" t="s">
        <v>58</v>
      </c>
      <c r="IY23" s="48" t="s">
        <v>58</v>
      </c>
      <c r="IZ23" s="47" t="s">
        <v>58</v>
      </c>
      <c r="JA23" s="45">
        <f t="shared" si="32"/>
        <v>0</v>
      </c>
      <c r="JB23" s="45">
        <f t="shared" si="33"/>
        <v>1</v>
      </c>
    </row>
    <row r="24" spans="1:262" x14ac:dyDescent="0.25">
      <c r="A24" s="33">
        <v>12</v>
      </c>
      <c r="B24" s="51"/>
      <c r="C24" s="51"/>
      <c r="D24" s="77"/>
      <c r="E24" s="52"/>
      <c r="F24" s="42"/>
      <c r="G24" s="37"/>
      <c r="H24" s="73"/>
      <c r="I24" s="73"/>
      <c r="J24" s="38" t="str">
        <f t="shared" si="34"/>
        <v/>
      </c>
      <c r="K24" s="38" t="str">
        <f t="shared" si="35"/>
        <v/>
      </c>
      <c r="L24" s="38" t="str">
        <f>IF(J24&lt;&gt;"",IF(AND(J24&gt;='TABEL KONVERSI'!$B$3,'ENTRY DATA'!J24&lt;='TABEL KONVERSI'!$C$3),1,IF(AND(J24&gt;='TABEL KONVERSI'!$B$4,'ENTRY DATA'!J24&lt;='TABEL KONVERSI'!$C$4),2,IF(AND(J24&gt;='TABEL KONVERSI'!$B$5,'ENTRY DATA'!J24&lt;='TABEL KONVERSI'!$C$5),3,IF(AND(J24&gt;='TABEL KONVERSI'!$B$6,'ENTRY DATA'!J24&lt;='TABEL KONVERSI'!$C$6),4,"")))),"-")</f>
        <v>-</v>
      </c>
      <c r="M24" s="38" t="str">
        <f>IF(K24&lt;&gt;"",IF(AND(K24&gt;='TABEL KONVERSI'!$B$3,'ENTRY DATA'!K24&lt;='TABEL KONVERSI'!$C$3),1,IF(AND(K24&gt;='TABEL KONVERSI'!$B$4,'ENTRY DATA'!K24&lt;='TABEL KONVERSI'!$C$4),2,IF(AND(K24&gt;='TABEL KONVERSI'!$B$5,'ENTRY DATA'!K24&lt;='TABEL KONVERSI'!$C$5),3,IF(AND(K24&gt;='TABEL KONVERSI'!$B$6,'ENTRY DATA'!K24&lt;='TABEL KONVERSI'!$C$6),4,"")))),"-")</f>
        <v>-</v>
      </c>
      <c r="N24" s="38" t="str">
        <f t="shared" si="36"/>
        <v>-</v>
      </c>
      <c r="O24" s="38" t="str">
        <f>VLOOKUP(L24,'TABEL KONVERSI'!$A$3:$D$7,4)</f>
        <v>-</v>
      </c>
      <c r="P24" s="38" t="str">
        <f t="shared" si="37"/>
        <v>-</v>
      </c>
      <c r="Q24" s="38" t="str">
        <f>VLOOKUP(M24,'TABEL KONVERSI'!$A$3:$D$7,4)</f>
        <v>-</v>
      </c>
      <c r="R24" s="42"/>
      <c r="S24" s="37"/>
      <c r="T24" s="73"/>
      <c r="U24" s="73"/>
      <c r="V24" s="38" t="str">
        <f t="shared" si="38"/>
        <v/>
      </c>
      <c r="W24" s="38" t="str">
        <f t="shared" si="39"/>
        <v/>
      </c>
      <c r="X24" s="38" t="str">
        <f>IF(V24&lt;&gt;"",IF(AND(V24&gt;='TABEL KONVERSI'!$B$3,'ENTRY DATA'!V24&lt;='TABEL KONVERSI'!$C$3),1,IF(AND(V24&gt;='TABEL KONVERSI'!$B$4,'ENTRY DATA'!V24&lt;='TABEL KONVERSI'!$C$4),2,IF(AND(V24&gt;='TABEL KONVERSI'!$B$5,'ENTRY DATA'!V24&lt;='TABEL KONVERSI'!$C$5),3,IF(AND(V24&gt;='TABEL KONVERSI'!$B$6,'ENTRY DATA'!V24&lt;='TABEL KONVERSI'!$C$6),4,"")))),"-")</f>
        <v>-</v>
      </c>
      <c r="Y24" s="38" t="str">
        <f>IF(W24&lt;&gt;"",IF(AND(W24&gt;='TABEL KONVERSI'!$B$3,'ENTRY DATA'!W24&lt;='TABEL KONVERSI'!$C$3),1,IF(AND(W24&gt;='TABEL KONVERSI'!$B$4,'ENTRY DATA'!W24&lt;='TABEL KONVERSI'!$C$4),2,IF(AND(W24&gt;='TABEL KONVERSI'!$B$5,'ENTRY DATA'!W24&lt;='TABEL KONVERSI'!$C$5),3,IF(AND(W24&gt;='TABEL KONVERSI'!$B$6,'ENTRY DATA'!W24&lt;='TABEL KONVERSI'!$C$6),4,"")))),"-")</f>
        <v>-</v>
      </c>
      <c r="Z24" s="38" t="str">
        <f t="shared" si="40"/>
        <v>-</v>
      </c>
      <c r="AA24" s="38" t="str">
        <f>VLOOKUP(X24,'TABEL KONVERSI'!$A$3:$D$7,4)</f>
        <v>-</v>
      </c>
      <c r="AB24" s="38" t="str">
        <f t="shared" si="41"/>
        <v>-</v>
      </c>
      <c r="AC24" s="38" t="str">
        <f>VLOOKUP(Y24,'TABEL KONVERSI'!$A$3:$D$7,4)</f>
        <v>-</v>
      </c>
      <c r="AD24" s="42"/>
      <c r="AE24" s="37"/>
      <c r="AF24" s="73"/>
      <c r="AG24" s="73"/>
      <c r="AH24" s="38" t="str">
        <f t="shared" si="42"/>
        <v/>
      </c>
      <c r="AI24" s="38" t="str">
        <f t="shared" si="43"/>
        <v/>
      </c>
      <c r="AJ24" s="38" t="str">
        <f>IF(AH24&lt;&gt;"",IF(AND(AH24&gt;='TABEL KONVERSI'!$B$3,'ENTRY DATA'!AH24&lt;='TABEL KONVERSI'!$C$3),1,IF(AND(AH24&gt;='TABEL KONVERSI'!$B$4,'ENTRY DATA'!AH24&lt;='TABEL KONVERSI'!$C$4),2,IF(AND(AH24&gt;='TABEL KONVERSI'!$B$5,'ENTRY DATA'!AH24&lt;='TABEL KONVERSI'!$C$5),3,IF(AND(AH24&gt;='TABEL KONVERSI'!$B$6,'ENTRY DATA'!AH24&lt;='TABEL KONVERSI'!$C$6),4,"")))),"-")</f>
        <v>-</v>
      </c>
      <c r="AK24" s="38" t="str">
        <f>IF(AI24&lt;&gt;"",IF(AND(AI24&gt;='TABEL KONVERSI'!$B$3,'ENTRY DATA'!AI24&lt;='TABEL KONVERSI'!$C$3),1,IF(AND(AI24&gt;='TABEL KONVERSI'!$B$4,'ENTRY DATA'!AI24&lt;='TABEL KONVERSI'!$C$4),2,IF(AND(AI24&gt;='TABEL KONVERSI'!$B$5,'ENTRY DATA'!AI24&lt;='TABEL KONVERSI'!$C$5),3,IF(AND(AI24&gt;='TABEL KONVERSI'!$B$6,'ENTRY DATA'!AI24&lt;='TABEL KONVERSI'!$C$6),4,"")))),"-")</f>
        <v>-</v>
      </c>
      <c r="AL24" s="38" t="str">
        <f t="shared" si="44"/>
        <v>-</v>
      </c>
      <c r="AM24" s="38" t="str">
        <f>VLOOKUP(AJ24,'TABEL KONVERSI'!$A$3:$D$7,4)</f>
        <v>-</v>
      </c>
      <c r="AN24" s="38" t="str">
        <f t="shared" si="45"/>
        <v>-</v>
      </c>
      <c r="AO24" s="38" t="str">
        <f>VLOOKUP(AK24,'TABEL KONVERSI'!$A$3:$D$7,4)</f>
        <v>-</v>
      </c>
      <c r="AP24" s="42"/>
      <c r="AQ24" s="37"/>
      <c r="AR24" s="73"/>
      <c r="AS24" s="73"/>
      <c r="AT24" s="38" t="str">
        <f t="shared" si="46"/>
        <v/>
      </c>
      <c r="AU24" s="38" t="str">
        <f t="shared" si="47"/>
        <v/>
      </c>
      <c r="AV24" s="38" t="str">
        <f>IF(AT24&lt;&gt;"",IF(AND(AT24&gt;='TABEL KONVERSI'!$B$3,'ENTRY DATA'!AT24&lt;='TABEL KONVERSI'!$C$3),1,IF(AND(AT24&gt;='TABEL KONVERSI'!$B$4,'ENTRY DATA'!AT24&lt;='TABEL KONVERSI'!$C$4),2,IF(AND(AT24&gt;='TABEL KONVERSI'!$B$5,'ENTRY DATA'!AT24&lt;='TABEL KONVERSI'!$C$5),3,IF(AND(AT24&gt;='TABEL KONVERSI'!$B$6,'ENTRY DATA'!AT24&lt;='TABEL KONVERSI'!$C$6),4,"")))),"-")</f>
        <v>-</v>
      </c>
      <c r="AW24" s="38" t="str">
        <f>IF(AU24&lt;&gt;"",IF(AND(AU24&gt;='TABEL KONVERSI'!$B$3,'ENTRY DATA'!AU24&lt;='TABEL KONVERSI'!$C$3),1,IF(AND(AU24&gt;='TABEL KONVERSI'!$B$4,'ENTRY DATA'!AU24&lt;='TABEL KONVERSI'!$C$4),2,IF(AND(AU24&gt;='TABEL KONVERSI'!$B$5,'ENTRY DATA'!AU24&lt;='TABEL KONVERSI'!$C$5),3,IF(AND(AU24&gt;='TABEL KONVERSI'!$B$6,'ENTRY DATA'!AU24&lt;='TABEL KONVERSI'!$C$6),4,"")))),"-")</f>
        <v>-</v>
      </c>
      <c r="AX24" s="38" t="str">
        <f t="shared" si="48"/>
        <v>-</v>
      </c>
      <c r="AY24" s="38" t="str">
        <f>VLOOKUP(AV24,'TABEL KONVERSI'!$A$3:$D$7,4)</f>
        <v>-</v>
      </c>
      <c r="AZ24" s="38" t="str">
        <f t="shared" si="49"/>
        <v>-</v>
      </c>
      <c r="BA24" s="38" t="str">
        <f>VLOOKUP(AW24,'TABEL KONVERSI'!$A$3:$D$7,4)</f>
        <v>-</v>
      </c>
      <c r="BB24" s="42"/>
      <c r="BC24" s="37"/>
      <c r="BD24" s="73"/>
      <c r="BE24" s="73"/>
      <c r="BF24" s="38" t="str">
        <f t="shared" si="50"/>
        <v/>
      </c>
      <c r="BG24" s="38" t="str">
        <f t="shared" si="51"/>
        <v/>
      </c>
      <c r="BH24" s="38" t="str">
        <f>IF(BF24&lt;&gt;"",IF(AND(BF24&gt;='TABEL KONVERSI'!$B$3,'ENTRY DATA'!BF24&lt;='TABEL KONVERSI'!$C$3),1,IF(AND(BF24&gt;='TABEL KONVERSI'!$B$4,'ENTRY DATA'!BF24&lt;='TABEL KONVERSI'!$C$4),2,IF(AND(BF24&gt;='TABEL KONVERSI'!$B$5,'ENTRY DATA'!BF24&lt;='TABEL KONVERSI'!$C$5),3,IF(AND(BF24&gt;='TABEL KONVERSI'!$B$6,'ENTRY DATA'!BF24&lt;='TABEL KONVERSI'!$C$6),4,"")))),"-")</f>
        <v>-</v>
      </c>
      <c r="BI24" s="38" t="str">
        <f>IF(BG24&lt;&gt;"",IF(AND(BG24&gt;='TABEL KONVERSI'!$B$3,'ENTRY DATA'!BG24&lt;='TABEL KONVERSI'!$C$3),1,IF(AND(BG24&gt;='TABEL KONVERSI'!$B$4,'ENTRY DATA'!BG24&lt;='TABEL KONVERSI'!$C$4),2,IF(AND(BG24&gt;='TABEL KONVERSI'!$B$5,'ENTRY DATA'!BG24&lt;='TABEL KONVERSI'!$C$5),3,IF(AND(BG24&gt;='TABEL KONVERSI'!$B$6,'ENTRY DATA'!BG24&lt;='TABEL KONVERSI'!$C$6),4,"")))),"-")</f>
        <v>-</v>
      </c>
      <c r="BJ24" s="38" t="str">
        <f t="shared" si="52"/>
        <v>-</v>
      </c>
      <c r="BK24" s="38" t="str">
        <f>VLOOKUP(BH24,'TABEL KONVERSI'!$A$3:$D$7,4)</f>
        <v>-</v>
      </c>
      <c r="BL24" s="38" t="str">
        <f t="shared" si="53"/>
        <v>-</v>
      </c>
      <c r="BM24" s="38" t="str">
        <f>VLOOKUP(BI24,'TABEL KONVERSI'!$A$3:$D$7,4)</f>
        <v>-</v>
      </c>
      <c r="BN24" s="42"/>
      <c r="BO24" s="37"/>
      <c r="BP24" s="73"/>
      <c r="BQ24" s="73"/>
      <c r="BR24" s="38" t="str">
        <f t="shared" si="54"/>
        <v/>
      </c>
      <c r="BS24" s="38" t="str">
        <f t="shared" si="55"/>
        <v/>
      </c>
      <c r="BT24" s="38" t="str">
        <f>IF(BR24&lt;&gt;"",IF(AND(BR24&gt;='TABEL KONVERSI'!$B$3,'ENTRY DATA'!BR24&lt;='TABEL KONVERSI'!$C$3),1,IF(AND(BR24&gt;='TABEL KONVERSI'!$B$4,'ENTRY DATA'!BR24&lt;='TABEL KONVERSI'!$C$4),2,IF(AND(BR24&gt;='TABEL KONVERSI'!$B$5,'ENTRY DATA'!BR24&lt;='TABEL KONVERSI'!$C$5),3,IF(AND(BR24&gt;='TABEL KONVERSI'!$B$6,'ENTRY DATA'!BR24&lt;='TABEL KONVERSI'!$C$6),4,"")))),"-")</f>
        <v>-</v>
      </c>
      <c r="BU24" s="38" t="str">
        <f>IF(BS24&lt;&gt;"",IF(AND(BS24&gt;='TABEL KONVERSI'!$B$3,'ENTRY DATA'!BS24&lt;='TABEL KONVERSI'!$C$3),1,IF(AND(BS24&gt;='TABEL KONVERSI'!$B$4,'ENTRY DATA'!BS24&lt;='TABEL KONVERSI'!$C$4),2,IF(AND(BS24&gt;='TABEL KONVERSI'!$B$5,'ENTRY DATA'!BS24&lt;='TABEL KONVERSI'!$C$5),3,IF(AND(BS24&gt;='TABEL KONVERSI'!$B$6,'ENTRY DATA'!BS24&lt;='TABEL KONVERSI'!$C$6),4,"")))),"-")</f>
        <v>-</v>
      </c>
      <c r="BV24" s="38" t="str">
        <f t="shared" si="56"/>
        <v>-</v>
      </c>
      <c r="BW24" s="38" t="str">
        <f>VLOOKUP(BT24,'TABEL KONVERSI'!$A$3:$D$7,4)</f>
        <v>-</v>
      </c>
      <c r="BX24" s="38" t="str">
        <f t="shared" si="57"/>
        <v>-</v>
      </c>
      <c r="BY24" s="38" t="str">
        <f>VLOOKUP(BU24,'TABEL KONVERSI'!$A$3:$D$7,4)</f>
        <v>-</v>
      </c>
      <c r="BZ24" s="42"/>
      <c r="CA24" s="37"/>
      <c r="CB24" s="73"/>
      <c r="CC24" s="73"/>
      <c r="CD24" s="38" t="str">
        <f t="shared" si="58"/>
        <v/>
      </c>
      <c r="CE24" s="38" t="str">
        <f t="shared" si="59"/>
        <v/>
      </c>
      <c r="CF24" s="38" t="str">
        <f>IF(CD24&lt;&gt;"",IF(AND(CD24&gt;='TABEL KONVERSI'!$B$3,'ENTRY DATA'!CD24&lt;='TABEL KONVERSI'!$C$3),1,IF(AND(CD24&gt;='TABEL KONVERSI'!$B$4,'ENTRY DATA'!CD24&lt;='TABEL KONVERSI'!$C$4),2,IF(AND(CD24&gt;='TABEL KONVERSI'!$B$5,'ENTRY DATA'!CD24&lt;='TABEL KONVERSI'!$C$5),3,IF(AND(CD24&gt;='TABEL KONVERSI'!$B$6,'ENTRY DATA'!CD24&lt;='TABEL KONVERSI'!$C$6),4,"")))),"-")</f>
        <v>-</v>
      </c>
      <c r="CG24" s="38" t="str">
        <f>IF(CE24&lt;&gt;"",IF(AND(CE24&gt;='TABEL KONVERSI'!$B$3,'ENTRY DATA'!CE24&lt;='TABEL KONVERSI'!$C$3),1,IF(AND(CE24&gt;='TABEL KONVERSI'!$B$4,'ENTRY DATA'!CE24&lt;='TABEL KONVERSI'!$C$4),2,IF(AND(CE24&gt;='TABEL KONVERSI'!$B$5,'ENTRY DATA'!CE24&lt;='TABEL KONVERSI'!$C$5),3,IF(AND(CE24&gt;='TABEL KONVERSI'!$B$6,'ENTRY DATA'!CE24&lt;='TABEL KONVERSI'!$C$6),4,"")))),"-")</f>
        <v>-</v>
      </c>
      <c r="CH24" s="38" t="str">
        <f t="shared" si="60"/>
        <v>-</v>
      </c>
      <c r="CI24" s="38" t="str">
        <f>VLOOKUP(CF24,'TABEL KONVERSI'!$A$3:$D$7,4)</f>
        <v>-</v>
      </c>
      <c r="CJ24" s="38" t="str">
        <f t="shared" si="61"/>
        <v>-</v>
      </c>
      <c r="CK24" s="38" t="str">
        <f>VLOOKUP(CG24,'TABEL KONVERSI'!$A$3:$D$7,4)</f>
        <v>-</v>
      </c>
      <c r="CL24" s="42"/>
      <c r="CM24" s="37"/>
      <c r="CN24" s="73"/>
      <c r="CO24" s="73"/>
      <c r="CP24" s="38" t="str">
        <f t="shared" si="62"/>
        <v/>
      </c>
      <c r="CQ24" s="38" t="str">
        <f t="shared" si="63"/>
        <v/>
      </c>
      <c r="CR24" s="38" t="str">
        <f>IF(CP24&lt;&gt;"",IF(AND(CP24&gt;='TABEL KONVERSI'!$B$3,'ENTRY DATA'!CP24&lt;='TABEL KONVERSI'!$C$3),1,IF(AND(CP24&gt;='TABEL KONVERSI'!$B$4,'ENTRY DATA'!CP24&lt;='TABEL KONVERSI'!$C$4),2,IF(AND(CP24&gt;='TABEL KONVERSI'!$B$5,'ENTRY DATA'!CP24&lt;='TABEL KONVERSI'!$C$5),3,IF(AND(CP24&gt;='TABEL KONVERSI'!$B$6,'ENTRY DATA'!CP24&lt;='TABEL KONVERSI'!$C$6),4,"")))),"-")</f>
        <v>-</v>
      </c>
      <c r="CS24" s="38" t="str">
        <f>IF(CQ24&lt;&gt;"",IF(AND(CQ24&gt;='TABEL KONVERSI'!$B$3,'ENTRY DATA'!CQ24&lt;='TABEL KONVERSI'!$C$3),1,IF(AND(CQ24&gt;='TABEL KONVERSI'!$B$4,'ENTRY DATA'!CQ24&lt;='TABEL KONVERSI'!$C$4),2,IF(AND(CQ24&gt;='TABEL KONVERSI'!$B$5,'ENTRY DATA'!CQ24&lt;='TABEL KONVERSI'!$C$5),3,IF(AND(CQ24&gt;='TABEL KONVERSI'!$B$6,'ENTRY DATA'!CQ24&lt;='TABEL KONVERSI'!$C$6),4,"")))),"-")</f>
        <v>-</v>
      </c>
      <c r="CT24" s="38" t="str">
        <f t="shared" si="64"/>
        <v>-</v>
      </c>
      <c r="CU24" s="38" t="str">
        <f>VLOOKUP(CR24,'TABEL KONVERSI'!$A$3:$D$7,4)</f>
        <v>-</v>
      </c>
      <c r="CV24" s="38" t="str">
        <f t="shared" si="65"/>
        <v>-</v>
      </c>
      <c r="CW24" s="38" t="str">
        <f>VLOOKUP(CS24,'TABEL KONVERSI'!$A$3:$D$7,4)</f>
        <v>-</v>
      </c>
      <c r="CX24" s="42"/>
      <c r="CY24" s="37"/>
      <c r="CZ24" s="73"/>
      <c r="DA24" s="73"/>
      <c r="DB24" s="38" t="str">
        <f t="shared" si="66"/>
        <v/>
      </c>
      <c r="DC24" s="38" t="str">
        <f t="shared" si="67"/>
        <v/>
      </c>
      <c r="DD24" s="38" t="str">
        <f>IF(DB24&lt;&gt;"",IF(AND(DB24&gt;='TABEL KONVERSI'!$B$3,'ENTRY DATA'!DB24&lt;='TABEL KONVERSI'!$C$3),1,IF(AND(DB24&gt;='TABEL KONVERSI'!$B$4,'ENTRY DATA'!DB24&lt;='TABEL KONVERSI'!$C$4),2,IF(AND(DB24&gt;='TABEL KONVERSI'!$B$5,'ENTRY DATA'!DB24&lt;='TABEL KONVERSI'!$C$5),3,IF(AND(DB24&gt;='TABEL KONVERSI'!$B$6,'ENTRY DATA'!DB24&lt;='TABEL KONVERSI'!$C$6),4,"")))),"-")</f>
        <v>-</v>
      </c>
      <c r="DE24" s="38" t="str">
        <f>IF(DC24&lt;&gt;"",IF(AND(DC24&gt;='TABEL KONVERSI'!$B$3,'ENTRY DATA'!DC24&lt;='TABEL KONVERSI'!$C$3),1,IF(AND(DC24&gt;='TABEL KONVERSI'!$B$4,'ENTRY DATA'!DC24&lt;='TABEL KONVERSI'!$C$4),2,IF(AND(DC24&gt;='TABEL KONVERSI'!$B$5,'ENTRY DATA'!DC24&lt;='TABEL KONVERSI'!$C$5),3,IF(AND(DC24&gt;='TABEL KONVERSI'!$B$6,'ENTRY DATA'!DC24&lt;='TABEL KONVERSI'!$C$6),4,"")))),"-")</f>
        <v>-</v>
      </c>
      <c r="DF24" s="38" t="str">
        <f t="shared" si="68"/>
        <v>-</v>
      </c>
      <c r="DG24" s="38" t="str">
        <f>VLOOKUP(DD24,'TABEL KONVERSI'!$A$3:$D$7,4)</f>
        <v>-</v>
      </c>
      <c r="DH24" s="38" t="str">
        <f t="shared" si="69"/>
        <v>-</v>
      </c>
      <c r="DI24" s="38" t="str">
        <f>VLOOKUP(DE24,'TABEL KONVERSI'!$A$3:$D$7,4)</f>
        <v>-</v>
      </c>
      <c r="DJ24" s="42"/>
      <c r="DK24" s="37"/>
      <c r="DL24" s="73"/>
      <c r="DM24" s="73"/>
      <c r="DN24" s="38" t="str">
        <f t="shared" si="70"/>
        <v/>
      </c>
      <c r="DO24" s="38" t="str">
        <f t="shared" si="71"/>
        <v/>
      </c>
      <c r="DP24" s="38" t="str">
        <f>IF(DN24&lt;&gt;"",IF(AND(DN24&gt;='TABEL KONVERSI'!$B$3,'ENTRY DATA'!DN24&lt;='TABEL KONVERSI'!$C$3),1,IF(AND(DN24&gt;='TABEL KONVERSI'!$B$4,'ENTRY DATA'!DN24&lt;='TABEL KONVERSI'!$C$4),2,IF(AND(DN24&gt;='TABEL KONVERSI'!$B$5,'ENTRY DATA'!DN24&lt;='TABEL KONVERSI'!$C$5),3,IF(AND(DN24&gt;='TABEL KONVERSI'!$B$6,'ENTRY DATA'!DN24&lt;='TABEL KONVERSI'!$C$6),4,"")))),"-")</f>
        <v>-</v>
      </c>
      <c r="DQ24" s="38" t="str">
        <f>IF(DO24&lt;&gt;"",IF(AND(DO24&gt;='TABEL KONVERSI'!$B$3,'ENTRY DATA'!DO24&lt;='TABEL KONVERSI'!$C$3),1,IF(AND(DO24&gt;='TABEL KONVERSI'!$B$4,'ENTRY DATA'!DO24&lt;='TABEL KONVERSI'!$C$4),2,IF(AND(DO24&gt;='TABEL KONVERSI'!$B$5,'ENTRY DATA'!DO24&lt;='TABEL KONVERSI'!$C$5),3,IF(AND(DO24&gt;='TABEL KONVERSI'!$B$6,'ENTRY DATA'!DO24&lt;='TABEL KONVERSI'!$C$6),4,"")))),"-")</f>
        <v>-</v>
      </c>
      <c r="DR24" s="38" t="str">
        <f t="shared" si="72"/>
        <v>-</v>
      </c>
      <c r="DS24" s="38" t="str">
        <f>VLOOKUP(DP24,'TABEL KONVERSI'!$A$3:$D$7,4)</f>
        <v>-</v>
      </c>
      <c r="DT24" s="38" t="str">
        <f t="shared" si="73"/>
        <v>-</v>
      </c>
      <c r="DU24" s="38" t="str">
        <f>VLOOKUP(DQ24,'TABEL KONVERSI'!$A$3:$D$7,4)</f>
        <v>-</v>
      </c>
      <c r="DV24" s="42"/>
      <c r="DW24" s="37"/>
      <c r="DX24" s="73"/>
      <c r="DY24" s="73"/>
      <c r="DZ24" s="38" t="str">
        <f t="shared" si="74"/>
        <v/>
      </c>
      <c r="EA24" s="38" t="str">
        <f t="shared" si="75"/>
        <v/>
      </c>
      <c r="EB24" s="38" t="str">
        <f>IF(DZ24&lt;&gt;"",IF(AND(DZ24&gt;='TABEL KONVERSI'!$B$3,'ENTRY DATA'!DZ24&lt;='TABEL KONVERSI'!$C$3),1,IF(AND(DZ24&gt;='TABEL KONVERSI'!$B$4,'ENTRY DATA'!DZ24&lt;='TABEL KONVERSI'!$C$4),2,IF(AND(DZ24&gt;='TABEL KONVERSI'!$B$5,'ENTRY DATA'!DZ24&lt;='TABEL KONVERSI'!$C$5),3,IF(AND(DZ24&gt;='TABEL KONVERSI'!$B$6,'ENTRY DATA'!DZ24&lt;='TABEL KONVERSI'!$C$6),4,"")))),"-")</f>
        <v>-</v>
      </c>
      <c r="EC24" s="38" t="str">
        <f>IF(EA24&lt;&gt;"",IF(AND(EA24&gt;='TABEL KONVERSI'!$B$3,'ENTRY DATA'!EA24&lt;='TABEL KONVERSI'!$C$3),1,IF(AND(EA24&gt;='TABEL KONVERSI'!$B$4,'ENTRY DATA'!EA24&lt;='TABEL KONVERSI'!$C$4),2,IF(AND(EA24&gt;='TABEL KONVERSI'!$B$5,'ENTRY DATA'!EA24&lt;='TABEL KONVERSI'!$C$5),3,IF(AND(EA24&gt;='TABEL KONVERSI'!$B$6,'ENTRY DATA'!EA24&lt;='TABEL KONVERSI'!$C$6),4,"")))),"-")</f>
        <v>-</v>
      </c>
      <c r="ED24" s="38" t="str">
        <f t="shared" si="76"/>
        <v>-</v>
      </c>
      <c r="EE24" s="38" t="str">
        <f>VLOOKUP(EB24,'TABEL KONVERSI'!$A$3:$D$7,4)</f>
        <v>-</v>
      </c>
      <c r="EF24" s="38" t="str">
        <f t="shared" si="77"/>
        <v>-</v>
      </c>
      <c r="EG24" s="38" t="str">
        <f>VLOOKUP(EC24,'TABEL KONVERSI'!$A$3:$D$7,4)</f>
        <v>-</v>
      </c>
      <c r="EH24" s="42"/>
      <c r="EI24" s="37"/>
      <c r="EJ24" s="73"/>
      <c r="EK24" s="73"/>
      <c r="EL24" s="38" t="str">
        <f t="shared" si="78"/>
        <v/>
      </c>
      <c r="EM24" s="38" t="str">
        <f t="shared" si="79"/>
        <v/>
      </c>
      <c r="EN24" s="38" t="str">
        <f>IF(EL24&lt;&gt;"",IF(AND(EL24&gt;='TABEL KONVERSI'!$B$3,'ENTRY DATA'!EL24&lt;='TABEL KONVERSI'!$C$3),1,IF(AND(EL24&gt;='TABEL KONVERSI'!$B$4,'ENTRY DATA'!EL24&lt;='TABEL KONVERSI'!$C$4),2,IF(AND(EL24&gt;='TABEL KONVERSI'!$B$5,'ENTRY DATA'!EL24&lt;='TABEL KONVERSI'!$C$5),3,IF(AND(EL24&gt;='TABEL KONVERSI'!$B$6,'ENTRY DATA'!EL24&lt;='TABEL KONVERSI'!$C$6),4,"")))),"-")</f>
        <v>-</v>
      </c>
      <c r="EO24" s="38" t="str">
        <f>IF(EM24&lt;&gt;"",IF(AND(EM24&gt;='TABEL KONVERSI'!$B$3,'ENTRY DATA'!EM24&lt;='TABEL KONVERSI'!$C$3),1,IF(AND(EM24&gt;='TABEL KONVERSI'!$B$4,'ENTRY DATA'!EM24&lt;='TABEL KONVERSI'!$C$4),2,IF(AND(EM24&gt;='TABEL KONVERSI'!$B$5,'ENTRY DATA'!EM24&lt;='TABEL KONVERSI'!$C$5),3,IF(AND(EM24&gt;='TABEL KONVERSI'!$B$6,'ENTRY DATA'!EM24&lt;='TABEL KONVERSI'!$C$6),4,"")))),"-")</f>
        <v>-</v>
      </c>
      <c r="EP24" s="38" t="str">
        <f t="shared" si="80"/>
        <v>-</v>
      </c>
      <c r="EQ24" s="38" t="str">
        <f>VLOOKUP(EN24,'TABEL KONVERSI'!$A$3:$D$7,4)</f>
        <v>-</v>
      </c>
      <c r="ER24" s="38" t="str">
        <f t="shared" si="81"/>
        <v>-</v>
      </c>
      <c r="ES24" s="38" t="str">
        <f>VLOOKUP(EO24,'TABEL KONVERSI'!$A$3:$D$7,4)</f>
        <v>-</v>
      </c>
      <c r="ET24" s="42"/>
      <c r="EU24" s="37"/>
      <c r="EV24" s="73"/>
      <c r="EW24" s="73"/>
      <c r="EX24" s="38" t="str">
        <f t="shared" si="82"/>
        <v/>
      </c>
      <c r="EY24" s="38" t="str">
        <f t="shared" si="83"/>
        <v/>
      </c>
      <c r="EZ24" s="38" t="str">
        <f>IF(EX24&lt;&gt;"",IF(AND(EX24&gt;='TABEL KONVERSI'!$B$3,'ENTRY DATA'!EX24&lt;='TABEL KONVERSI'!$C$3),1,IF(AND(EX24&gt;='TABEL KONVERSI'!$B$4,'ENTRY DATA'!EX24&lt;='TABEL KONVERSI'!$C$4),2,IF(AND(EX24&gt;='TABEL KONVERSI'!$B$5,'ENTRY DATA'!EX24&lt;='TABEL KONVERSI'!$C$5),3,IF(AND(EX24&gt;='TABEL KONVERSI'!$B$6,'ENTRY DATA'!EX24&lt;='TABEL KONVERSI'!$C$6),4,"")))),"-")</f>
        <v>-</v>
      </c>
      <c r="FA24" s="38" t="str">
        <f>IF(EY24&lt;&gt;"",IF(AND(EY24&gt;='TABEL KONVERSI'!$B$3,'ENTRY DATA'!EY24&lt;='TABEL KONVERSI'!$C$3),1,IF(AND(EY24&gt;='TABEL KONVERSI'!$B$4,'ENTRY DATA'!EY24&lt;='TABEL KONVERSI'!$C$4),2,IF(AND(EY24&gt;='TABEL KONVERSI'!$B$5,'ENTRY DATA'!EY24&lt;='TABEL KONVERSI'!$C$5),3,IF(AND(EY24&gt;='TABEL KONVERSI'!$B$6,'ENTRY DATA'!EY24&lt;='TABEL KONVERSI'!$C$6),4,"")))),"-")</f>
        <v>-</v>
      </c>
      <c r="FB24" s="38" t="str">
        <f t="shared" si="84"/>
        <v>-</v>
      </c>
      <c r="FC24" s="38" t="str">
        <f>VLOOKUP(EZ24,'TABEL KONVERSI'!$A$3:$D$7,4)</f>
        <v>-</v>
      </c>
      <c r="FD24" s="38" t="str">
        <f t="shared" si="85"/>
        <v>-</v>
      </c>
      <c r="FE24" s="38" t="str">
        <f>VLOOKUP(FA24,'TABEL KONVERSI'!$A$3:$D$7,4)</f>
        <v>-</v>
      </c>
      <c r="FF24" s="42"/>
      <c r="FG24" s="37"/>
      <c r="FH24" s="73"/>
      <c r="FI24" s="73"/>
      <c r="FJ24" s="38" t="str">
        <f t="shared" si="86"/>
        <v/>
      </c>
      <c r="FK24" s="38" t="str">
        <f t="shared" si="87"/>
        <v/>
      </c>
      <c r="FL24" s="38" t="str">
        <f>IF(FJ24&lt;&gt;"",IF(AND(FJ24&gt;='TABEL KONVERSI'!$B$3,'ENTRY DATA'!FJ24&lt;='TABEL KONVERSI'!$C$3),1,IF(AND(FJ24&gt;='TABEL KONVERSI'!$B$4,'ENTRY DATA'!FJ24&lt;='TABEL KONVERSI'!$C$4),2,IF(AND(FJ24&gt;='TABEL KONVERSI'!$B$5,'ENTRY DATA'!FJ24&lt;='TABEL KONVERSI'!$C$5),3,IF(AND(FJ24&gt;='TABEL KONVERSI'!$B$6,'ENTRY DATA'!FJ24&lt;='TABEL KONVERSI'!$C$6),4,"")))),"-")</f>
        <v>-</v>
      </c>
      <c r="FM24" s="38" t="str">
        <f>IF(FK24&lt;&gt;"",IF(AND(FK24&gt;='TABEL KONVERSI'!$B$3,'ENTRY DATA'!FK24&lt;='TABEL KONVERSI'!$C$3),1,IF(AND(FK24&gt;='TABEL KONVERSI'!$B$4,'ENTRY DATA'!FK24&lt;='TABEL KONVERSI'!$C$4),2,IF(AND(FK24&gt;='TABEL KONVERSI'!$B$5,'ENTRY DATA'!FK24&lt;='TABEL KONVERSI'!$C$5),3,IF(AND(FK24&gt;='TABEL KONVERSI'!$B$6,'ENTRY DATA'!FK24&lt;='TABEL KONVERSI'!$C$6),4,"")))),"-")</f>
        <v>-</v>
      </c>
      <c r="FN24" s="38" t="str">
        <f t="shared" si="88"/>
        <v>-</v>
      </c>
      <c r="FO24" s="38" t="str">
        <f>VLOOKUP(FL24,'TABEL KONVERSI'!$A$3:$D$7,4)</f>
        <v>-</v>
      </c>
      <c r="FP24" s="38" t="str">
        <f t="shared" si="89"/>
        <v>-</v>
      </c>
      <c r="FQ24" s="38" t="str">
        <f>VLOOKUP(FM24,'TABEL KONVERSI'!$A$3:$D$7,4)</f>
        <v>-</v>
      </c>
      <c r="FR24" s="42"/>
      <c r="FS24" s="37"/>
      <c r="FT24" s="73"/>
      <c r="FU24" s="73"/>
      <c r="FV24" s="38" t="str">
        <f t="shared" si="90"/>
        <v/>
      </c>
      <c r="FW24" s="38" t="str">
        <f t="shared" si="91"/>
        <v/>
      </c>
      <c r="FX24" s="38" t="str">
        <f>IF(FV24&lt;&gt;"",IF(AND(FV24&gt;='TABEL KONVERSI'!$B$3,'ENTRY DATA'!FV24&lt;='TABEL KONVERSI'!$C$3),1,IF(AND(FV24&gt;='TABEL KONVERSI'!$B$4,'ENTRY DATA'!FV24&lt;='TABEL KONVERSI'!$C$4),2,IF(AND(FV24&gt;='TABEL KONVERSI'!$B$5,'ENTRY DATA'!FV24&lt;='TABEL KONVERSI'!$C$5),3,IF(AND(FV24&gt;='TABEL KONVERSI'!$B$6,'ENTRY DATA'!FV24&lt;='TABEL KONVERSI'!$C$6),4,"")))),"-")</f>
        <v>-</v>
      </c>
      <c r="FY24" s="38" t="str">
        <f>IF(FW24&lt;&gt;"",IF(AND(FW24&gt;='TABEL KONVERSI'!$B$3,'ENTRY DATA'!FW24&lt;='TABEL KONVERSI'!$C$3),1,IF(AND(FW24&gt;='TABEL KONVERSI'!$B$4,'ENTRY DATA'!FW24&lt;='TABEL KONVERSI'!$C$4),2,IF(AND(FW24&gt;='TABEL KONVERSI'!$B$5,'ENTRY DATA'!FW24&lt;='TABEL KONVERSI'!$C$5),3,IF(AND(FW24&gt;='TABEL KONVERSI'!$B$6,'ENTRY DATA'!FW24&lt;='TABEL KONVERSI'!$C$6),4,"")))),"-")</f>
        <v>-</v>
      </c>
      <c r="FZ24" s="38" t="str">
        <f t="shared" si="92"/>
        <v>-</v>
      </c>
      <c r="GA24" s="38" t="str">
        <f>VLOOKUP(FX24,'TABEL KONVERSI'!$A$3:$D$7,4)</f>
        <v>-</v>
      </c>
      <c r="GB24" s="38" t="str">
        <f t="shared" si="93"/>
        <v>-</v>
      </c>
      <c r="GC24" s="38" t="str">
        <f>VLOOKUP(FY24,'TABEL KONVERSI'!$A$3:$D$7,4)</f>
        <v>-</v>
      </c>
      <c r="GD24" s="42"/>
      <c r="GE24" s="37"/>
      <c r="GF24" s="73"/>
      <c r="GG24" s="73"/>
      <c r="GH24" s="38" t="str">
        <f t="shared" si="94"/>
        <v/>
      </c>
      <c r="GI24" s="38" t="str">
        <f t="shared" si="95"/>
        <v/>
      </c>
      <c r="GJ24" s="38" t="str">
        <f>IF(GH24&lt;&gt;"",IF(AND(GH24&gt;='TABEL KONVERSI'!$B$3,'ENTRY DATA'!GH24&lt;='TABEL KONVERSI'!$C$3),1,IF(AND(GH24&gt;='TABEL KONVERSI'!$B$4,'ENTRY DATA'!GH24&lt;='TABEL KONVERSI'!$C$4),2,IF(AND(GH24&gt;='TABEL KONVERSI'!$B$5,'ENTRY DATA'!GH24&lt;='TABEL KONVERSI'!$C$5),3,IF(AND(GH24&gt;='TABEL KONVERSI'!$B$6,'ENTRY DATA'!GH24&lt;='TABEL KONVERSI'!$C$6),4,"")))),"-")</f>
        <v>-</v>
      </c>
      <c r="GK24" s="38" t="str">
        <f>IF(GI24&lt;&gt;"",IF(AND(GI24&gt;='TABEL KONVERSI'!$B$3,'ENTRY DATA'!GI24&lt;='TABEL KONVERSI'!$C$3),1,IF(AND(GI24&gt;='TABEL KONVERSI'!$B$4,'ENTRY DATA'!GI24&lt;='TABEL KONVERSI'!$C$4),2,IF(AND(GI24&gt;='TABEL KONVERSI'!$B$5,'ENTRY DATA'!GI24&lt;='TABEL KONVERSI'!$C$5),3,IF(AND(GI24&gt;='TABEL KONVERSI'!$B$6,'ENTRY DATA'!GI24&lt;='TABEL KONVERSI'!$C$6),4,"")))),"-")</f>
        <v>-</v>
      </c>
      <c r="GL24" s="38" t="str">
        <f t="shared" si="96"/>
        <v>-</v>
      </c>
      <c r="GM24" s="38" t="str">
        <f>VLOOKUP(GJ24,'TABEL KONVERSI'!$A$3:$D$7,4)</f>
        <v>-</v>
      </c>
      <c r="GN24" s="38" t="str">
        <f t="shared" si="97"/>
        <v>-</v>
      </c>
      <c r="GO24" s="38" t="str">
        <f>VLOOKUP(GK24,'TABEL KONVERSI'!$A$3:$D$7,4)</f>
        <v>-</v>
      </c>
      <c r="GP24" s="43">
        <f t="shared" si="0"/>
        <v>0</v>
      </c>
      <c r="GQ24" s="43">
        <f t="shared" si="1"/>
        <v>0</v>
      </c>
      <c r="GR24" s="43">
        <f t="shared" si="2"/>
        <v>0</v>
      </c>
      <c r="GS24" s="43">
        <f t="shared" si="3"/>
        <v>0</v>
      </c>
      <c r="GT24" s="43">
        <f t="shared" si="4"/>
        <v>0</v>
      </c>
      <c r="GU24" s="43">
        <f t="shared" si="5"/>
        <v>0</v>
      </c>
      <c r="GV24" s="43">
        <f t="shared" si="6"/>
        <v>0</v>
      </c>
      <c r="GW24" s="43">
        <f t="shared" si="7"/>
        <v>0</v>
      </c>
      <c r="GX24" s="43">
        <f t="shared" si="8"/>
        <v>0</v>
      </c>
      <c r="GY24" s="43">
        <f t="shared" si="9"/>
        <v>0</v>
      </c>
      <c r="GZ24" s="43">
        <f t="shared" si="10"/>
        <v>0</v>
      </c>
      <c r="HA24" s="43">
        <f t="shared" si="11"/>
        <v>0</v>
      </c>
      <c r="HB24" s="43">
        <f t="shared" si="12"/>
        <v>0</v>
      </c>
      <c r="HC24" s="43">
        <f t="shared" si="13"/>
        <v>0</v>
      </c>
      <c r="HD24" s="43">
        <f t="shared" si="14"/>
        <v>0</v>
      </c>
      <c r="HE24" s="43">
        <f t="shared" si="15"/>
        <v>0</v>
      </c>
      <c r="HF24" s="38">
        <f t="shared" si="98"/>
        <v>0</v>
      </c>
      <c r="HG24" s="38">
        <f t="shared" si="99"/>
        <v>0</v>
      </c>
      <c r="HH24" s="38">
        <f t="shared" si="100"/>
        <v>0</v>
      </c>
      <c r="HI24" s="39">
        <f t="shared" si="101"/>
        <v>0</v>
      </c>
      <c r="HJ24" s="44" t="str">
        <f t="shared" si="102"/>
        <v>-</v>
      </c>
      <c r="HK24" s="45" t="str">
        <f>VLOOKUP(HJ24,'TABEL KONVERSI'!$B$11:$D$15,2,0)</f>
        <v>-</v>
      </c>
      <c r="HL24" s="43">
        <f t="shared" si="16"/>
        <v>0</v>
      </c>
      <c r="HM24" s="43">
        <f t="shared" si="17"/>
        <v>0</v>
      </c>
      <c r="HN24" s="43">
        <f t="shared" si="18"/>
        <v>0</v>
      </c>
      <c r="HO24" s="43">
        <f t="shared" si="19"/>
        <v>0</v>
      </c>
      <c r="HP24" s="43">
        <f t="shared" si="20"/>
        <v>0</v>
      </c>
      <c r="HQ24" s="43">
        <f t="shared" si="21"/>
        <v>0</v>
      </c>
      <c r="HR24" s="43">
        <f t="shared" si="22"/>
        <v>0</v>
      </c>
      <c r="HS24" s="43">
        <f t="shared" si="23"/>
        <v>0</v>
      </c>
      <c r="HT24" s="43">
        <f t="shared" si="24"/>
        <v>0</v>
      </c>
      <c r="HU24" s="43">
        <f t="shared" si="25"/>
        <v>0</v>
      </c>
      <c r="HV24" s="43">
        <f t="shared" si="26"/>
        <v>0</v>
      </c>
      <c r="HW24" s="43">
        <f t="shared" si="27"/>
        <v>0</v>
      </c>
      <c r="HX24" s="43">
        <f t="shared" si="28"/>
        <v>0</v>
      </c>
      <c r="HY24" s="43">
        <f t="shared" si="29"/>
        <v>0</v>
      </c>
      <c r="HZ24" s="43">
        <f t="shared" si="30"/>
        <v>0</v>
      </c>
      <c r="IA24" s="43">
        <f t="shared" si="31"/>
        <v>0</v>
      </c>
      <c r="IB24" s="38">
        <f t="shared" si="103"/>
        <v>0</v>
      </c>
      <c r="IC24" s="38">
        <f t="shared" si="104"/>
        <v>0</v>
      </c>
      <c r="ID24" s="38">
        <f t="shared" si="105"/>
        <v>0</v>
      </c>
      <c r="IE24" s="38">
        <f t="shared" si="106"/>
        <v>0</v>
      </c>
      <c r="IF24" s="46" t="str">
        <f t="shared" si="107"/>
        <v>-</v>
      </c>
      <c r="IG24" s="45" t="str">
        <f>VLOOKUP(IF24,'TABEL KONVERSI'!$B$11:$D$15,3,0)</f>
        <v>-</v>
      </c>
      <c r="IH24" s="40" t="s">
        <v>223</v>
      </c>
      <c r="II24" s="41" t="s">
        <v>106</v>
      </c>
      <c r="IJ24" s="45" t="str">
        <f>IF(II24&lt;&gt;"",VLOOKUP(II24,'TABEL KONVERSI'!$A$19:$B$23,2,0),"")</f>
        <v>Aktif dalam mengikuti kegiatan</v>
      </c>
      <c r="IK24" s="47" t="s">
        <v>58</v>
      </c>
      <c r="IL24" s="50" t="s">
        <v>58</v>
      </c>
      <c r="IM24" s="45" t="str">
        <f>IF(IL24&lt;&gt;"",VLOOKUP(IL24,'TABEL KONVERSI'!$A$19:$B$23,2,0),"")</f>
        <v>-</v>
      </c>
      <c r="IN24" s="49" t="s">
        <v>58</v>
      </c>
      <c r="IO24" s="48" t="s">
        <v>58</v>
      </c>
      <c r="IP24" s="45" t="str">
        <f>IF(IO24&lt;&gt;"",VLOOKUP(IO24,'TABEL KONVERSI'!$A$19:$B$23,2,0),"")</f>
        <v>-</v>
      </c>
      <c r="IQ24" s="49" t="s">
        <v>58</v>
      </c>
      <c r="IR24" s="50" t="s">
        <v>58</v>
      </c>
      <c r="IS24" s="45" t="str">
        <f>IF(IR24&lt;&gt;"",VLOOKUP(IR24,'TABEL KONVERSI'!$A$19:$B$23,2,0),"")</f>
        <v>-</v>
      </c>
      <c r="IT24" s="49" t="s">
        <v>58</v>
      </c>
      <c r="IU24" s="50" t="s">
        <v>58</v>
      </c>
      <c r="IV24" s="45" t="str">
        <f>IF(IU24&lt;&gt;"",VLOOKUP(IU24,'TABEL KONVERSI'!$A$19:$B$23,2,0),"")</f>
        <v>-</v>
      </c>
      <c r="IW24" s="48" t="s">
        <v>58</v>
      </c>
      <c r="IX24" s="48" t="s">
        <v>58</v>
      </c>
      <c r="IY24" s="48" t="s">
        <v>58</v>
      </c>
      <c r="IZ24" s="47" t="s">
        <v>58</v>
      </c>
      <c r="JA24" s="45">
        <f t="shared" si="32"/>
        <v>0</v>
      </c>
      <c r="JB24" s="45">
        <f t="shared" si="33"/>
        <v>1</v>
      </c>
    </row>
    <row r="25" spans="1:262" x14ac:dyDescent="0.25">
      <c r="A25" s="33">
        <v>13</v>
      </c>
      <c r="B25" s="51"/>
      <c r="C25" s="51"/>
      <c r="D25" s="77"/>
      <c r="E25" s="52"/>
      <c r="F25" s="42"/>
      <c r="G25" s="37"/>
      <c r="H25" s="73"/>
      <c r="I25" s="73"/>
      <c r="J25" s="38" t="str">
        <f t="shared" si="34"/>
        <v/>
      </c>
      <c r="K25" s="38" t="str">
        <f t="shared" si="35"/>
        <v/>
      </c>
      <c r="L25" s="38" t="str">
        <f>IF(J25&lt;&gt;"",IF(AND(J25&gt;='TABEL KONVERSI'!$B$3,'ENTRY DATA'!J25&lt;='TABEL KONVERSI'!$C$3),1,IF(AND(J25&gt;='TABEL KONVERSI'!$B$4,'ENTRY DATA'!J25&lt;='TABEL KONVERSI'!$C$4),2,IF(AND(J25&gt;='TABEL KONVERSI'!$B$5,'ENTRY DATA'!J25&lt;='TABEL KONVERSI'!$C$5),3,IF(AND(J25&gt;='TABEL KONVERSI'!$B$6,'ENTRY DATA'!J25&lt;='TABEL KONVERSI'!$C$6),4,"")))),"-")</f>
        <v>-</v>
      </c>
      <c r="M25" s="38" t="str">
        <f>IF(K25&lt;&gt;"",IF(AND(K25&gt;='TABEL KONVERSI'!$B$3,'ENTRY DATA'!K25&lt;='TABEL KONVERSI'!$C$3),1,IF(AND(K25&gt;='TABEL KONVERSI'!$B$4,'ENTRY DATA'!K25&lt;='TABEL KONVERSI'!$C$4),2,IF(AND(K25&gt;='TABEL KONVERSI'!$B$5,'ENTRY DATA'!K25&lt;='TABEL KONVERSI'!$C$5),3,IF(AND(K25&gt;='TABEL KONVERSI'!$B$6,'ENTRY DATA'!K25&lt;='TABEL KONVERSI'!$C$6),4,"")))),"-")</f>
        <v>-</v>
      </c>
      <c r="N25" s="38" t="str">
        <f t="shared" si="36"/>
        <v>-</v>
      </c>
      <c r="O25" s="38" t="str">
        <f>VLOOKUP(L25,'TABEL KONVERSI'!$A$3:$D$7,4)</f>
        <v>-</v>
      </c>
      <c r="P25" s="38" t="str">
        <f t="shared" si="37"/>
        <v>-</v>
      </c>
      <c r="Q25" s="38" t="str">
        <f>VLOOKUP(M25,'TABEL KONVERSI'!$A$3:$D$7,4)</f>
        <v>-</v>
      </c>
      <c r="R25" s="42"/>
      <c r="S25" s="37"/>
      <c r="T25" s="73"/>
      <c r="U25" s="73"/>
      <c r="V25" s="38" t="str">
        <f t="shared" si="38"/>
        <v/>
      </c>
      <c r="W25" s="38" t="str">
        <f t="shared" si="39"/>
        <v/>
      </c>
      <c r="X25" s="38" t="str">
        <f>IF(V25&lt;&gt;"",IF(AND(V25&gt;='TABEL KONVERSI'!$B$3,'ENTRY DATA'!V25&lt;='TABEL KONVERSI'!$C$3),1,IF(AND(V25&gt;='TABEL KONVERSI'!$B$4,'ENTRY DATA'!V25&lt;='TABEL KONVERSI'!$C$4),2,IF(AND(V25&gt;='TABEL KONVERSI'!$B$5,'ENTRY DATA'!V25&lt;='TABEL KONVERSI'!$C$5),3,IF(AND(V25&gt;='TABEL KONVERSI'!$B$6,'ENTRY DATA'!V25&lt;='TABEL KONVERSI'!$C$6),4,"")))),"-")</f>
        <v>-</v>
      </c>
      <c r="Y25" s="38" t="str">
        <f>IF(W25&lt;&gt;"",IF(AND(W25&gt;='TABEL KONVERSI'!$B$3,'ENTRY DATA'!W25&lt;='TABEL KONVERSI'!$C$3),1,IF(AND(W25&gt;='TABEL KONVERSI'!$B$4,'ENTRY DATA'!W25&lt;='TABEL KONVERSI'!$C$4),2,IF(AND(W25&gt;='TABEL KONVERSI'!$B$5,'ENTRY DATA'!W25&lt;='TABEL KONVERSI'!$C$5),3,IF(AND(W25&gt;='TABEL KONVERSI'!$B$6,'ENTRY DATA'!W25&lt;='TABEL KONVERSI'!$C$6),4,"")))),"-")</f>
        <v>-</v>
      </c>
      <c r="Z25" s="38" t="str">
        <f t="shared" si="40"/>
        <v>-</v>
      </c>
      <c r="AA25" s="38" t="str">
        <f>VLOOKUP(X25,'TABEL KONVERSI'!$A$3:$D$7,4)</f>
        <v>-</v>
      </c>
      <c r="AB25" s="38" t="str">
        <f t="shared" si="41"/>
        <v>-</v>
      </c>
      <c r="AC25" s="38" t="str">
        <f>VLOOKUP(Y25,'TABEL KONVERSI'!$A$3:$D$7,4)</f>
        <v>-</v>
      </c>
      <c r="AD25" s="42"/>
      <c r="AE25" s="37"/>
      <c r="AF25" s="73"/>
      <c r="AG25" s="73"/>
      <c r="AH25" s="38" t="str">
        <f t="shared" si="42"/>
        <v/>
      </c>
      <c r="AI25" s="38" t="str">
        <f t="shared" si="43"/>
        <v/>
      </c>
      <c r="AJ25" s="38" t="str">
        <f>IF(AH25&lt;&gt;"",IF(AND(AH25&gt;='TABEL KONVERSI'!$B$3,'ENTRY DATA'!AH25&lt;='TABEL KONVERSI'!$C$3),1,IF(AND(AH25&gt;='TABEL KONVERSI'!$B$4,'ENTRY DATA'!AH25&lt;='TABEL KONVERSI'!$C$4),2,IF(AND(AH25&gt;='TABEL KONVERSI'!$B$5,'ENTRY DATA'!AH25&lt;='TABEL KONVERSI'!$C$5),3,IF(AND(AH25&gt;='TABEL KONVERSI'!$B$6,'ENTRY DATA'!AH25&lt;='TABEL KONVERSI'!$C$6),4,"")))),"-")</f>
        <v>-</v>
      </c>
      <c r="AK25" s="38" t="str">
        <f>IF(AI25&lt;&gt;"",IF(AND(AI25&gt;='TABEL KONVERSI'!$B$3,'ENTRY DATA'!AI25&lt;='TABEL KONVERSI'!$C$3),1,IF(AND(AI25&gt;='TABEL KONVERSI'!$B$4,'ENTRY DATA'!AI25&lt;='TABEL KONVERSI'!$C$4),2,IF(AND(AI25&gt;='TABEL KONVERSI'!$B$5,'ENTRY DATA'!AI25&lt;='TABEL KONVERSI'!$C$5),3,IF(AND(AI25&gt;='TABEL KONVERSI'!$B$6,'ENTRY DATA'!AI25&lt;='TABEL KONVERSI'!$C$6),4,"")))),"-")</f>
        <v>-</v>
      </c>
      <c r="AL25" s="38" t="str">
        <f t="shared" si="44"/>
        <v>-</v>
      </c>
      <c r="AM25" s="38" t="str">
        <f>VLOOKUP(AJ25,'TABEL KONVERSI'!$A$3:$D$7,4)</f>
        <v>-</v>
      </c>
      <c r="AN25" s="38" t="str">
        <f t="shared" si="45"/>
        <v>-</v>
      </c>
      <c r="AO25" s="38" t="str">
        <f>VLOOKUP(AK25,'TABEL KONVERSI'!$A$3:$D$7,4)</f>
        <v>-</v>
      </c>
      <c r="AP25" s="42"/>
      <c r="AQ25" s="37"/>
      <c r="AR25" s="73"/>
      <c r="AS25" s="73"/>
      <c r="AT25" s="38" t="str">
        <f t="shared" si="46"/>
        <v/>
      </c>
      <c r="AU25" s="38" t="str">
        <f t="shared" si="47"/>
        <v/>
      </c>
      <c r="AV25" s="38" t="str">
        <f>IF(AT25&lt;&gt;"",IF(AND(AT25&gt;='TABEL KONVERSI'!$B$3,'ENTRY DATA'!AT25&lt;='TABEL KONVERSI'!$C$3),1,IF(AND(AT25&gt;='TABEL KONVERSI'!$B$4,'ENTRY DATA'!AT25&lt;='TABEL KONVERSI'!$C$4),2,IF(AND(AT25&gt;='TABEL KONVERSI'!$B$5,'ENTRY DATA'!AT25&lt;='TABEL KONVERSI'!$C$5),3,IF(AND(AT25&gt;='TABEL KONVERSI'!$B$6,'ENTRY DATA'!AT25&lt;='TABEL KONVERSI'!$C$6),4,"")))),"-")</f>
        <v>-</v>
      </c>
      <c r="AW25" s="38" t="str">
        <f>IF(AU25&lt;&gt;"",IF(AND(AU25&gt;='TABEL KONVERSI'!$B$3,'ENTRY DATA'!AU25&lt;='TABEL KONVERSI'!$C$3),1,IF(AND(AU25&gt;='TABEL KONVERSI'!$B$4,'ENTRY DATA'!AU25&lt;='TABEL KONVERSI'!$C$4),2,IF(AND(AU25&gt;='TABEL KONVERSI'!$B$5,'ENTRY DATA'!AU25&lt;='TABEL KONVERSI'!$C$5),3,IF(AND(AU25&gt;='TABEL KONVERSI'!$B$6,'ENTRY DATA'!AU25&lt;='TABEL KONVERSI'!$C$6),4,"")))),"-")</f>
        <v>-</v>
      </c>
      <c r="AX25" s="38" t="str">
        <f t="shared" si="48"/>
        <v>-</v>
      </c>
      <c r="AY25" s="38" t="str">
        <f>VLOOKUP(AV25,'TABEL KONVERSI'!$A$3:$D$7,4)</f>
        <v>-</v>
      </c>
      <c r="AZ25" s="38" t="str">
        <f t="shared" si="49"/>
        <v>-</v>
      </c>
      <c r="BA25" s="38" t="str">
        <f>VLOOKUP(AW25,'TABEL KONVERSI'!$A$3:$D$7,4)</f>
        <v>-</v>
      </c>
      <c r="BB25" s="42"/>
      <c r="BC25" s="37"/>
      <c r="BD25" s="73"/>
      <c r="BE25" s="73"/>
      <c r="BF25" s="38" t="str">
        <f t="shared" si="50"/>
        <v/>
      </c>
      <c r="BG25" s="38" t="str">
        <f t="shared" si="51"/>
        <v/>
      </c>
      <c r="BH25" s="38" t="str">
        <f>IF(BF25&lt;&gt;"",IF(AND(BF25&gt;='TABEL KONVERSI'!$B$3,'ENTRY DATA'!BF25&lt;='TABEL KONVERSI'!$C$3),1,IF(AND(BF25&gt;='TABEL KONVERSI'!$B$4,'ENTRY DATA'!BF25&lt;='TABEL KONVERSI'!$C$4),2,IF(AND(BF25&gt;='TABEL KONVERSI'!$B$5,'ENTRY DATA'!BF25&lt;='TABEL KONVERSI'!$C$5),3,IF(AND(BF25&gt;='TABEL KONVERSI'!$B$6,'ENTRY DATA'!BF25&lt;='TABEL KONVERSI'!$C$6),4,"")))),"-")</f>
        <v>-</v>
      </c>
      <c r="BI25" s="38" t="str">
        <f>IF(BG25&lt;&gt;"",IF(AND(BG25&gt;='TABEL KONVERSI'!$B$3,'ENTRY DATA'!BG25&lt;='TABEL KONVERSI'!$C$3),1,IF(AND(BG25&gt;='TABEL KONVERSI'!$B$4,'ENTRY DATA'!BG25&lt;='TABEL KONVERSI'!$C$4),2,IF(AND(BG25&gt;='TABEL KONVERSI'!$B$5,'ENTRY DATA'!BG25&lt;='TABEL KONVERSI'!$C$5),3,IF(AND(BG25&gt;='TABEL KONVERSI'!$B$6,'ENTRY DATA'!BG25&lt;='TABEL KONVERSI'!$C$6),4,"")))),"-")</f>
        <v>-</v>
      </c>
      <c r="BJ25" s="38" t="str">
        <f t="shared" si="52"/>
        <v>-</v>
      </c>
      <c r="BK25" s="38" t="str">
        <f>VLOOKUP(BH25,'TABEL KONVERSI'!$A$3:$D$7,4)</f>
        <v>-</v>
      </c>
      <c r="BL25" s="38" t="str">
        <f t="shared" si="53"/>
        <v>-</v>
      </c>
      <c r="BM25" s="38" t="str">
        <f>VLOOKUP(BI25,'TABEL KONVERSI'!$A$3:$D$7,4)</f>
        <v>-</v>
      </c>
      <c r="BN25" s="42"/>
      <c r="BO25" s="37"/>
      <c r="BP25" s="73"/>
      <c r="BQ25" s="73"/>
      <c r="BR25" s="38" t="str">
        <f t="shared" si="54"/>
        <v/>
      </c>
      <c r="BS25" s="38" t="str">
        <f t="shared" si="55"/>
        <v/>
      </c>
      <c r="BT25" s="38" t="str">
        <f>IF(BR25&lt;&gt;"",IF(AND(BR25&gt;='TABEL KONVERSI'!$B$3,'ENTRY DATA'!BR25&lt;='TABEL KONVERSI'!$C$3),1,IF(AND(BR25&gt;='TABEL KONVERSI'!$B$4,'ENTRY DATA'!BR25&lt;='TABEL KONVERSI'!$C$4),2,IF(AND(BR25&gt;='TABEL KONVERSI'!$B$5,'ENTRY DATA'!BR25&lt;='TABEL KONVERSI'!$C$5),3,IF(AND(BR25&gt;='TABEL KONVERSI'!$B$6,'ENTRY DATA'!BR25&lt;='TABEL KONVERSI'!$C$6),4,"")))),"-")</f>
        <v>-</v>
      </c>
      <c r="BU25" s="38" t="str">
        <f>IF(BS25&lt;&gt;"",IF(AND(BS25&gt;='TABEL KONVERSI'!$B$3,'ENTRY DATA'!BS25&lt;='TABEL KONVERSI'!$C$3),1,IF(AND(BS25&gt;='TABEL KONVERSI'!$B$4,'ENTRY DATA'!BS25&lt;='TABEL KONVERSI'!$C$4),2,IF(AND(BS25&gt;='TABEL KONVERSI'!$B$5,'ENTRY DATA'!BS25&lt;='TABEL KONVERSI'!$C$5),3,IF(AND(BS25&gt;='TABEL KONVERSI'!$B$6,'ENTRY DATA'!BS25&lt;='TABEL KONVERSI'!$C$6),4,"")))),"-")</f>
        <v>-</v>
      </c>
      <c r="BV25" s="38" t="str">
        <f t="shared" si="56"/>
        <v>-</v>
      </c>
      <c r="BW25" s="38" t="str">
        <f>VLOOKUP(BT25,'TABEL KONVERSI'!$A$3:$D$7,4)</f>
        <v>-</v>
      </c>
      <c r="BX25" s="38" t="str">
        <f t="shared" si="57"/>
        <v>-</v>
      </c>
      <c r="BY25" s="38" t="str">
        <f>VLOOKUP(BU25,'TABEL KONVERSI'!$A$3:$D$7,4)</f>
        <v>-</v>
      </c>
      <c r="BZ25" s="42"/>
      <c r="CA25" s="37"/>
      <c r="CB25" s="73"/>
      <c r="CC25" s="73"/>
      <c r="CD25" s="38" t="str">
        <f t="shared" si="58"/>
        <v/>
      </c>
      <c r="CE25" s="38" t="str">
        <f t="shared" si="59"/>
        <v/>
      </c>
      <c r="CF25" s="38" t="str">
        <f>IF(CD25&lt;&gt;"",IF(AND(CD25&gt;='TABEL KONVERSI'!$B$3,'ENTRY DATA'!CD25&lt;='TABEL KONVERSI'!$C$3),1,IF(AND(CD25&gt;='TABEL KONVERSI'!$B$4,'ENTRY DATA'!CD25&lt;='TABEL KONVERSI'!$C$4),2,IF(AND(CD25&gt;='TABEL KONVERSI'!$B$5,'ENTRY DATA'!CD25&lt;='TABEL KONVERSI'!$C$5),3,IF(AND(CD25&gt;='TABEL KONVERSI'!$B$6,'ENTRY DATA'!CD25&lt;='TABEL KONVERSI'!$C$6),4,"")))),"-")</f>
        <v>-</v>
      </c>
      <c r="CG25" s="38" t="str">
        <f>IF(CE25&lt;&gt;"",IF(AND(CE25&gt;='TABEL KONVERSI'!$B$3,'ENTRY DATA'!CE25&lt;='TABEL KONVERSI'!$C$3),1,IF(AND(CE25&gt;='TABEL KONVERSI'!$B$4,'ENTRY DATA'!CE25&lt;='TABEL KONVERSI'!$C$4),2,IF(AND(CE25&gt;='TABEL KONVERSI'!$B$5,'ENTRY DATA'!CE25&lt;='TABEL KONVERSI'!$C$5),3,IF(AND(CE25&gt;='TABEL KONVERSI'!$B$6,'ENTRY DATA'!CE25&lt;='TABEL KONVERSI'!$C$6),4,"")))),"-")</f>
        <v>-</v>
      </c>
      <c r="CH25" s="38" t="str">
        <f t="shared" si="60"/>
        <v>-</v>
      </c>
      <c r="CI25" s="38" t="str">
        <f>VLOOKUP(CF25,'TABEL KONVERSI'!$A$3:$D$7,4)</f>
        <v>-</v>
      </c>
      <c r="CJ25" s="38" t="str">
        <f t="shared" si="61"/>
        <v>-</v>
      </c>
      <c r="CK25" s="38" t="str">
        <f>VLOOKUP(CG25,'TABEL KONVERSI'!$A$3:$D$7,4)</f>
        <v>-</v>
      </c>
      <c r="CL25" s="42"/>
      <c r="CM25" s="37"/>
      <c r="CN25" s="73"/>
      <c r="CO25" s="73"/>
      <c r="CP25" s="38" t="str">
        <f t="shared" si="62"/>
        <v/>
      </c>
      <c r="CQ25" s="38" t="str">
        <f t="shared" si="63"/>
        <v/>
      </c>
      <c r="CR25" s="38" t="str">
        <f>IF(CP25&lt;&gt;"",IF(AND(CP25&gt;='TABEL KONVERSI'!$B$3,'ENTRY DATA'!CP25&lt;='TABEL KONVERSI'!$C$3),1,IF(AND(CP25&gt;='TABEL KONVERSI'!$B$4,'ENTRY DATA'!CP25&lt;='TABEL KONVERSI'!$C$4),2,IF(AND(CP25&gt;='TABEL KONVERSI'!$B$5,'ENTRY DATA'!CP25&lt;='TABEL KONVERSI'!$C$5),3,IF(AND(CP25&gt;='TABEL KONVERSI'!$B$6,'ENTRY DATA'!CP25&lt;='TABEL KONVERSI'!$C$6),4,"")))),"-")</f>
        <v>-</v>
      </c>
      <c r="CS25" s="38" t="str">
        <f>IF(CQ25&lt;&gt;"",IF(AND(CQ25&gt;='TABEL KONVERSI'!$B$3,'ENTRY DATA'!CQ25&lt;='TABEL KONVERSI'!$C$3),1,IF(AND(CQ25&gt;='TABEL KONVERSI'!$B$4,'ENTRY DATA'!CQ25&lt;='TABEL KONVERSI'!$C$4),2,IF(AND(CQ25&gt;='TABEL KONVERSI'!$B$5,'ENTRY DATA'!CQ25&lt;='TABEL KONVERSI'!$C$5),3,IF(AND(CQ25&gt;='TABEL KONVERSI'!$B$6,'ENTRY DATA'!CQ25&lt;='TABEL KONVERSI'!$C$6),4,"")))),"-")</f>
        <v>-</v>
      </c>
      <c r="CT25" s="38" t="str">
        <f t="shared" si="64"/>
        <v>-</v>
      </c>
      <c r="CU25" s="38" t="str">
        <f>VLOOKUP(CR25,'TABEL KONVERSI'!$A$3:$D$7,4)</f>
        <v>-</v>
      </c>
      <c r="CV25" s="38" t="str">
        <f t="shared" si="65"/>
        <v>-</v>
      </c>
      <c r="CW25" s="38" t="str">
        <f>VLOOKUP(CS25,'TABEL KONVERSI'!$A$3:$D$7,4)</f>
        <v>-</v>
      </c>
      <c r="CX25" s="42"/>
      <c r="CY25" s="37"/>
      <c r="CZ25" s="73"/>
      <c r="DA25" s="73"/>
      <c r="DB25" s="38" t="str">
        <f t="shared" si="66"/>
        <v/>
      </c>
      <c r="DC25" s="38" t="str">
        <f t="shared" si="67"/>
        <v/>
      </c>
      <c r="DD25" s="38" t="str">
        <f>IF(DB25&lt;&gt;"",IF(AND(DB25&gt;='TABEL KONVERSI'!$B$3,'ENTRY DATA'!DB25&lt;='TABEL KONVERSI'!$C$3),1,IF(AND(DB25&gt;='TABEL KONVERSI'!$B$4,'ENTRY DATA'!DB25&lt;='TABEL KONVERSI'!$C$4),2,IF(AND(DB25&gt;='TABEL KONVERSI'!$B$5,'ENTRY DATA'!DB25&lt;='TABEL KONVERSI'!$C$5),3,IF(AND(DB25&gt;='TABEL KONVERSI'!$B$6,'ENTRY DATA'!DB25&lt;='TABEL KONVERSI'!$C$6),4,"")))),"-")</f>
        <v>-</v>
      </c>
      <c r="DE25" s="38" t="str">
        <f>IF(DC25&lt;&gt;"",IF(AND(DC25&gt;='TABEL KONVERSI'!$B$3,'ENTRY DATA'!DC25&lt;='TABEL KONVERSI'!$C$3),1,IF(AND(DC25&gt;='TABEL KONVERSI'!$B$4,'ENTRY DATA'!DC25&lt;='TABEL KONVERSI'!$C$4),2,IF(AND(DC25&gt;='TABEL KONVERSI'!$B$5,'ENTRY DATA'!DC25&lt;='TABEL KONVERSI'!$C$5),3,IF(AND(DC25&gt;='TABEL KONVERSI'!$B$6,'ENTRY DATA'!DC25&lt;='TABEL KONVERSI'!$C$6),4,"")))),"-")</f>
        <v>-</v>
      </c>
      <c r="DF25" s="38" t="str">
        <f t="shared" si="68"/>
        <v>-</v>
      </c>
      <c r="DG25" s="38" t="str">
        <f>VLOOKUP(DD25,'TABEL KONVERSI'!$A$3:$D$7,4)</f>
        <v>-</v>
      </c>
      <c r="DH25" s="38" t="str">
        <f t="shared" si="69"/>
        <v>-</v>
      </c>
      <c r="DI25" s="38" t="str">
        <f>VLOOKUP(DE25,'TABEL KONVERSI'!$A$3:$D$7,4)</f>
        <v>-</v>
      </c>
      <c r="DJ25" s="42"/>
      <c r="DK25" s="37"/>
      <c r="DL25" s="73"/>
      <c r="DM25" s="73"/>
      <c r="DN25" s="38" t="str">
        <f t="shared" si="70"/>
        <v/>
      </c>
      <c r="DO25" s="38" t="str">
        <f t="shared" si="71"/>
        <v/>
      </c>
      <c r="DP25" s="38" t="str">
        <f>IF(DN25&lt;&gt;"",IF(AND(DN25&gt;='TABEL KONVERSI'!$B$3,'ENTRY DATA'!DN25&lt;='TABEL KONVERSI'!$C$3),1,IF(AND(DN25&gt;='TABEL KONVERSI'!$B$4,'ENTRY DATA'!DN25&lt;='TABEL KONVERSI'!$C$4),2,IF(AND(DN25&gt;='TABEL KONVERSI'!$B$5,'ENTRY DATA'!DN25&lt;='TABEL KONVERSI'!$C$5),3,IF(AND(DN25&gt;='TABEL KONVERSI'!$B$6,'ENTRY DATA'!DN25&lt;='TABEL KONVERSI'!$C$6),4,"")))),"-")</f>
        <v>-</v>
      </c>
      <c r="DQ25" s="38" t="str">
        <f>IF(DO25&lt;&gt;"",IF(AND(DO25&gt;='TABEL KONVERSI'!$B$3,'ENTRY DATA'!DO25&lt;='TABEL KONVERSI'!$C$3),1,IF(AND(DO25&gt;='TABEL KONVERSI'!$B$4,'ENTRY DATA'!DO25&lt;='TABEL KONVERSI'!$C$4),2,IF(AND(DO25&gt;='TABEL KONVERSI'!$B$5,'ENTRY DATA'!DO25&lt;='TABEL KONVERSI'!$C$5),3,IF(AND(DO25&gt;='TABEL KONVERSI'!$B$6,'ENTRY DATA'!DO25&lt;='TABEL KONVERSI'!$C$6),4,"")))),"-")</f>
        <v>-</v>
      </c>
      <c r="DR25" s="38" t="str">
        <f t="shared" si="72"/>
        <v>-</v>
      </c>
      <c r="DS25" s="38" t="str">
        <f>VLOOKUP(DP25,'TABEL KONVERSI'!$A$3:$D$7,4)</f>
        <v>-</v>
      </c>
      <c r="DT25" s="38" t="str">
        <f t="shared" si="73"/>
        <v>-</v>
      </c>
      <c r="DU25" s="38" t="str">
        <f>VLOOKUP(DQ25,'TABEL KONVERSI'!$A$3:$D$7,4)</f>
        <v>-</v>
      </c>
      <c r="DV25" s="42"/>
      <c r="DW25" s="37"/>
      <c r="DX25" s="73"/>
      <c r="DY25" s="73"/>
      <c r="DZ25" s="38" t="str">
        <f t="shared" si="74"/>
        <v/>
      </c>
      <c r="EA25" s="38" t="str">
        <f t="shared" si="75"/>
        <v/>
      </c>
      <c r="EB25" s="38" t="str">
        <f>IF(DZ25&lt;&gt;"",IF(AND(DZ25&gt;='TABEL KONVERSI'!$B$3,'ENTRY DATA'!DZ25&lt;='TABEL KONVERSI'!$C$3),1,IF(AND(DZ25&gt;='TABEL KONVERSI'!$B$4,'ENTRY DATA'!DZ25&lt;='TABEL KONVERSI'!$C$4),2,IF(AND(DZ25&gt;='TABEL KONVERSI'!$B$5,'ENTRY DATA'!DZ25&lt;='TABEL KONVERSI'!$C$5),3,IF(AND(DZ25&gt;='TABEL KONVERSI'!$B$6,'ENTRY DATA'!DZ25&lt;='TABEL KONVERSI'!$C$6),4,"")))),"-")</f>
        <v>-</v>
      </c>
      <c r="EC25" s="38" t="str">
        <f>IF(EA25&lt;&gt;"",IF(AND(EA25&gt;='TABEL KONVERSI'!$B$3,'ENTRY DATA'!EA25&lt;='TABEL KONVERSI'!$C$3),1,IF(AND(EA25&gt;='TABEL KONVERSI'!$B$4,'ENTRY DATA'!EA25&lt;='TABEL KONVERSI'!$C$4),2,IF(AND(EA25&gt;='TABEL KONVERSI'!$B$5,'ENTRY DATA'!EA25&lt;='TABEL KONVERSI'!$C$5),3,IF(AND(EA25&gt;='TABEL KONVERSI'!$B$6,'ENTRY DATA'!EA25&lt;='TABEL KONVERSI'!$C$6),4,"")))),"-")</f>
        <v>-</v>
      </c>
      <c r="ED25" s="38" t="str">
        <f t="shared" si="76"/>
        <v>-</v>
      </c>
      <c r="EE25" s="38" t="str">
        <f>VLOOKUP(EB25,'TABEL KONVERSI'!$A$3:$D$7,4)</f>
        <v>-</v>
      </c>
      <c r="EF25" s="38" t="str">
        <f t="shared" si="77"/>
        <v>-</v>
      </c>
      <c r="EG25" s="38" t="str">
        <f>VLOOKUP(EC25,'TABEL KONVERSI'!$A$3:$D$7,4)</f>
        <v>-</v>
      </c>
      <c r="EH25" s="42"/>
      <c r="EI25" s="37"/>
      <c r="EJ25" s="73"/>
      <c r="EK25" s="73"/>
      <c r="EL25" s="38" t="str">
        <f t="shared" si="78"/>
        <v/>
      </c>
      <c r="EM25" s="38" t="str">
        <f t="shared" si="79"/>
        <v/>
      </c>
      <c r="EN25" s="38" t="str">
        <f>IF(EL25&lt;&gt;"",IF(AND(EL25&gt;='TABEL KONVERSI'!$B$3,'ENTRY DATA'!EL25&lt;='TABEL KONVERSI'!$C$3),1,IF(AND(EL25&gt;='TABEL KONVERSI'!$B$4,'ENTRY DATA'!EL25&lt;='TABEL KONVERSI'!$C$4),2,IF(AND(EL25&gt;='TABEL KONVERSI'!$B$5,'ENTRY DATA'!EL25&lt;='TABEL KONVERSI'!$C$5),3,IF(AND(EL25&gt;='TABEL KONVERSI'!$B$6,'ENTRY DATA'!EL25&lt;='TABEL KONVERSI'!$C$6),4,"")))),"-")</f>
        <v>-</v>
      </c>
      <c r="EO25" s="38" t="str">
        <f>IF(EM25&lt;&gt;"",IF(AND(EM25&gt;='TABEL KONVERSI'!$B$3,'ENTRY DATA'!EM25&lt;='TABEL KONVERSI'!$C$3),1,IF(AND(EM25&gt;='TABEL KONVERSI'!$B$4,'ENTRY DATA'!EM25&lt;='TABEL KONVERSI'!$C$4),2,IF(AND(EM25&gt;='TABEL KONVERSI'!$B$5,'ENTRY DATA'!EM25&lt;='TABEL KONVERSI'!$C$5),3,IF(AND(EM25&gt;='TABEL KONVERSI'!$B$6,'ENTRY DATA'!EM25&lt;='TABEL KONVERSI'!$C$6),4,"")))),"-")</f>
        <v>-</v>
      </c>
      <c r="EP25" s="38" t="str">
        <f t="shared" si="80"/>
        <v>-</v>
      </c>
      <c r="EQ25" s="38" t="str">
        <f>VLOOKUP(EN25,'TABEL KONVERSI'!$A$3:$D$7,4)</f>
        <v>-</v>
      </c>
      <c r="ER25" s="38" t="str">
        <f t="shared" si="81"/>
        <v>-</v>
      </c>
      <c r="ES25" s="38" t="str">
        <f>VLOOKUP(EO25,'TABEL KONVERSI'!$A$3:$D$7,4)</f>
        <v>-</v>
      </c>
      <c r="ET25" s="42"/>
      <c r="EU25" s="37"/>
      <c r="EV25" s="73"/>
      <c r="EW25" s="73"/>
      <c r="EX25" s="38" t="str">
        <f t="shared" si="82"/>
        <v/>
      </c>
      <c r="EY25" s="38" t="str">
        <f t="shared" si="83"/>
        <v/>
      </c>
      <c r="EZ25" s="38" t="str">
        <f>IF(EX25&lt;&gt;"",IF(AND(EX25&gt;='TABEL KONVERSI'!$B$3,'ENTRY DATA'!EX25&lt;='TABEL KONVERSI'!$C$3),1,IF(AND(EX25&gt;='TABEL KONVERSI'!$B$4,'ENTRY DATA'!EX25&lt;='TABEL KONVERSI'!$C$4),2,IF(AND(EX25&gt;='TABEL KONVERSI'!$B$5,'ENTRY DATA'!EX25&lt;='TABEL KONVERSI'!$C$5),3,IF(AND(EX25&gt;='TABEL KONVERSI'!$B$6,'ENTRY DATA'!EX25&lt;='TABEL KONVERSI'!$C$6),4,"")))),"-")</f>
        <v>-</v>
      </c>
      <c r="FA25" s="38" t="str">
        <f>IF(EY25&lt;&gt;"",IF(AND(EY25&gt;='TABEL KONVERSI'!$B$3,'ENTRY DATA'!EY25&lt;='TABEL KONVERSI'!$C$3),1,IF(AND(EY25&gt;='TABEL KONVERSI'!$B$4,'ENTRY DATA'!EY25&lt;='TABEL KONVERSI'!$C$4),2,IF(AND(EY25&gt;='TABEL KONVERSI'!$B$5,'ENTRY DATA'!EY25&lt;='TABEL KONVERSI'!$C$5),3,IF(AND(EY25&gt;='TABEL KONVERSI'!$B$6,'ENTRY DATA'!EY25&lt;='TABEL KONVERSI'!$C$6),4,"")))),"-")</f>
        <v>-</v>
      </c>
      <c r="FB25" s="38" t="str">
        <f t="shared" si="84"/>
        <v>-</v>
      </c>
      <c r="FC25" s="38" t="str">
        <f>VLOOKUP(EZ25,'TABEL KONVERSI'!$A$3:$D$7,4)</f>
        <v>-</v>
      </c>
      <c r="FD25" s="38" t="str">
        <f t="shared" si="85"/>
        <v>-</v>
      </c>
      <c r="FE25" s="38" t="str">
        <f>VLOOKUP(FA25,'TABEL KONVERSI'!$A$3:$D$7,4)</f>
        <v>-</v>
      </c>
      <c r="FF25" s="42"/>
      <c r="FG25" s="37"/>
      <c r="FH25" s="73"/>
      <c r="FI25" s="73"/>
      <c r="FJ25" s="38" t="str">
        <f t="shared" si="86"/>
        <v/>
      </c>
      <c r="FK25" s="38" t="str">
        <f t="shared" si="87"/>
        <v/>
      </c>
      <c r="FL25" s="38" t="str">
        <f>IF(FJ25&lt;&gt;"",IF(AND(FJ25&gt;='TABEL KONVERSI'!$B$3,'ENTRY DATA'!FJ25&lt;='TABEL KONVERSI'!$C$3),1,IF(AND(FJ25&gt;='TABEL KONVERSI'!$B$4,'ENTRY DATA'!FJ25&lt;='TABEL KONVERSI'!$C$4),2,IF(AND(FJ25&gt;='TABEL KONVERSI'!$B$5,'ENTRY DATA'!FJ25&lt;='TABEL KONVERSI'!$C$5),3,IF(AND(FJ25&gt;='TABEL KONVERSI'!$B$6,'ENTRY DATA'!FJ25&lt;='TABEL KONVERSI'!$C$6),4,"")))),"-")</f>
        <v>-</v>
      </c>
      <c r="FM25" s="38" t="str">
        <f>IF(FK25&lt;&gt;"",IF(AND(FK25&gt;='TABEL KONVERSI'!$B$3,'ENTRY DATA'!FK25&lt;='TABEL KONVERSI'!$C$3),1,IF(AND(FK25&gt;='TABEL KONVERSI'!$B$4,'ENTRY DATA'!FK25&lt;='TABEL KONVERSI'!$C$4),2,IF(AND(FK25&gt;='TABEL KONVERSI'!$B$5,'ENTRY DATA'!FK25&lt;='TABEL KONVERSI'!$C$5),3,IF(AND(FK25&gt;='TABEL KONVERSI'!$B$6,'ENTRY DATA'!FK25&lt;='TABEL KONVERSI'!$C$6),4,"")))),"-")</f>
        <v>-</v>
      </c>
      <c r="FN25" s="38" t="str">
        <f t="shared" si="88"/>
        <v>-</v>
      </c>
      <c r="FO25" s="38" t="str">
        <f>VLOOKUP(FL25,'TABEL KONVERSI'!$A$3:$D$7,4)</f>
        <v>-</v>
      </c>
      <c r="FP25" s="38" t="str">
        <f t="shared" si="89"/>
        <v>-</v>
      </c>
      <c r="FQ25" s="38" t="str">
        <f>VLOOKUP(FM25,'TABEL KONVERSI'!$A$3:$D$7,4)</f>
        <v>-</v>
      </c>
      <c r="FR25" s="42"/>
      <c r="FS25" s="37"/>
      <c r="FT25" s="73"/>
      <c r="FU25" s="73"/>
      <c r="FV25" s="38" t="str">
        <f t="shared" si="90"/>
        <v/>
      </c>
      <c r="FW25" s="38" t="str">
        <f t="shared" si="91"/>
        <v/>
      </c>
      <c r="FX25" s="38" t="str">
        <f>IF(FV25&lt;&gt;"",IF(AND(FV25&gt;='TABEL KONVERSI'!$B$3,'ENTRY DATA'!FV25&lt;='TABEL KONVERSI'!$C$3),1,IF(AND(FV25&gt;='TABEL KONVERSI'!$B$4,'ENTRY DATA'!FV25&lt;='TABEL KONVERSI'!$C$4),2,IF(AND(FV25&gt;='TABEL KONVERSI'!$B$5,'ENTRY DATA'!FV25&lt;='TABEL KONVERSI'!$C$5),3,IF(AND(FV25&gt;='TABEL KONVERSI'!$B$6,'ENTRY DATA'!FV25&lt;='TABEL KONVERSI'!$C$6),4,"")))),"-")</f>
        <v>-</v>
      </c>
      <c r="FY25" s="38" t="str">
        <f>IF(FW25&lt;&gt;"",IF(AND(FW25&gt;='TABEL KONVERSI'!$B$3,'ENTRY DATA'!FW25&lt;='TABEL KONVERSI'!$C$3),1,IF(AND(FW25&gt;='TABEL KONVERSI'!$B$4,'ENTRY DATA'!FW25&lt;='TABEL KONVERSI'!$C$4),2,IF(AND(FW25&gt;='TABEL KONVERSI'!$B$5,'ENTRY DATA'!FW25&lt;='TABEL KONVERSI'!$C$5),3,IF(AND(FW25&gt;='TABEL KONVERSI'!$B$6,'ENTRY DATA'!FW25&lt;='TABEL KONVERSI'!$C$6),4,"")))),"-")</f>
        <v>-</v>
      </c>
      <c r="FZ25" s="38" t="str">
        <f t="shared" si="92"/>
        <v>-</v>
      </c>
      <c r="GA25" s="38" t="str">
        <f>VLOOKUP(FX25,'TABEL KONVERSI'!$A$3:$D$7,4)</f>
        <v>-</v>
      </c>
      <c r="GB25" s="38" t="str">
        <f t="shared" si="93"/>
        <v>-</v>
      </c>
      <c r="GC25" s="38" t="str">
        <f>VLOOKUP(FY25,'TABEL KONVERSI'!$A$3:$D$7,4)</f>
        <v>-</v>
      </c>
      <c r="GD25" s="42"/>
      <c r="GE25" s="37"/>
      <c r="GF25" s="73"/>
      <c r="GG25" s="73"/>
      <c r="GH25" s="38" t="str">
        <f t="shared" si="94"/>
        <v/>
      </c>
      <c r="GI25" s="38" t="str">
        <f t="shared" si="95"/>
        <v/>
      </c>
      <c r="GJ25" s="38" t="str">
        <f>IF(GH25&lt;&gt;"",IF(AND(GH25&gt;='TABEL KONVERSI'!$B$3,'ENTRY DATA'!GH25&lt;='TABEL KONVERSI'!$C$3),1,IF(AND(GH25&gt;='TABEL KONVERSI'!$B$4,'ENTRY DATA'!GH25&lt;='TABEL KONVERSI'!$C$4),2,IF(AND(GH25&gt;='TABEL KONVERSI'!$B$5,'ENTRY DATA'!GH25&lt;='TABEL KONVERSI'!$C$5),3,IF(AND(GH25&gt;='TABEL KONVERSI'!$B$6,'ENTRY DATA'!GH25&lt;='TABEL KONVERSI'!$C$6),4,"")))),"-")</f>
        <v>-</v>
      </c>
      <c r="GK25" s="38" t="str">
        <f>IF(GI25&lt;&gt;"",IF(AND(GI25&gt;='TABEL KONVERSI'!$B$3,'ENTRY DATA'!GI25&lt;='TABEL KONVERSI'!$C$3),1,IF(AND(GI25&gt;='TABEL KONVERSI'!$B$4,'ENTRY DATA'!GI25&lt;='TABEL KONVERSI'!$C$4),2,IF(AND(GI25&gt;='TABEL KONVERSI'!$B$5,'ENTRY DATA'!GI25&lt;='TABEL KONVERSI'!$C$5),3,IF(AND(GI25&gt;='TABEL KONVERSI'!$B$6,'ENTRY DATA'!GI25&lt;='TABEL KONVERSI'!$C$6),4,"")))),"-")</f>
        <v>-</v>
      </c>
      <c r="GL25" s="38" t="str">
        <f t="shared" si="96"/>
        <v>-</v>
      </c>
      <c r="GM25" s="38" t="str">
        <f>VLOOKUP(GJ25,'TABEL KONVERSI'!$A$3:$D$7,4)</f>
        <v>-</v>
      </c>
      <c r="GN25" s="38" t="str">
        <f t="shared" si="97"/>
        <v>-</v>
      </c>
      <c r="GO25" s="38" t="str">
        <f>VLOOKUP(GK25,'TABEL KONVERSI'!$A$3:$D$7,4)</f>
        <v>-</v>
      </c>
      <c r="GP25" s="43">
        <f t="shared" si="0"/>
        <v>0</v>
      </c>
      <c r="GQ25" s="43">
        <f t="shared" si="1"/>
        <v>0</v>
      </c>
      <c r="GR25" s="43">
        <f t="shared" si="2"/>
        <v>0</v>
      </c>
      <c r="GS25" s="43">
        <f t="shared" si="3"/>
        <v>0</v>
      </c>
      <c r="GT25" s="43">
        <f t="shared" si="4"/>
        <v>0</v>
      </c>
      <c r="GU25" s="43">
        <f t="shared" si="5"/>
        <v>0</v>
      </c>
      <c r="GV25" s="43">
        <f t="shared" si="6"/>
        <v>0</v>
      </c>
      <c r="GW25" s="43">
        <f t="shared" si="7"/>
        <v>0</v>
      </c>
      <c r="GX25" s="43">
        <f t="shared" si="8"/>
        <v>0</v>
      </c>
      <c r="GY25" s="43">
        <f t="shared" si="9"/>
        <v>0</v>
      </c>
      <c r="GZ25" s="43">
        <f t="shared" si="10"/>
        <v>0</v>
      </c>
      <c r="HA25" s="43">
        <f t="shared" si="11"/>
        <v>0</v>
      </c>
      <c r="HB25" s="43">
        <f t="shared" si="12"/>
        <v>0</v>
      </c>
      <c r="HC25" s="43">
        <f t="shared" si="13"/>
        <v>0</v>
      </c>
      <c r="HD25" s="43">
        <f t="shared" si="14"/>
        <v>0</v>
      </c>
      <c r="HE25" s="43">
        <f t="shared" si="15"/>
        <v>0</v>
      </c>
      <c r="HF25" s="38">
        <f t="shared" si="98"/>
        <v>0</v>
      </c>
      <c r="HG25" s="38">
        <f t="shared" si="99"/>
        <v>0</v>
      </c>
      <c r="HH25" s="38">
        <f t="shared" si="100"/>
        <v>0</v>
      </c>
      <c r="HI25" s="39">
        <f t="shared" si="101"/>
        <v>0</v>
      </c>
      <c r="HJ25" s="44" t="str">
        <f t="shared" si="102"/>
        <v>-</v>
      </c>
      <c r="HK25" s="45" t="str">
        <f>VLOOKUP(HJ25,'TABEL KONVERSI'!$B$11:$D$15,2,0)</f>
        <v>-</v>
      </c>
      <c r="HL25" s="43">
        <f t="shared" si="16"/>
        <v>0</v>
      </c>
      <c r="HM25" s="43">
        <f t="shared" si="17"/>
        <v>0</v>
      </c>
      <c r="HN25" s="43">
        <f t="shared" si="18"/>
        <v>0</v>
      </c>
      <c r="HO25" s="43">
        <f t="shared" si="19"/>
        <v>0</v>
      </c>
      <c r="HP25" s="43">
        <f t="shared" si="20"/>
        <v>0</v>
      </c>
      <c r="HQ25" s="43">
        <f t="shared" si="21"/>
        <v>0</v>
      </c>
      <c r="HR25" s="43">
        <f t="shared" si="22"/>
        <v>0</v>
      </c>
      <c r="HS25" s="43">
        <f t="shared" si="23"/>
        <v>0</v>
      </c>
      <c r="HT25" s="43">
        <f t="shared" si="24"/>
        <v>0</v>
      </c>
      <c r="HU25" s="43">
        <f t="shared" si="25"/>
        <v>0</v>
      </c>
      <c r="HV25" s="43">
        <f t="shared" si="26"/>
        <v>0</v>
      </c>
      <c r="HW25" s="43">
        <f t="shared" si="27"/>
        <v>0</v>
      </c>
      <c r="HX25" s="43">
        <f t="shared" si="28"/>
        <v>0</v>
      </c>
      <c r="HY25" s="43">
        <f t="shared" si="29"/>
        <v>0</v>
      </c>
      <c r="HZ25" s="43">
        <f t="shared" si="30"/>
        <v>0</v>
      </c>
      <c r="IA25" s="43">
        <f t="shared" si="31"/>
        <v>0</v>
      </c>
      <c r="IB25" s="38">
        <f t="shared" si="103"/>
        <v>0</v>
      </c>
      <c r="IC25" s="38">
        <f t="shared" si="104"/>
        <v>0</v>
      </c>
      <c r="ID25" s="38">
        <f t="shared" si="105"/>
        <v>0</v>
      </c>
      <c r="IE25" s="38">
        <f t="shared" si="106"/>
        <v>0</v>
      </c>
      <c r="IF25" s="46" t="str">
        <f t="shared" si="107"/>
        <v>-</v>
      </c>
      <c r="IG25" s="45" t="str">
        <f>VLOOKUP(IF25,'TABEL KONVERSI'!$B$11:$D$15,3,0)</f>
        <v>-</v>
      </c>
      <c r="IH25" s="40" t="s">
        <v>223</v>
      </c>
      <c r="II25" s="41" t="s">
        <v>106</v>
      </c>
      <c r="IJ25" s="45" t="str">
        <f>IF(II25&lt;&gt;"",VLOOKUP(II25,'TABEL KONVERSI'!$A$19:$B$23,2,0),"")</f>
        <v>Aktif dalam mengikuti kegiatan</v>
      </c>
      <c r="IK25" s="47" t="s">
        <v>58</v>
      </c>
      <c r="IL25" s="50" t="s">
        <v>58</v>
      </c>
      <c r="IM25" s="45" t="str">
        <f>IF(IL25&lt;&gt;"",VLOOKUP(IL25,'TABEL KONVERSI'!$A$19:$B$23,2,0),"")</f>
        <v>-</v>
      </c>
      <c r="IN25" s="49" t="s">
        <v>58</v>
      </c>
      <c r="IO25" s="48" t="s">
        <v>58</v>
      </c>
      <c r="IP25" s="45" t="str">
        <f>IF(IO25&lt;&gt;"",VLOOKUP(IO25,'TABEL KONVERSI'!$A$19:$B$23,2,0),"")</f>
        <v>-</v>
      </c>
      <c r="IQ25" s="49" t="s">
        <v>58</v>
      </c>
      <c r="IR25" s="50" t="s">
        <v>58</v>
      </c>
      <c r="IS25" s="45" t="str">
        <f>IF(IR25&lt;&gt;"",VLOOKUP(IR25,'TABEL KONVERSI'!$A$19:$B$23,2,0),"")</f>
        <v>-</v>
      </c>
      <c r="IT25" s="49" t="s">
        <v>58</v>
      </c>
      <c r="IU25" s="50" t="s">
        <v>58</v>
      </c>
      <c r="IV25" s="45" t="str">
        <f>IF(IU25&lt;&gt;"",VLOOKUP(IU25,'TABEL KONVERSI'!$A$19:$B$23,2,0),"")</f>
        <v>-</v>
      </c>
      <c r="IW25" s="48" t="s">
        <v>58</v>
      </c>
      <c r="IX25" s="48" t="s">
        <v>58</v>
      </c>
      <c r="IY25" s="48" t="s">
        <v>58</v>
      </c>
      <c r="IZ25" s="47" t="s">
        <v>58</v>
      </c>
      <c r="JA25" s="45">
        <f t="shared" si="32"/>
        <v>0</v>
      </c>
      <c r="JB25" s="45">
        <f t="shared" si="33"/>
        <v>1</v>
      </c>
    </row>
    <row r="26" spans="1:262" x14ac:dyDescent="0.25">
      <c r="A26" s="33">
        <v>14</v>
      </c>
      <c r="B26" s="51"/>
      <c r="C26" s="51"/>
      <c r="D26" s="77"/>
      <c r="E26" s="52"/>
      <c r="F26" s="42"/>
      <c r="G26" s="37"/>
      <c r="H26" s="73"/>
      <c r="I26" s="73"/>
      <c r="J26" s="38" t="str">
        <f t="shared" si="34"/>
        <v/>
      </c>
      <c r="K26" s="38" t="str">
        <f t="shared" si="35"/>
        <v/>
      </c>
      <c r="L26" s="38" t="str">
        <f>IF(J26&lt;&gt;"",IF(AND(J26&gt;='TABEL KONVERSI'!$B$3,'ENTRY DATA'!J26&lt;='TABEL KONVERSI'!$C$3),1,IF(AND(J26&gt;='TABEL KONVERSI'!$B$4,'ENTRY DATA'!J26&lt;='TABEL KONVERSI'!$C$4),2,IF(AND(J26&gt;='TABEL KONVERSI'!$B$5,'ENTRY DATA'!J26&lt;='TABEL KONVERSI'!$C$5),3,IF(AND(J26&gt;='TABEL KONVERSI'!$B$6,'ENTRY DATA'!J26&lt;='TABEL KONVERSI'!$C$6),4,"")))),"-")</f>
        <v>-</v>
      </c>
      <c r="M26" s="38" t="str">
        <f>IF(K26&lt;&gt;"",IF(AND(K26&gt;='TABEL KONVERSI'!$B$3,'ENTRY DATA'!K26&lt;='TABEL KONVERSI'!$C$3),1,IF(AND(K26&gt;='TABEL KONVERSI'!$B$4,'ENTRY DATA'!K26&lt;='TABEL KONVERSI'!$C$4),2,IF(AND(K26&gt;='TABEL KONVERSI'!$B$5,'ENTRY DATA'!K26&lt;='TABEL KONVERSI'!$C$5),3,IF(AND(K26&gt;='TABEL KONVERSI'!$B$6,'ENTRY DATA'!K26&lt;='TABEL KONVERSI'!$C$6),4,"")))),"-")</f>
        <v>-</v>
      </c>
      <c r="N26" s="38" t="str">
        <f t="shared" si="36"/>
        <v>-</v>
      </c>
      <c r="O26" s="38" t="str">
        <f>VLOOKUP(L26,'TABEL KONVERSI'!$A$3:$D$7,4)</f>
        <v>-</v>
      </c>
      <c r="P26" s="38" t="str">
        <f t="shared" si="37"/>
        <v>-</v>
      </c>
      <c r="Q26" s="38" t="str">
        <f>VLOOKUP(M26,'TABEL KONVERSI'!$A$3:$D$7,4)</f>
        <v>-</v>
      </c>
      <c r="R26" s="42"/>
      <c r="S26" s="37"/>
      <c r="T26" s="73"/>
      <c r="U26" s="73"/>
      <c r="V26" s="38" t="str">
        <f t="shared" si="38"/>
        <v/>
      </c>
      <c r="W26" s="38" t="str">
        <f t="shared" si="39"/>
        <v/>
      </c>
      <c r="X26" s="38" t="str">
        <f>IF(V26&lt;&gt;"",IF(AND(V26&gt;='TABEL KONVERSI'!$B$3,'ENTRY DATA'!V26&lt;='TABEL KONVERSI'!$C$3),1,IF(AND(V26&gt;='TABEL KONVERSI'!$B$4,'ENTRY DATA'!V26&lt;='TABEL KONVERSI'!$C$4),2,IF(AND(V26&gt;='TABEL KONVERSI'!$B$5,'ENTRY DATA'!V26&lt;='TABEL KONVERSI'!$C$5),3,IF(AND(V26&gt;='TABEL KONVERSI'!$B$6,'ENTRY DATA'!V26&lt;='TABEL KONVERSI'!$C$6),4,"")))),"-")</f>
        <v>-</v>
      </c>
      <c r="Y26" s="38" t="str">
        <f>IF(W26&lt;&gt;"",IF(AND(W26&gt;='TABEL KONVERSI'!$B$3,'ENTRY DATA'!W26&lt;='TABEL KONVERSI'!$C$3),1,IF(AND(W26&gt;='TABEL KONVERSI'!$B$4,'ENTRY DATA'!W26&lt;='TABEL KONVERSI'!$C$4),2,IF(AND(W26&gt;='TABEL KONVERSI'!$B$5,'ENTRY DATA'!W26&lt;='TABEL KONVERSI'!$C$5),3,IF(AND(W26&gt;='TABEL KONVERSI'!$B$6,'ENTRY DATA'!W26&lt;='TABEL KONVERSI'!$C$6),4,"")))),"-")</f>
        <v>-</v>
      </c>
      <c r="Z26" s="38" t="str">
        <f t="shared" si="40"/>
        <v>-</v>
      </c>
      <c r="AA26" s="38" t="str">
        <f>VLOOKUP(X26,'TABEL KONVERSI'!$A$3:$D$7,4)</f>
        <v>-</v>
      </c>
      <c r="AB26" s="38" t="str">
        <f t="shared" si="41"/>
        <v>-</v>
      </c>
      <c r="AC26" s="38" t="str">
        <f>VLOOKUP(Y26,'TABEL KONVERSI'!$A$3:$D$7,4)</f>
        <v>-</v>
      </c>
      <c r="AD26" s="42"/>
      <c r="AE26" s="37"/>
      <c r="AF26" s="73"/>
      <c r="AG26" s="73"/>
      <c r="AH26" s="38" t="str">
        <f t="shared" si="42"/>
        <v/>
      </c>
      <c r="AI26" s="38" t="str">
        <f t="shared" si="43"/>
        <v/>
      </c>
      <c r="AJ26" s="38" t="str">
        <f>IF(AH26&lt;&gt;"",IF(AND(AH26&gt;='TABEL KONVERSI'!$B$3,'ENTRY DATA'!AH26&lt;='TABEL KONVERSI'!$C$3),1,IF(AND(AH26&gt;='TABEL KONVERSI'!$B$4,'ENTRY DATA'!AH26&lt;='TABEL KONVERSI'!$C$4),2,IF(AND(AH26&gt;='TABEL KONVERSI'!$B$5,'ENTRY DATA'!AH26&lt;='TABEL KONVERSI'!$C$5),3,IF(AND(AH26&gt;='TABEL KONVERSI'!$B$6,'ENTRY DATA'!AH26&lt;='TABEL KONVERSI'!$C$6),4,"")))),"-")</f>
        <v>-</v>
      </c>
      <c r="AK26" s="38" t="str">
        <f>IF(AI26&lt;&gt;"",IF(AND(AI26&gt;='TABEL KONVERSI'!$B$3,'ENTRY DATA'!AI26&lt;='TABEL KONVERSI'!$C$3),1,IF(AND(AI26&gt;='TABEL KONVERSI'!$B$4,'ENTRY DATA'!AI26&lt;='TABEL KONVERSI'!$C$4),2,IF(AND(AI26&gt;='TABEL KONVERSI'!$B$5,'ENTRY DATA'!AI26&lt;='TABEL KONVERSI'!$C$5),3,IF(AND(AI26&gt;='TABEL KONVERSI'!$B$6,'ENTRY DATA'!AI26&lt;='TABEL KONVERSI'!$C$6),4,"")))),"-")</f>
        <v>-</v>
      </c>
      <c r="AL26" s="38" t="str">
        <f t="shared" si="44"/>
        <v>-</v>
      </c>
      <c r="AM26" s="38" t="str">
        <f>VLOOKUP(AJ26,'TABEL KONVERSI'!$A$3:$D$7,4)</f>
        <v>-</v>
      </c>
      <c r="AN26" s="38" t="str">
        <f t="shared" si="45"/>
        <v>-</v>
      </c>
      <c r="AO26" s="38" t="str">
        <f>VLOOKUP(AK26,'TABEL KONVERSI'!$A$3:$D$7,4)</f>
        <v>-</v>
      </c>
      <c r="AP26" s="42"/>
      <c r="AQ26" s="37"/>
      <c r="AR26" s="73"/>
      <c r="AS26" s="73"/>
      <c r="AT26" s="38" t="str">
        <f t="shared" si="46"/>
        <v/>
      </c>
      <c r="AU26" s="38" t="str">
        <f t="shared" si="47"/>
        <v/>
      </c>
      <c r="AV26" s="38" t="str">
        <f>IF(AT26&lt;&gt;"",IF(AND(AT26&gt;='TABEL KONVERSI'!$B$3,'ENTRY DATA'!AT26&lt;='TABEL KONVERSI'!$C$3),1,IF(AND(AT26&gt;='TABEL KONVERSI'!$B$4,'ENTRY DATA'!AT26&lt;='TABEL KONVERSI'!$C$4),2,IF(AND(AT26&gt;='TABEL KONVERSI'!$B$5,'ENTRY DATA'!AT26&lt;='TABEL KONVERSI'!$C$5),3,IF(AND(AT26&gt;='TABEL KONVERSI'!$B$6,'ENTRY DATA'!AT26&lt;='TABEL KONVERSI'!$C$6),4,"")))),"-")</f>
        <v>-</v>
      </c>
      <c r="AW26" s="38" t="str">
        <f>IF(AU26&lt;&gt;"",IF(AND(AU26&gt;='TABEL KONVERSI'!$B$3,'ENTRY DATA'!AU26&lt;='TABEL KONVERSI'!$C$3),1,IF(AND(AU26&gt;='TABEL KONVERSI'!$B$4,'ENTRY DATA'!AU26&lt;='TABEL KONVERSI'!$C$4),2,IF(AND(AU26&gt;='TABEL KONVERSI'!$B$5,'ENTRY DATA'!AU26&lt;='TABEL KONVERSI'!$C$5),3,IF(AND(AU26&gt;='TABEL KONVERSI'!$B$6,'ENTRY DATA'!AU26&lt;='TABEL KONVERSI'!$C$6),4,"")))),"-")</f>
        <v>-</v>
      </c>
      <c r="AX26" s="38" t="str">
        <f t="shared" si="48"/>
        <v>-</v>
      </c>
      <c r="AY26" s="38" t="str">
        <f>VLOOKUP(AV26,'TABEL KONVERSI'!$A$3:$D$7,4)</f>
        <v>-</v>
      </c>
      <c r="AZ26" s="38" t="str">
        <f t="shared" si="49"/>
        <v>-</v>
      </c>
      <c r="BA26" s="38" t="str">
        <f>VLOOKUP(AW26,'TABEL KONVERSI'!$A$3:$D$7,4)</f>
        <v>-</v>
      </c>
      <c r="BB26" s="42"/>
      <c r="BC26" s="37"/>
      <c r="BD26" s="73"/>
      <c r="BE26" s="73"/>
      <c r="BF26" s="38" t="str">
        <f t="shared" si="50"/>
        <v/>
      </c>
      <c r="BG26" s="38" t="str">
        <f t="shared" si="51"/>
        <v/>
      </c>
      <c r="BH26" s="38" t="str">
        <f>IF(BF26&lt;&gt;"",IF(AND(BF26&gt;='TABEL KONVERSI'!$B$3,'ENTRY DATA'!BF26&lt;='TABEL KONVERSI'!$C$3),1,IF(AND(BF26&gt;='TABEL KONVERSI'!$B$4,'ENTRY DATA'!BF26&lt;='TABEL KONVERSI'!$C$4),2,IF(AND(BF26&gt;='TABEL KONVERSI'!$B$5,'ENTRY DATA'!BF26&lt;='TABEL KONVERSI'!$C$5),3,IF(AND(BF26&gt;='TABEL KONVERSI'!$B$6,'ENTRY DATA'!BF26&lt;='TABEL KONVERSI'!$C$6),4,"")))),"-")</f>
        <v>-</v>
      </c>
      <c r="BI26" s="38" t="str">
        <f>IF(BG26&lt;&gt;"",IF(AND(BG26&gt;='TABEL KONVERSI'!$B$3,'ENTRY DATA'!BG26&lt;='TABEL KONVERSI'!$C$3),1,IF(AND(BG26&gt;='TABEL KONVERSI'!$B$4,'ENTRY DATA'!BG26&lt;='TABEL KONVERSI'!$C$4),2,IF(AND(BG26&gt;='TABEL KONVERSI'!$B$5,'ENTRY DATA'!BG26&lt;='TABEL KONVERSI'!$C$5),3,IF(AND(BG26&gt;='TABEL KONVERSI'!$B$6,'ENTRY DATA'!BG26&lt;='TABEL KONVERSI'!$C$6),4,"")))),"-")</f>
        <v>-</v>
      </c>
      <c r="BJ26" s="38" t="str">
        <f t="shared" si="52"/>
        <v>-</v>
      </c>
      <c r="BK26" s="38" t="str">
        <f>VLOOKUP(BH26,'TABEL KONVERSI'!$A$3:$D$7,4)</f>
        <v>-</v>
      </c>
      <c r="BL26" s="38" t="str">
        <f t="shared" si="53"/>
        <v>-</v>
      </c>
      <c r="BM26" s="38" t="str">
        <f>VLOOKUP(BI26,'TABEL KONVERSI'!$A$3:$D$7,4)</f>
        <v>-</v>
      </c>
      <c r="BN26" s="42"/>
      <c r="BO26" s="37"/>
      <c r="BP26" s="73"/>
      <c r="BQ26" s="73"/>
      <c r="BR26" s="38" t="str">
        <f t="shared" si="54"/>
        <v/>
      </c>
      <c r="BS26" s="38" t="str">
        <f t="shared" si="55"/>
        <v/>
      </c>
      <c r="BT26" s="38" t="str">
        <f>IF(BR26&lt;&gt;"",IF(AND(BR26&gt;='TABEL KONVERSI'!$B$3,'ENTRY DATA'!BR26&lt;='TABEL KONVERSI'!$C$3),1,IF(AND(BR26&gt;='TABEL KONVERSI'!$B$4,'ENTRY DATA'!BR26&lt;='TABEL KONVERSI'!$C$4),2,IF(AND(BR26&gt;='TABEL KONVERSI'!$B$5,'ENTRY DATA'!BR26&lt;='TABEL KONVERSI'!$C$5),3,IF(AND(BR26&gt;='TABEL KONVERSI'!$B$6,'ENTRY DATA'!BR26&lt;='TABEL KONVERSI'!$C$6),4,"")))),"-")</f>
        <v>-</v>
      </c>
      <c r="BU26" s="38" t="str">
        <f>IF(BS26&lt;&gt;"",IF(AND(BS26&gt;='TABEL KONVERSI'!$B$3,'ENTRY DATA'!BS26&lt;='TABEL KONVERSI'!$C$3),1,IF(AND(BS26&gt;='TABEL KONVERSI'!$B$4,'ENTRY DATA'!BS26&lt;='TABEL KONVERSI'!$C$4),2,IF(AND(BS26&gt;='TABEL KONVERSI'!$B$5,'ENTRY DATA'!BS26&lt;='TABEL KONVERSI'!$C$5),3,IF(AND(BS26&gt;='TABEL KONVERSI'!$B$6,'ENTRY DATA'!BS26&lt;='TABEL KONVERSI'!$C$6),4,"")))),"-")</f>
        <v>-</v>
      </c>
      <c r="BV26" s="38" t="str">
        <f t="shared" si="56"/>
        <v>-</v>
      </c>
      <c r="BW26" s="38" t="str">
        <f>VLOOKUP(BT26,'TABEL KONVERSI'!$A$3:$D$7,4)</f>
        <v>-</v>
      </c>
      <c r="BX26" s="38" t="str">
        <f t="shared" si="57"/>
        <v>-</v>
      </c>
      <c r="BY26" s="38" t="str">
        <f>VLOOKUP(BU26,'TABEL KONVERSI'!$A$3:$D$7,4)</f>
        <v>-</v>
      </c>
      <c r="BZ26" s="42"/>
      <c r="CA26" s="37"/>
      <c r="CB26" s="73"/>
      <c r="CC26" s="73"/>
      <c r="CD26" s="38" t="str">
        <f t="shared" si="58"/>
        <v/>
      </c>
      <c r="CE26" s="38" t="str">
        <f t="shared" si="59"/>
        <v/>
      </c>
      <c r="CF26" s="38" t="str">
        <f>IF(CD26&lt;&gt;"",IF(AND(CD26&gt;='TABEL KONVERSI'!$B$3,'ENTRY DATA'!CD26&lt;='TABEL KONVERSI'!$C$3),1,IF(AND(CD26&gt;='TABEL KONVERSI'!$B$4,'ENTRY DATA'!CD26&lt;='TABEL KONVERSI'!$C$4),2,IF(AND(CD26&gt;='TABEL KONVERSI'!$B$5,'ENTRY DATA'!CD26&lt;='TABEL KONVERSI'!$C$5),3,IF(AND(CD26&gt;='TABEL KONVERSI'!$B$6,'ENTRY DATA'!CD26&lt;='TABEL KONVERSI'!$C$6),4,"")))),"-")</f>
        <v>-</v>
      </c>
      <c r="CG26" s="38" t="str">
        <f>IF(CE26&lt;&gt;"",IF(AND(CE26&gt;='TABEL KONVERSI'!$B$3,'ENTRY DATA'!CE26&lt;='TABEL KONVERSI'!$C$3),1,IF(AND(CE26&gt;='TABEL KONVERSI'!$B$4,'ENTRY DATA'!CE26&lt;='TABEL KONVERSI'!$C$4),2,IF(AND(CE26&gt;='TABEL KONVERSI'!$B$5,'ENTRY DATA'!CE26&lt;='TABEL KONVERSI'!$C$5),3,IF(AND(CE26&gt;='TABEL KONVERSI'!$B$6,'ENTRY DATA'!CE26&lt;='TABEL KONVERSI'!$C$6),4,"")))),"-")</f>
        <v>-</v>
      </c>
      <c r="CH26" s="38" t="str">
        <f t="shared" si="60"/>
        <v>-</v>
      </c>
      <c r="CI26" s="38" t="str">
        <f>VLOOKUP(CF26,'TABEL KONVERSI'!$A$3:$D$7,4)</f>
        <v>-</v>
      </c>
      <c r="CJ26" s="38" t="str">
        <f t="shared" si="61"/>
        <v>-</v>
      </c>
      <c r="CK26" s="38" t="str">
        <f>VLOOKUP(CG26,'TABEL KONVERSI'!$A$3:$D$7,4)</f>
        <v>-</v>
      </c>
      <c r="CL26" s="42"/>
      <c r="CM26" s="37"/>
      <c r="CN26" s="73"/>
      <c r="CO26" s="73"/>
      <c r="CP26" s="38" t="str">
        <f t="shared" si="62"/>
        <v/>
      </c>
      <c r="CQ26" s="38" t="str">
        <f t="shared" si="63"/>
        <v/>
      </c>
      <c r="CR26" s="38" t="str">
        <f>IF(CP26&lt;&gt;"",IF(AND(CP26&gt;='TABEL KONVERSI'!$B$3,'ENTRY DATA'!CP26&lt;='TABEL KONVERSI'!$C$3),1,IF(AND(CP26&gt;='TABEL KONVERSI'!$B$4,'ENTRY DATA'!CP26&lt;='TABEL KONVERSI'!$C$4),2,IF(AND(CP26&gt;='TABEL KONVERSI'!$B$5,'ENTRY DATA'!CP26&lt;='TABEL KONVERSI'!$C$5),3,IF(AND(CP26&gt;='TABEL KONVERSI'!$B$6,'ENTRY DATA'!CP26&lt;='TABEL KONVERSI'!$C$6),4,"")))),"-")</f>
        <v>-</v>
      </c>
      <c r="CS26" s="38" t="str">
        <f>IF(CQ26&lt;&gt;"",IF(AND(CQ26&gt;='TABEL KONVERSI'!$B$3,'ENTRY DATA'!CQ26&lt;='TABEL KONVERSI'!$C$3),1,IF(AND(CQ26&gt;='TABEL KONVERSI'!$B$4,'ENTRY DATA'!CQ26&lt;='TABEL KONVERSI'!$C$4),2,IF(AND(CQ26&gt;='TABEL KONVERSI'!$B$5,'ENTRY DATA'!CQ26&lt;='TABEL KONVERSI'!$C$5),3,IF(AND(CQ26&gt;='TABEL KONVERSI'!$B$6,'ENTRY DATA'!CQ26&lt;='TABEL KONVERSI'!$C$6),4,"")))),"-")</f>
        <v>-</v>
      </c>
      <c r="CT26" s="38" t="str">
        <f t="shared" si="64"/>
        <v>-</v>
      </c>
      <c r="CU26" s="38" t="str">
        <f>VLOOKUP(CR26,'TABEL KONVERSI'!$A$3:$D$7,4)</f>
        <v>-</v>
      </c>
      <c r="CV26" s="38" t="str">
        <f t="shared" si="65"/>
        <v>-</v>
      </c>
      <c r="CW26" s="38" t="str">
        <f>VLOOKUP(CS26,'TABEL KONVERSI'!$A$3:$D$7,4)</f>
        <v>-</v>
      </c>
      <c r="CX26" s="42"/>
      <c r="CY26" s="37"/>
      <c r="CZ26" s="73"/>
      <c r="DA26" s="73"/>
      <c r="DB26" s="38" t="str">
        <f t="shared" si="66"/>
        <v/>
      </c>
      <c r="DC26" s="38" t="str">
        <f t="shared" si="67"/>
        <v/>
      </c>
      <c r="DD26" s="38" t="str">
        <f>IF(DB26&lt;&gt;"",IF(AND(DB26&gt;='TABEL KONVERSI'!$B$3,'ENTRY DATA'!DB26&lt;='TABEL KONVERSI'!$C$3),1,IF(AND(DB26&gt;='TABEL KONVERSI'!$B$4,'ENTRY DATA'!DB26&lt;='TABEL KONVERSI'!$C$4),2,IF(AND(DB26&gt;='TABEL KONVERSI'!$B$5,'ENTRY DATA'!DB26&lt;='TABEL KONVERSI'!$C$5),3,IF(AND(DB26&gt;='TABEL KONVERSI'!$B$6,'ENTRY DATA'!DB26&lt;='TABEL KONVERSI'!$C$6),4,"")))),"-")</f>
        <v>-</v>
      </c>
      <c r="DE26" s="38" t="str">
        <f>IF(DC26&lt;&gt;"",IF(AND(DC26&gt;='TABEL KONVERSI'!$B$3,'ENTRY DATA'!DC26&lt;='TABEL KONVERSI'!$C$3),1,IF(AND(DC26&gt;='TABEL KONVERSI'!$B$4,'ENTRY DATA'!DC26&lt;='TABEL KONVERSI'!$C$4),2,IF(AND(DC26&gt;='TABEL KONVERSI'!$B$5,'ENTRY DATA'!DC26&lt;='TABEL KONVERSI'!$C$5),3,IF(AND(DC26&gt;='TABEL KONVERSI'!$B$6,'ENTRY DATA'!DC26&lt;='TABEL KONVERSI'!$C$6),4,"")))),"-")</f>
        <v>-</v>
      </c>
      <c r="DF26" s="38" t="str">
        <f t="shared" si="68"/>
        <v>-</v>
      </c>
      <c r="DG26" s="38" t="str">
        <f>VLOOKUP(DD26,'TABEL KONVERSI'!$A$3:$D$7,4)</f>
        <v>-</v>
      </c>
      <c r="DH26" s="38" t="str">
        <f t="shared" si="69"/>
        <v>-</v>
      </c>
      <c r="DI26" s="38" t="str">
        <f>VLOOKUP(DE26,'TABEL KONVERSI'!$A$3:$D$7,4)</f>
        <v>-</v>
      </c>
      <c r="DJ26" s="42"/>
      <c r="DK26" s="37"/>
      <c r="DL26" s="73"/>
      <c r="DM26" s="73"/>
      <c r="DN26" s="38" t="str">
        <f t="shared" si="70"/>
        <v/>
      </c>
      <c r="DO26" s="38" t="str">
        <f t="shared" si="71"/>
        <v/>
      </c>
      <c r="DP26" s="38" t="str">
        <f>IF(DN26&lt;&gt;"",IF(AND(DN26&gt;='TABEL KONVERSI'!$B$3,'ENTRY DATA'!DN26&lt;='TABEL KONVERSI'!$C$3),1,IF(AND(DN26&gt;='TABEL KONVERSI'!$B$4,'ENTRY DATA'!DN26&lt;='TABEL KONVERSI'!$C$4),2,IF(AND(DN26&gt;='TABEL KONVERSI'!$B$5,'ENTRY DATA'!DN26&lt;='TABEL KONVERSI'!$C$5),3,IF(AND(DN26&gt;='TABEL KONVERSI'!$B$6,'ENTRY DATA'!DN26&lt;='TABEL KONVERSI'!$C$6),4,"")))),"-")</f>
        <v>-</v>
      </c>
      <c r="DQ26" s="38" t="str">
        <f>IF(DO26&lt;&gt;"",IF(AND(DO26&gt;='TABEL KONVERSI'!$B$3,'ENTRY DATA'!DO26&lt;='TABEL KONVERSI'!$C$3),1,IF(AND(DO26&gt;='TABEL KONVERSI'!$B$4,'ENTRY DATA'!DO26&lt;='TABEL KONVERSI'!$C$4),2,IF(AND(DO26&gt;='TABEL KONVERSI'!$B$5,'ENTRY DATA'!DO26&lt;='TABEL KONVERSI'!$C$5),3,IF(AND(DO26&gt;='TABEL KONVERSI'!$B$6,'ENTRY DATA'!DO26&lt;='TABEL KONVERSI'!$C$6),4,"")))),"-")</f>
        <v>-</v>
      </c>
      <c r="DR26" s="38" t="str">
        <f t="shared" si="72"/>
        <v>-</v>
      </c>
      <c r="DS26" s="38" t="str">
        <f>VLOOKUP(DP26,'TABEL KONVERSI'!$A$3:$D$7,4)</f>
        <v>-</v>
      </c>
      <c r="DT26" s="38" t="str">
        <f t="shared" si="73"/>
        <v>-</v>
      </c>
      <c r="DU26" s="38" t="str">
        <f>VLOOKUP(DQ26,'TABEL KONVERSI'!$A$3:$D$7,4)</f>
        <v>-</v>
      </c>
      <c r="DV26" s="42"/>
      <c r="DW26" s="37"/>
      <c r="DX26" s="73"/>
      <c r="DY26" s="73"/>
      <c r="DZ26" s="38" t="str">
        <f t="shared" si="74"/>
        <v/>
      </c>
      <c r="EA26" s="38" t="str">
        <f t="shared" si="75"/>
        <v/>
      </c>
      <c r="EB26" s="38" t="str">
        <f>IF(DZ26&lt;&gt;"",IF(AND(DZ26&gt;='TABEL KONVERSI'!$B$3,'ENTRY DATA'!DZ26&lt;='TABEL KONVERSI'!$C$3),1,IF(AND(DZ26&gt;='TABEL KONVERSI'!$B$4,'ENTRY DATA'!DZ26&lt;='TABEL KONVERSI'!$C$4),2,IF(AND(DZ26&gt;='TABEL KONVERSI'!$B$5,'ENTRY DATA'!DZ26&lt;='TABEL KONVERSI'!$C$5),3,IF(AND(DZ26&gt;='TABEL KONVERSI'!$B$6,'ENTRY DATA'!DZ26&lt;='TABEL KONVERSI'!$C$6),4,"")))),"-")</f>
        <v>-</v>
      </c>
      <c r="EC26" s="38" t="str">
        <f>IF(EA26&lt;&gt;"",IF(AND(EA26&gt;='TABEL KONVERSI'!$B$3,'ENTRY DATA'!EA26&lt;='TABEL KONVERSI'!$C$3),1,IF(AND(EA26&gt;='TABEL KONVERSI'!$B$4,'ENTRY DATA'!EA26&lt;='TABEL KONVERSI'!$C$4),2,IF(AND(EA26&gt;='TABEL KONVERSI'!$B$5,'ENTRY DATA'!EA26&lt;='TABEL KONVERSI'!$C$5),3,IF(AND(EA26&gt;='TABEL KONVERSI'!$B$6,'ENTRY DATA'!EA26&lt;='TABEL KONVERSI'!$C$6),4,"")))),"-")</f>
        <v>-</v>
      </c>
      <c r="ED26" s="38" t="str">
        <f t="shared" si="76"/>
        <v>-</v>
      </c>
      <c r="EE26" s="38" t="str">
        <f>VLOOKUP(EB26,'TABEL KONVERSI'!$A$3:$D$7,4)</f>
        <v>-</v>
      </c>
      <c r="EF26" s="38" t="str">
        <f t="shared" si="77"/>
        <v>-</v>
      </c>
      <c r="EG26" s="38" t="str">
        <f>VLOOKUP(EC26,'TABEL KONVERSI'!$A$3:$D$7,4)</f>
        <v>-</v>
      </c>
      <c r="EH26" s="42"/>
      <c r="EI26" s="37"/>
      <c r="EJ26" s="73"/>
      <c r="EK26" s="73"/>
      <c r="EL26" s="38" t="str">
        <f t="shared" si="78"/>
        <v/>
      </c>
      <c r="EM26" s="38" t="str">
        <f t="shared" si="79"/>
        <v/>
      </c>
      <c r="EN26" s="38" t="str">
        <f>IF(EL26&lt;&gt;"",IF(AND(EL26&gt;='TABEL KONVERSI'!$B$3,'ENTRY DATA'!EL26&lt;='TABEL KONVERSI'!$C$3),1,IF(AND(EL26&gt;='TABEL KONVERSI'!$B$4,'ENTRY DATA'!EL26&lt;='TABEL KONVERSI'!$C$4),2,IF(AND(EL26&gt;='TABEL KONVERSI'!$B$5,'ENTRY DATA'!EL26&lt;='TABEL KONVERSI'!$C$5),3,IF(AND(EL26&gt;='TABEL KONVERSI'!$B$6,'ENTRY DATA'!EL26&lt;='TABEL KONVERSI'!$C$6),4,"")))),"-")</f>
        <v>-</v>
      </c>
      <c r="EO26" s="38" t="str">
        <f>IF(EM26&lt;&gt;"",IF(AND(EM26&gt;='TABEL KONVERSI'!$B$3,'ENTRY DATA'!EM26&lt;='TABEL KONVERSI'!$C$3),1,IF(AND(EM26&gt;='TABEL KONVERSI'!$B$4,'ENTRY DATA'!EM26&lt;='TABEL KONVERSI'!$C$4),2,IF(AND(EM26&gt;='TABEL KONVERSI'!$B$5,'ENTRY DATA'!EM26&lt;='TABEL KONVERSI'!$C$5),3,IF(AND(EM26&gt;='TABEL KONVERSI'!$B$6,'ENTRY DATA'!EM26&lt;='TABEL KONVERSI'!$C$6),4,"")))),"-")</f>
        <v>-</v>
      </c>
      <c r="EP26" s="38" t="str">
        <f t="shared" si="80"/>
        <v>-</v>
      </c>
      <c r="EQ26" s="38" t="str">
        <f>VLOOKUP(EN26,'TABEL KONVERSI'!$A$3:$D$7,4)</f>
        <v>-</v>
      </c>
      <c r="ER26" s="38" t="str">
        <f t="shared" si="81"/>
        <v>-</v>
      </c>
      <c r="ES26" s="38" t="str">
        <f>VLOOKUP(EO26,'TABEL KONVERSI'!$A$3:$D$7,4)</f>
        <v>-</v>
      </c>
      <c r="ET26" s="42"/>
      <c r="EU26" s="37"/>
      <c r="EV26" s="73"/>
      <c r="EW26" s="73"/>
      <c r="EX26" s="38" t="str">
        <f t="shared" si="82"/>
        <v/>
      </c>
      <c r="EY26" s="38" t="str">
        <f t="shared" si="83"/>
        <v/>
      </c>
      <c r="EZ26" s="38" t="str">
        <f>IF(EX26&lt;&gt;"",IF(AND(EX26&gt;='TABEL KONVERSI'!$B$3,'ENTRY DATA'!EX26&lt;='TABEL KONVERSI'!$C$3),1,IF(AND(EX26&gt;='TABEL KONVERSI'!$B$4,'ENTRY DATA'!EX26&lt;='TABEL KONVERSI'!$C$4),2,IF(AND(EX26&gt;='TABEL KONVERSI'!$B$5,'ENTRY DATA'!EX26&lt;='TABEL KONVERSI'!$C$5),3,IF(AND(EX26&gt;='TABEL KONVERSI'!$B$6,'ENTRY DATA'!EX26&lt;='TABEL KONVERSI'!$C$6),4,"")))),"-")</f>
        <v>-</v>
      </c>
      <c r="FA26" s="38" t="str">
        <f>IF(EY26&lt;&gt;"",IF(AND(EY26&gt;='TABEL KONVERSI'!$B$3,'ENTRY DATA'!EY26&lt;='TABEL KONVERSI'!$C$3),1,IF(AND(EY26&gt;='TABEL KONVERSI'!$B$4,'ENTRY DATA'!EY26&lt;='TABEL KONVERSI'!$C$4),2,IF(AND(EY26&gt;='TABEL KONVERSI'!$B$5,'ENTRY DATA'!EY26&lt;='TABEL KONVERSI'!$C$5),3,IF(AND(EY26&gt;='TABEL KONVERSI'!$B$6,'ENTRY DATA'!EY26&lt;='TABEL KONVERSI'!$C$6),4,"")))),"-")</f>
        <v>-</v>
      </c>
      <c r="FB26" s="38" t="str">
        <f t="shared" si="84"/>
        <v>-</v>
      </c>
      <c r="FC26" s="38" t="str">
        <f>VLOOKUP(EZ26,'TABEL KONVERSI'!$A$3:$D$7,4)</f>
        <v>-</v>
      </c>
      <c r="FD26" s="38" t="str">
        <f t="shared" si="85"/>
        <v>-</v>
      </c>
      <c r="FE26" s="38" t="str">
        <f>VLOOKUP(FA26,'TABEL KONVERSI'!$A$3:$D$7,4)</f>
        <v>-</v>
      </c>
      <c r="FF26" s="42"/>
      <c r="FG26" s="37"/>
      <c r="FH26" s="73"/>
      <c r="FI26" s="73"/>
      <c r="FJ26" s="38" t="str">
        <f t="shared" si="86"/>
        <v/>
      </c>
      <c r="FK26" s="38" t="str">
        <f t="shared" si="87"/>
        <v/>
      </c>
      <c r="FL26" s="38" t="str">
        <f>IF(FJ26&lt;&gt;"",IF(AND(FJ26&gt;='TABEL KONVERSI'!$B$3,'ENTRY DATA'!FJ26&lt;='TABEL KONVERSI'!$C$3),1,IF(AND(FJ26&gt;='TABEL KONVERSI'!$B$4,'ENTRY DATA'!FJ26&lt;='TABEL KONVERSI'!$C$4),2,IF(AND(FJ26&gt;='TABEL KONVERSI'!$B$5,'ENTRY DATA'!FJ26&lt;='TABEL KONVERSI'!$C$5),3,IF(AND(FJ26&gt;='TABEL KONVERSI'!$B$6,'ENTRY DATA'!FJ26&lt;='TABEL KONVERSI'!$C$6),4,"")))),"-")</f>
        <v>-</v>
      </c>
      <c r="FM26" s="38" t="str">
        <f>IF(FK26&lt;&gt;"",IF(AND(FK26&gt;='TABEL KONVERSI'!$B$3,'ENTRY DATA'!FK26&lt;='TABEL KONVERSI'!$C$3),1,IF(AND(FK26&gt;='TABEL KONVERSI'!$B$4,'ENTRY DATA'!FK26&lt;='TABEL KONVERSI'!$C$4),2,IF(AND(FK26&gt;='TABEL KONVERSI'!$B$5,'ENTRY DATA'!FK26&lt;='TABEL KONVERSI'!$C$5),3,IF(AND(FK26&gt;='TABEL KONVERSI'!$B$6,'ENTRY DATA'!FK26&lt;='TABEL KONVERSI'!$C$6),4,"")))),"-")</f>
        <v>-</v>
      </c>
      <c r="FN26" s="38" t="str">
        <f t="shared" si="88"/>
        <v>-</v>
      </c>
      <c r="FO26" s="38" t="str">
        <f>VLOOKUP(FL26,'TABEL KONVERSI'!$A$3:$D$7,4)</f>
        <v>-</v>
      </c>
      <c r="FP26" s="38" t="str">
        <f t="shared" si="89"/>
        <v>-</v>
      </c>
      <c r="FQ26" s="38" t="str">
        <f>VLOOKUP(FM26,'TABEL KONVERSI'!$A$3:$D$7,4)</f>
        <v>-</v>
      </c>
      <c r="FR26" s="42"/>
      <c r="FS26" s="37"/>
      <c r="FT26" s="73"/>
      <c r="FU26" s="73"/>
      <c r="FV26" s="38" t="str">
        <f t="shared" si="90"/>
        <v/>
      </c>
      <c r="FW26" s="38" t="str">
        <f t="shared" si="91"/>
        <v/>
      </c>
      <c r="FX26" s="38" t="str">
        <f>IF(FV26&lt;&gt;"",IF(AND(FV26&gt;='TABEL KONVERSI'!$B$3,'ENTRY DATA'!FV26&lt;='TABEL KONVERSI'!$C$3),1,IF(AND(FV26&gt;='TABEL KONVERSI'!$B$4,'ENTRY DATA'!FV26&lt;='TABEL KONVERSI'!$C$4),2,IF(AND(FV26&gt;='TABEL KONVERSI'!$B$5,'ENTRY DATA'!FV26&lt;='TABEL KONVERSI'!$C$5),3,IF(AND(FV26&gt;='TABEL KONVERSI'!$B$6,'ENTRY DATA'!FV26&lt;='TABEL KONVERSI'!$C$6),4,"")))),"-")</f>
        <v>-</v>
      </c>
      <c r="FY26" s="38" t="str">
        <f>IF(FW26&lt;&gt;"",IF(AND(FW26&gt;='TABEL KONVERSI'!$B$3,'ENTRY DATA'!FW26&lt;='TABEL KONVERSI'!$C$3),1,IF(AND(FW26&gt;='TABEL KONVERSI'!$B$4,'ENTRY DATA'!FW26&lt;='TABEL KONVERSI'!$C$4),2,IF(AND(FW26&gt;='TABEL KONVERSI'!$B$5,'ENTRY DATA'!FW26&lt;='TABEL KONVERSI'!$C$5),3,IF(AND(FW26&gt;='TABEL KONVERSI'!$B$6,'ENTRY DATA'!FW26&lt;='TABEL KONVERSI'!$C$6),4,"")))),"-")</f>
        <v>-</v>
      </c>
      <c r="FZ26" s="38" t="str">
        <f t="shared" si="92"/>
        <v>-</v>
      </c>
      <c r="GA26" s="38" t="str">
        <f>VLOOKUP(FX26,'TABEL KONVERSI'!$A$3:$D$7,4)</f>
        <v>-</v>
      </c>
      <c r="GB26" s="38" t="str">
        <f t="shared" si="93"/>
        <v>-</v>
      </c>
      <c r="GC26" s="38" t="str">
        <f>VLOOKUP(FY26,'TABEL KONVERSI'!$A$3:$D$7,4)</f>
        <v>-</v>
      </c>
      <c r="GD26" s="42"/>
      <c r="GE26" s="37"/>
      <c r="GF26" s="73"/>
      <c r="GG26" s="73"/>
      <c r="GH26" s="38" t="str">
        <f t="shared" si="94"/>
        <v/>
      </c>
      <c r="GI26" s="38" t="str">
        <f t="shared" si="95"/>
        <v/>
      </c>
      <c r="GJ26" s="38" t="str">
        <f>IF(GH26&lt;&gt;"",IF(AND(GH26&gt;='TABEL KONVERSI'!$B$3,'ENTRY DATA'!GH26&lt;='TABEL KONVERSI'!$C$3),1,IF(AND(GH26&gt;='TABEL KONVERSI'!$B$4,'ENTRY DATA'!GH26&lt;='TABEL KONVERSI'!$C$4),2,IF(AND(GH26&gt;='TABEL KONVERSI'!$B$5,'ENTRY DATA'!GH26&lt;='TABEL KONVERSI'!$C$5),3,IF(AND(GH26&gt;='TABEL KONVERSI'!$B$6,'ENTRY DATA'!GH26&lt;='TABEL KONVERSI'!$C$6),4,"")))),"-")</f>
        <v>-</v>
      </c>
      <c r="GK26" s="38" t="str">
        <f>IF(GI26&lt;&gt;"",IF(AND(GI26&gt;='TABEL KONVERSI'!$B$3,'ENTRY DATA'!GI26&lt;='TABEL KONVERSI'!$C$3),1,IF(AND(GI26&gt;='TABEL KONVERSI'!$B$4,'ENTRY DATA'!GI26&lt;='TABEL KONVERSI'!$C$4),2,IF(AND(GI26&gt;='TABEL KONVERSI'!$B$5,'ENTRY DATA'!GI26&lt;='TABEL KONVERSI'!$C$5),3,IF(AND(GI26&gt;='TABEL KONVERSI'!$B$6,'ENTRY DATA'!GI26&lt;='TABEL KONVERSI'!$C$6),4,"")))),"-")</f>
        <v>-</v>
      </c>
      <c r="GL26" s="38" t="str">
        <f t="shared" si="96"/>
        <v>-</v>
      </c>
      <c r="GM26" s="38" t="str">
        <f>VLOOKUP(GJ26,'TABEL KONVERSI'!$A$3:$D$7,4)</f>
        <v>-</v>
      </c>
      <c r="GN26" s="38" t="str">
        <f t="shared" si="97"/>
        <v>-</v>
      </c>
      <c r="GO26" s="38" t="str">
        <f>VLOOKUP(GK26,'TABEL KONVERSI'!$A$3:$D$7,4)</f>
        <v>-</v>
      </c>
      <c r="GP26" s="43">
        <f t="shared" si="0"/>
        <v>0</v>
      </c>
      <c r="GQ26" s="43">
        <f t="shared" si="1"/>
        <v>0</v>
      </c>
      <c r="GR26" s="43">
        <f t="shared" si="2"/>
        <v>0</v>
      </c>
      <c r="GS26" s="43">
        <f t="shared" si="3"/>
        <v>0</v>
      </c>
      <c r="GT26" s="43">
        <f t="shared" si="4"/>
        <v>0</v>
      </c>
      <c r="GU26" s="43">
        <f t="shared" si="5"/>
        <v>0</v>
      </c>
      <c r="GV26" s="43">
        <f t="shared" si="6"/>
        <v>0</v>
      </c>
      <c r="GW26" s="43">
        <f t="shared" si="7"/>
        <v>0</v>
      </c>
      <c r="GX26" s="43">
        <f t="shared" si="8"/>
        <v>0</v>
      </c>
      <c r="GY26" s="43">
        <f t="shared" si="9"/>
        <v>0</v>
      </c>
      <c r="GZ26" s="43">
        <f t="shared" si="10"/>
        <v>0</v>
      </c>
      <c r="HA26" s="43">
        <f t="shared" si="11"/>
        <v>0</v>
      </c>
      <c r="HB26" s="43">
        <f t="shared" si="12"/>
        <v>0</v>
      </c>
      <c r="HC26" s="43">
        <f t="shared" si="13"/>
        <v>0</v>
      </c>
      <c r="HD26" s="43">
        <f t="shared" si="14"/>
        <v>0</v>
      </c>
      <c r="HE26" s="43">
        <f t="shared" si="15"/>
        <v>0</v>
      </c>
      <c r="HF26" s="38">
        <f t="shared" si="98"/>
        <v>0</v>
      </c>
      <c r="HG26" s="38">
        <f t="shared" si="99"/>
        <v>0</v>
      </c>
      <c r="HH26" s="38">
        <f t="shared" si="100"/>
        <v>0</v>
      </c>
      <c r="HI26" s="39">
        <f t="shared" si="101"/>
        <v>0</v>
      </c>
      <c r="HJ26" s="44" t="str">
        <f t="shared" si="102"/>
        <v>-</v>
      </c>
      <c r="HK26" s="45" t="str">
        <f>VLOOKUP(HJ26,'TABEL KONVERSI'!$B$11:$D$15,2,0)</f>
        <v>-</v>
      </c>
      <c r="HL26" s="43">
        <f t="shared" si="16"/>
        <v>0</v>
      </c>
      <c r="HM26" s="43">
        <f t="shared" si="17"/>
        <v>0</v>
      </c>
      <c r="HN26" s="43">
        <f t="shared" si="18"/>
        <v>0</v>
      </c>
      <c r="HO26" s="43">
        <f t="shared" si="19"/>
        <v>0</v>
      </c>
      <c r="HP26" s="43">
        <f t="shared" si="20"/>
        <v>0</v>
      </c>
      <c r="HQ26" s="43">
        <f t="shared" si="21"/>
        <v>0</v>
      </c>
      <c r="HR26" s="43">
        <f t="shared" si="22"/>
        <v>0</v>
      </c>
      <c r="HS26" s="43">
        <f t="shared" si="23"/>
        <v>0</v>
      </c>
      <c r="HT26" s="43">
        <f t="shared" si="24"/>
        <v>0</v>
      </c>
      <c r="HU26" s="43">
        <f t="shared" si="25"/>
        <v>0</v>
      </c>
      <c r="HV26" s="43">
        <f t="shared" si="26"/>
        <v>0</v>
      </c>
      <c r="HW26" s="43">
        <f t="shared" si="27"/>
        <v>0</v>
      </c>
      <c r="HX26" s="43">
        <f t="shared" si="28"/>
        <v>0</v>
      </c>
      <c r="HY26" s="43">
        <f t="shared" si="29"/>
        <v>0</v>
      </c>
      <c r="HZ26" s="43">
        <f t="shared" si="30"/>
        <v>0</v>
      </c>
      <c r="IA26" s="43">
        <f t="shared" si="31"/>
        <v>0</v>
      </c>
      <c r="IB26" s="38">
        <f t="shared" si="103"/>
        <v>0</v>
      </c>
      <c r="IC26" s="38">
        <f t="shared" si="104"/>
        <v>0</v>
      </c>
      <c r="ID26" s="38">
        <f t="shared" si="105"/>
        <v>0</v>
      </c>
      <c r="IE26" s="38">
        <f t="shared" si="106"/>
        <v>0</v>
      </c>
      <c r="IF26" s="46" t="str">
        <f t="shared" si="107"/>
        <v>-</v>
      </c>
      <c r="IG26" s="45" t="str">
        <f>VLOOKUP(IF26,'TABEL KONVERSI'!$B$11:$D$15,3,0)</f>
        <v>-</v>
      </c>
      <c r="IH26" s="40" t="s">
        <v>223</v>
      </c>
      <c r="II26" s="41" t="s">
        <v>106</v>
      </c>
      <c r="IJ26" s="45" t="str">
        <f>IF(II26&lt;&gt;"",VLOOKUP(II26,'TABEL KONVERSI'!$A$19:$B$23,2,0),"")</f>
        <v>Aktif dalam mengikuti kegiatan</v>
      </c>
      <c r="IK26" s="47" t="s">
        <v>58</v>
      </c>
      <c r="IL26" s="50" t="s">
        <v>58</v>
      </c>
      <c r="IM26" s="45" t="str">
        <f>IF(IL26&lt;&gt;"",VLOOKUP(IL26,'TABEL KONVERSI'!$A$19:$B$23,2,0),"")</f>
        <v>-</v>
      </c>
      <c r="IN26" s="49" t="s">
        <v>58</v>
      </c>
      <c r="IO26" s="48" t="s">
        <v>58</v>
      </c>
      <c r="IP26" s="45" t="str">
        <f>IF(IO26&lt;&gt;"",VLOOKUP(IO26,'TABEL KONVERSI'!$A$19:$B$23,2,0),"")</f>
        <v>-</v>
      </c>
      <c r="IQ26" s="49" t="s">
        <v>58</v>
      </c>
      <c r="IR26" s="50" t="s">
        <v>58</v>
      </c>
      <c r="IS26" s="45" t="str">
        <f>IF(IR26&lt;&gt;"",VLOOKUP(IR26,'TABEL KONVERSI'!$A$19:$B$23,2,0),"")</f>
        <v>-</v>
      </c>
      <c r="IT26" s="49" t="s">
        <v>58</v>
      </c>
      <c r="IU26" s="50" t="s">
        <v>58</v>
      </c>
      <c r="IV26" s="45" t="str">
        <f>IF(IU26&lt;&gt;"",VLOOKUP(IU26,'TABEL KONVERSI'!$A$19:$B$23,2,0),"")</f>
        <v>-</v>
      </c>
      <c r="IW26" s="48" t="s">
        <v>58</v>
      </c>
      <c r="IX26" s="48" t="s">
        <v>58</v>
      </c>
      <c r="IY26" s="48" t="s">
        <v>58</v>
      </c>
      <c r="IZ26" s="47" t="s">
        <v>58</v>
      </c>
      <c r="JA26" s="45">
        <f t="shared" si="32"/>
        <v>0</v>
      </c>
      <c r="JB26" s="45">
        <f t="shared" si="33"/>
        <v>1</v>
      </c>
    </row>
    <row r="27" spans="1:262" x14ac:dyDescent="0.25">
      <c r="A27" s="33">
        <v>15</v>
      </c>
      <c r="B27" s="51"/>
      <c r="C27" s="51"/>
      <c r="D27" s="77"/>
      <c r="E27" s="52"/>
      <c r="F27" s="42"/>
      <c r="G27" s="37"/>
      <c r="H27" s="73"/>
      <c r="I27" s="73"/>
      <c r="J27" s="38" t="str">
        <f t="shared" si="34"/>
        <v/>
      </c>
      <c r="K27" s="38" t="str">
        <f t="shared" si="35"/>
        <v/>
      </c>
      <c r="L27" s="38" t="str">
        <f>IF(J27&lt;&gt;"",IF(AND(J27&gt;='TABEL KONVERSI'!$B$3,'ENTRY DATA'!J27&lt;='TABEL KONVERSI'!$C$3),1,IF(AND(J27&gt;='TABEL KONVERSI'!$B$4,'ENTRY DATA'!J27&lt;='TABEL KONVERSI'!$C$4),2,IF(AND(J27&gt;='TABEL KONVERSI'!$B$5,'ENTRY DATA'!J27&lt;='TABEL KONVERSI'!$C$5),3,IF(AND(J27&gt;='TABEL KONVERSI'!$B$6,'ENTRY DATA'!J27&lt;='TABEL KONVERSI'!$C$6),4,"")))),"-")</f>
        <v>-</v>
      </c>
      <c r="M27" s="38" t="str">
        <f>IF(K27&lt;&gt;"",IF(AND(K27&gt;='TABEL KONVERSI'!$B$3,'ENTRY DATA'!K27&lt;='TABEL KONVERSI'!$C$3),1,IF(AND(K27&gt;='TABEL KONVERSI'!$B$4,'ENTRY DATA'!K27&lt;='TABEL KONVERSI'!$C$4),2,IF(AND(K27&gt;='TABEL KONVERSI'!$B$5,'ENTRY DATA'!K27&lt;='TABEL KONVERSI'!$C$5),3,IF(AND(K27&gt;='TABEL KONVERSI'!$B$6,'ENTRY DATA'!K27&lt;='TABEL KONVERSI'!$C$6),4,"")))),"-")</f>
        <v>-</v>
      </c>
      <c r="N27" s="38" t="str">
        <f t="shared" si="36"/>
        <v>-</v>
      </c>
      <c r="O27" s="38" t="str">
        <f>VLOOKUP(L27,'TABEL KONVERSI'!$A$3:$D$7,4)</f>
        <v>-</v>
      </c>
      <c r="P27" s="38" t="str">
        <f t="shared" si="37"/>
        <v>-</v>
      </c>
      <c r="Q27" s="38" t="str">
        <f>VLOOKUP(M27,'TABEL KONVERSI'!$A$3:$D$7,4)</f>
        <v>-</v>
      </c>
      <c r="R27" s="42"/>
      <c r="S27" s="37"/>
      <c r="T27" s="73"/>
      <c r="U27" s="73"/>
      <c r="V27" s="38" t="str">
        <f t="shared" si="38"/>
        <v/>
      </c>
      <c r="W27" s="38" t="str">
        <f t="shared" si="39"/>
        <v/>
      </c>
      <c r="X27" s="38" t="str">
        <f>IF(V27&lt;&gt;"",IF(AND(V27&gt;='TABEL KONVERSI'!$B$3,'ENTRY DATA'!V27&lt;='TABEL KONVERSI'!$C$3),1,IF(AND(V27&gt;='TABEL KONVERSI'!$B$4,'ENTRY DATA'!V27&lt;='TABEL KONVERSI'!$C$4),2,IF(AND(V27&gt;='TABEL KONVERSI'!$B$5,'ENTRY DATA'!V27&lt;='TABEL KONVERSI'!$C$5),3,IF(AND(V27&gt;='TABEL KONVERSI'!$B$6,'ENTRY DATA'!V27&lt;='TABEL KONVERSI'!$C$6),4,"")))),"-")</f>
        <v>-</v>
      </c>
      <c r="Y27" s="38" t="str">
        <f>IF(W27&lt;&gt;"",IF(AND(W27&gt;='TABEL KONVERSI'!$B$3,'ENTRY DATA'!W27&lt;='TABEL KONVERSI'!$C$3),1,IF(AND(W27&gt;='TABEL KONVERSI'!$B$4,'ENTRY DATA'!W27&lt;='TABEL KONVERSI'!$C$4),2,IF(AND(W27&gt;='TABEL KONVERSI'!$B$5,'ENTRY DATA'!W27&lt;='TABEL KONVERSI'!$C$5),3,IF(AND(W27&gt;='TABEL KONVERSI'!$B$6,'ENTRY DATA'!W27&lt;='TABEL KONVERSI'!$C$6),4,"")))),"-")</f>
        <v>-</v>
      </c>
      <c r="Z27" s="38" t="str">
        <f t="shared" si="40"/>
        <v>-</v>
      </c>
      <c r="AA27" s="38" t="str">
        <f>VLOOKUP(X27,'TABEL KONVERSI'!$A$3:$D$7,4)</f>
        <v>-</v>
      </c>
      <c r="AB27" s="38" t="str">
        <f t="shared" si="41"/>
        <v>-</v>
      </c>
      <c r="AC27" s="38" t="str">
        <f>VLOOKUP(Y27,'TABEL KONVERSI'!$A$3:$D$7,4)</f>
        <v>-</v>
      </c>
      <c r="AD27" s="42"/>
      <c r="AE27" s="37"/>
      <c r="AF27" s="73"/>
      <c r="AG27" s="73"/>
      <c r="AH27" s="38" t="str">
        <f t="shared" si="42"/>
        <v/>
      </c>
      <c r="AI27" s="38" t="str">
        <f t="shared" si="43"/>
        <v/>
      </c>
      <c r="AJ27" s="38" t="str">
        <f>IF(AH27&lt;&gt;"",IF(AND(AH27&gt;='TABEL KONVERSI'!$B$3,'ENTRY DATA'!AH27&lt;='TABEL KONVERSI'!$C$3),1,IF(AND(AH27&gt;='TABEL KONVERSI'!$B$4,'ENTRY DATA'!AH27&lt;='TABEL KONVERSI'!$C$4),2,IF(AND(AH27&gt;='TABEL KONVERSI'!$B$5,'ENTRY DATA'!AH27&lt;='TABEL KONVERSI'!$C$5),3,IF(AND(AH27&gt;='TABEL KONVERSI'!$B$6,'ENTRY DATA'!AH27&lt;='TABEL KONVERSI'!$C$6),4,"")))),"-")</f>
        <v>-</v>
      </c>
      <c r="AK27" s="38" t="str">
        <f>IF(AI27&lt;&gt;"",IF(AND(AI27&gt;='TABEL KONVERSI'!$B$3,'ENTRY DATA'!AI27&lt;='TABEL KONVERSI'!$C$3),1,IF(AND(AI27&gt;='TABEL KONVERSI'!$B$4,'ENTRY DATA'!AI27&lt;='TABEL KONVERSI'!$C$4),2,IF(AND(AI27&gt;='TABEL KONVERSI'!$B$5,'ENTRY DATA'!AI27&lt;='TABEL KONVERSI'!$C$5),3,IF(AND(AI27&gt;='TABEL KONVERSI'!$B$6,'ENTRY DATA'!AI27&lt;='TABEL KONVERSI'!$C$6),4,"")))),"-")</f>
        <v>-</v>
      </c>
      <c r="AL27" s="38" t="str">
        <f t="shared" si="44"/>
        <v>-</v>
      </c>
      <c r="AM27" s="38" t="str">
        <f>VLOOKUP(AJ27,'TABEL KONVERSI'!$A$3:$D$7,4)</f>
        <v>-</v>
      </c>
      <c r="AN27" s="38" t="str">
        <f t="shared" si="45"/>
        <v>-</v>
      </c>
      <c r="AO27" s="38" t="str">
        <f>VLOOKUP(AK27,'TABEL KONVERSI'!$A$3:$D$7,4)</f>
        <v>-</v>
      </c>
      <c r="AP27" s="42"/>
      <c r="AQ27" s="37"/>
      <c r="AR27" s="73"/>
      <c r="AS27" s="73"/>
      <c r="AT27" s="38" t="str">
        <f t="shared" si="46"/>
        <v/>
      </c>
      <c r="AU27" s="38" t="str">
        <f t="shared" si="47"/>
        <v/>
      </c>
      <c r="AV27" s="38" t="str">
        <f>IF(AT27&lt;&gt;"",IF(AND(AT27&gt;='TABEL KONVERSI'!$B$3,'ENTRY DATA'!AT27&lt;='TABEL KONVERSI'!$C$3),1,IF(AND(AT27&gt;='TABEL KONVERSI'!$B$4,'ENTRY DATA'!AT27&lt;='TABEL KONVERSI'!$C$4),2,IF(AND(AT27&gt;='TABEL KONVERSI'!$B$5,'ENTRY DATA'!AT27&lt;='TABEL KONVERSI'!$C$5),3,IF(AND(AT27&gt;='TABEL KONVERSI'!$B$6,'ENTRY DATA'!AT27&lt;='TABEL KONVERSI'!$C$6),4,"")))),"-")</f>
        <v>-</v>
      </c>
      <c r="AW27" s="38" t="str">
        <f>IF(AU27&lt;&gt;"",IF(AND(AU27&gt;='TABEL KONVERSI'!$B$3,'ENTRY DATA'!AU27&lt;='TABEL KONVERSI'!$C$3),1,IF(AND(AU27&gt;='TABEL KONVERSI'!$B$4,'ENTRY DATA'!AU27&lt;='TABEL KONVERSI'!$C$4),2,IF(AND(AU27&gt;='TABEL KONVERSI'!$B$5,'ENTRY DATA'!AU27&lt;='TABEL KONVERSI'!$C$5),3,IF(AND(AU27&gt;='TABEL KONVERSI'!$B$6,'ENTRY DATA'!AU27&lt;='TABEL KONVERSI'!$C$6),4,"")))),"-")</f>
        <v>-</v>
      </c>
      <c r="AX27" s="38" t="str">
        <f t="shared" si="48"/>
        <v>-</v>
      </c>
      <c r="AY27" s="38" t="str">
        <f>VLOOKUP(AV27,'TABEL KONVERSI'!$A$3:$D$7,4)</f>
        <v>-</v>
      </c>
      <c r="AZ27" s="38" t="str">
        <f t="shared" si="49"/>
        <v>-</v>
      </c>
      <c r="BA27" s="38" t="str">
        <f>VLOOKUP(AW27,'TABEL KONVERSI'!$A$3:$D$7,4)</f>
        <v>-</v>
      </c>
      <c r="BB27" s="42"/>
      <c r="BC27" s="37"/>
      <c r="BD27" s="73"/>
      <c r="BE27" s="73"/>
      <c r="BF27" s="38" t="str">
        <f t="shared" si="50"/>
        <v/>
      </c>
      <c r="BG27" s="38" t="str">
        <f t="shared" si="51"/>
        <v/>
      </c>
      <c r="BH27" s="38" t="str">
        <f>IF(BF27&lt;&gt;"",IF(AND(BF27&gt;='TABEL KONVERSI'!$B$3,'ENTRY DATA'!BF27&lt;='TABEL KONVERSI'!$C$3),1,IF(AND(BF27&gt;='TABEL KONVERSI'!$B$4,'ENTRY DATA'!BF27&lt;='TABEL KONVERSI'!$C$4),2,IF(AND(BF27&gt;='TABEL KONVERSI'!$B$5,'ENTRY DATA'!BF27&lt;='TABEL KONVERSI'!$C$5),3,IF(AND(BF27&gt;='TABEL KONVERSI'!$B$6,'ENTRY DATA'!BF27&lt;='TABEL KONVERSI'!$C$6),4,"")))),"-")</f>
        <v>-</v>
      </c>
      <c r="BI27" s="38" t="str">
        <f>IF(BG27&lt;&gt;"",IF(AND(BG27&gt;='TABEL KONVERSI'!$B$3,'ENTRY DATA'!BG27&lt;='TABEL KONVERSI'!$C$3),1,IF(AND(BG27&gt;='TABEL KONVERSI'!$B$4,'ENTRY DATA'!BG27&lt;='TABEL KONVERSI'!$C$4),2,IF(AND(BG27&gt;='TABEL KONVERSI'!$B$5,'ENTRY DATA'!BG27&lt;='TABEL KONVERSI'!$C$5),3,IF(AND(BG27&gt;='TABEL KONVERSI'!$B$6,'ENTRY DATA'!BG27&lt;='TABEL KONVERSI'!$C$6),4,"")))),"-")</f>
        <v>-</v>
      </c>
      <c r="BJ27" s="38" t="str">
        <f t="shared" si="52"/>
        <v>-</v>
      </c>
      <c r="BK27" s="38" t="str">
        <f>VLOOKUP(BH27,'TABEL KONVERSI'!$A$3:$D$7,4)</f>
        <v>-</v>
      </c>
      <c r="BL27" s="38" t="str">
        <f t="shared" si="53"/>
        <v>-</v>
      </c>
      <c r="BM27" s="38" t="str">
        <f>VLOOKUP(BI27,'TABEL KONVERSI'!$A$3:$D$7,4)</f>
        <v>-</v>
      </c>
      <c r="BN27" s="42"/>
      <c r="BO27" s="37"/>
      <c r="BP27" s="73"/>
      <c r="BQ27" s="73"/>
      <c r="BR27" s="38" t="str">
        <f t="shared" si="54"/>
        <v/>
      </c>
      <c r="BS27" s="38" t="str">
        <f t="shared" si="55"/>
        <v/>
      </c>
      <c r="BT27" s="38" t="str">
        <f>IF(BR27&lt;&gt;"",IF(AND(BR27&gt;='TABEL KONVERSI'!$B$3,'ENTRY DATA'!BR27&lt;='TABEL KONVERSI'!$C$3),1,IF(AND(BR27&gt;='TABEL KONVERSI'!$B$4,'ENTRY DATA'!BR27&lt;='TABEL KONVERSI'!$C$4),2,IF(AND(BR27&gt;='TABEL KONVERSI'!$B$5,'ENTRY DATA'!BR27&lt;='TABEL KONVERSI'!$C$5),3,IF(AND(BR27&gt;='TABEL KONVERSI'!$B$6,'ENTRY DATA'!BR27&lt;='TABEL KONVERSI'!$C$6),4,"")))),"-")</f>
        <v>-</v>
      </c>
      <c r="BU27" s="38" t="str">
        <f>IF(BS27&lt;&gt;"",IF(AND(BS27&gt;='TABEL KONVERSI'!$B$3,'ENTRY DATA'!BS27&lt;='TABEL KONVERSI'!$C$3),1,IF(AND(BS27&gt;='TABEL KONVERSI'!$B$4,'ENTRY DATA'!BS27&lt;='TABEL KONVERSI'!$C$4),2,IF(AND(BS27&gt;='TABEL KONVERSI'!$B$5,'ENTRY DATA'!BS27&lt;='TABEL KONVERSI'!$C$5),3,IF(AND(BS27&gt;='TABEL KONVERSI'!$B$6,'ENTRY DATA'!BS27&lt;='TABEL KONVERSI'!$C$6),4,"")))),"-")</f>
        <v>-</v>
      </c>
      <c r="BV27" s="38" t="str">
        <f t="shared" si="56"/>
        <v>-</v>
      </c>
      <c r="BW27" s="38" t="str">
        <f>VLOOKUP(BT27,'TABEL KONVERSI'!$A$3:$D$7,4)</f>
        <v>-</v>
      </c>
      <c r="BX27" s="38" t="str">
        <f t="shared" si="57"/>
        <v>-</v>
      </c>
      <c r="BY27" s="38" t="str">
        <f>VLOOKUP(BU27,'TABEL KONVERSI'!$A$3:$D$7,4)</f>
        <v>-</v>
      </c>
      <c r="BZ27" s="42"/>
      <c r="CA27" s="37"/>
      <c r="CB27" s="73"/>
      <c r="CC27" s="73"/>
      <c r="CD27" s="38" t="str">
        <f t="shared" si="58"/>
        <v/>
      </c>
      <c r="CE27" s="38" t="str">
        <f t="shared" si="59"/>
        <v/>
      </c>
      <c r="CF27" s="38" t="str">
        <f>IF(CD27&lt;&gt;"",IF(AND(CD27&gt;='TABEL KONVERSI'!$B$3,'ENTRY DATA'!CD27&lt;='TABEL KONVERSI'!$C$3),1,IF(AND(CD27&gt;='TABEL KONVERSI'!$B$4,'ENTRY DATA'!CD27&lt;='TABEL KONVERSI'!$C$4),2,IF(AND(CD27&gt;='TABEL KONVERSI'!$B$5,'ENTRY DATA'!CD27&lt;='TABEL KONVERSI'!$C$5),3,IF(AND(CD27&gt;='TABEL KONVERSI'!$B$6,'ENTRY DATA'!CD27&lt;='TABEL KONVERSI'!$C$6),4,"")))),"-")</f>
        <v>-</v>
      </c>
      <c r="CG27" s="38" t="str">
        <f>IF(CE27&lt;&gt;"",IF(AND(CE27&gt;='TABEL KONVERSI'!$B$3,'ENTRY DATA'!CE27&lt;='TABEL KONVERSI'!$C$3),1,IF(AND(CE27&gt;='TABEL KONVERSI'!$B$4,'ENTRY DATA'!CE27&lt;='TABEL KONVERSI'!$C$4),2,IF(AND(CE27&gt;='TABEL KONVERSI'!$B$5,'ENTRY DATA'!CE27&lt;='TABEL KONVERSI'!$C$5),3,IF(AND(CE27&gt;='TABEL KONVERSI'!$B$6,'ENTRY DATA'!CE27&lt;='TABEL KONVERSI'!$C$6),4,"")))),"-")</f>
        <v>-</v>
      </c>
      <c r="CH27" s="38" t="str">
        <f t="shared" si="60"/>
        <v>-</v>
      </c>
      <c r="CI27" s="38" t="str">
        <f>VLOOKUP(CF27,'TABEL KONVERSI'!$A$3:$D$7,4)</f>
        <v>-</v>
      </c>
      <c r="CJ27" s="38" t="str">
        <f t="shared" si="61"/>
        <v>-</v>
      </c>
      <c r="CK27" s="38" t="str">
        <f>VLOOKUP(CG27,'TABEL KONVERSI'!$A$3:$D$7,4)</f>
        <v>-</v>
      </c>
      <c r="CL27" s="42"/>
      <c r="CM27" s="37"/>
      <c r="CN27" s="73"/>
      <c r="CO27" s="73"/>
      <c r="CP27" s="38" t="str">
        <f t="shared" si="62"/>
        <v/>
      </c>
      <c r="CQ27" s="38" t="str">
        <f t="shared" si="63"/>
        <v/>
      </c>
      <c r="CR27" s="38" t="str">
        <f>IF(CP27&lt;&gt;"",IF(AND(CP27&gt;='TABEL KONVERSI'!$B$3,'ENTRY DATA'!CP27&lt;='TABEL KONVERSI'!$C$3),1,IF(AND(CP27&gt;='TABEL KONVERSI'!$B$4,'ENTRY DATA'!CP27&lt;='TABEL KONVERSI'!$C$4),2,IF(AND(CP27&gt;='TABEL KONVERSI'!$B$5,'ENTRY DATA'!CP27&lt;='TABEL KONVERSI'!$C$5),3,IF(AND(CP27&gt;='TABEL KONVERSI'!$B$6,'ENTRY DATA'!CP27&lt;='TABEL KONVERSI'!$C$6),4,"")))),"-")</f>
        <v>-</v>
      </c>
      <c r="CS27" s="38" t="str">
        <f>IF(CQ27&lt;&gt;"",IF(AND(CQ27&gt;='TABEL KONVERSI'!$B$3,'ENTRY DATA'!CQ27&lt;='TABEL KONVERSI'!$C$3),1,IF(AND(CQ27&gt;='TABEL KONVERSI'!$B$4,'ENTRY DATA'!CQ27&lt;='TABEL KONVERSI'!$C$4),2,IF(AND(CQ27&gt;='TABEL KONVERSI'!$B$5,'ENTRY DATA'!CQ27&lt;='TABEL KONVERSI'!$C$5),3,IF(AND(CQ27&gt;='TABEL KONVERSI'!$B$6,'ENTRY DATA'!CQ27&lt;='TABEL KONVERSI'!$C$6),4,"")))),"-")</f>
        <v>-</v>
      </c>
      <c r="CT27" s="38" t="str">
        <f t="shared" si="64"/>
        <v>-</v>
      </c>
      <c r="CU27" s="38" t="str">
        <f>VLOOKUP(CR27,'TABEL KONVERSI'!$A$3:$D$7,4)</f>
        <v>-</v>
      </c>
      <c r="CV27" s="38" t="str">
        <f t="shared" si="65"/>
        <v>-</v>
      </c>
      <c r="CW27" s="38" t="str">
        <f>VLOOKUP(CS27,'TABEL KONVERSI'!$A$3:$D$7,4)</f>
        <v>-</v>
      </c>
      <c r="CX27" s="42"/>
      <c r="CY27" s="37"/>
      <c r="CZ27" s="73"/>
      <c r="DA27" s="73"/>
      <c r="DB27" s="38" t="str">
        <f t="shared" si="66"/>
        <v/>
      </c>
      <c r="DC27" s="38" t="str">
        <f t="shared" si="67"/>
        <v/>
      </c>
      <c r="DD27" s="38" t="str">
        <f>IF(DB27&lt;&gt;"",IF(AND(DB27&gt;='TABEL KONVERSI'!$B$3,'ENTRY DATA'!DB27&lt;='TABEL KONVERSI'!$C$3),1,IF(AND(DB27&gt;='TABEL KONVERSI'!$B$4,'ENTRY DATA'!DB27&lt;='TABEL KONVERSI'!$C$4),2,IF(AND(DB27&gt;='TABEL KONVERSI'!$B$5,'ENTRY DATA'!DB27&lt;='TABEL KONVERSI'!$C$5),3,IF(AND(DB27&gt;='TABEL KONVERSI'!$B$6,'ENTRY DATA'!DB27&lt;='TABEL KONVERSI'!$C$6),4,"")))),"-")</f>
        <v>-</v>
      </c>
      <c r="DE27" s="38" t="str">
        <f>IF(DC27&lt;&gt;"",IF(AND(DC27&gt;='TABEL KONVERSI'!$B$3,'ENTRY DATA'!DC27&lt;='TABEL KONVERSI'!$C$3),1,IF(AND(DC27&gt;='TABEL KONVERSI'!$B$4,'ENTRY DATA'!DC27&lt;='TABEL KONVERSI'!$C$4),2,IF(AND(DC27&gt;='TABEL KONVERSI'!$B$5,'ENTRY DATA'!DC27&lt;='TABEL KONVERSI'!$C$5),3,IF(AND(DC27&gt;='TABEL KONVERSI'!$B$6,'ENTRY DATA'!DC27&lt;='TABEL KONVERSI'!$C$6),4,"")))),"-")</f>
        <v>-</v>
      </c>
      <c r="DF27" s="38" t="str">
        <f t="shared" si="68"/>
        <v>-</v>
      </c>
      <c r="DG27" s="38" t="str">
        <f>VLOOKUP(DD27,'TABEL KONVERSI'!$A$3:$D$7,4)</f>
        <v>-</v>
      </c>
      <c r="DH27" s="38" t="str">
        <f t="shared" si="69"/>
        <v>-</v>
      </c>
      <c r="DI27" s="38" t="str">
        <f>VLOOKUP(DE27,'TABEL KONVERSI'!$A$3:$D$7,4)</f>
        <v>-</v>
      </c>
      <c r="DJ27" s="42"/>
      <c r="DK27" s="37"/>
      <c r="DL27" s="73"/>
      <c r="DM27" s="73"/>
      <c r="DN27" s="38" t="str">
        <f t="shared" si="70"/>
        <v/>
      </c>
      <c r="DO27" s="38" t="str">
        <f t="shared" si="71"/>
        <v/>
      </c>
      <c r="DP27" s="38" t="str">
        <f>IF(DN27&lt;&gt;"",IF(AND(DN27&gt;='TABEL KONVERSI'!$B$3,'ENTRY DATA'!DN27&lt;='TABEL KONVERSI'!$C$3),1,IF(AND(DN27&gt;='TABEL KONVERSI'!$B$4,'ENTRY DATA'!DN27&lt;='TABEL KONVERSI'!$C$4),2,IF(AND(DN27&gt;='TABEL KONVERSI'!$B$5,'ENTRY DATA'!DN27&lt;='TABEL KONVERSI'!$C$5),3,IF(AND(DN27&gt;='TABEL KONVERSI'!$B$6,'ENTRY DATA'!DN27&lt;='TABEL KONVERSI'!$C$6),4,"")))),"-")</f>
        <v>-</v>
      </c>
      <c r="DQ27" s="38" t="str">
        <f>IF(DO27&lt;&gt;"",IF(AND(DO27&gt;='TABEL KONVERSI'!$B$3,'ENTRY DATA'!DO27&lt;='TABEL KONVERSI'!$C$3),1,IF(AND(DO27&gt;='TABEL KONVERSI'!$B$4,'ENTRY DATA'!DO27&lt;='TABEL KONVERSI'!$C$4),2,IF(AND(DO27&gt;='TABEL KONVERSI'!$B$5,'ENTRY DATA'!DO27&lt;='TABEL KONVERSI'!$C$5),3,IF(AND(DO27&gt;='TABEL KONVERSI'!$B$6,'ENTRY DATA'!DO27&lt;='TABEL KONVERSI'!$C$6),4,"")))),"-")</f>
        <v>-</v>
      </c>
      <c r="DR27" s="38" t="str">
        <f t="shared" si="72"/>
        <v>-</v>
      </c>
      <c r="DS27" s="38" t="str">
        <f>VLOOKUP(DP27,'TABEL KONVERSI'!$A$3:$D$7,4)</f>
        <v>-</v>
      </c>
      <c r="DT27" s="38" t="str">
        <f t="shared" si="73"/>
        <v>-</v>
      </c>
      <c r="DU27" s="38" t="str">
        <f>VLOOKUP(DQ27,'TABEL KONVERSI'!$A$3:$D$7,4)</f>
        <v>-</v>
      </c>
      <c r="DV27" s="42"/>
      <c r="DW27" s="37"/>
      <c r="DX27" s="73"/>
      <c r="DY27" s="73"/>
      <c r="DZ27" s="38" t="str">
        <f t="shared" si="74"/>
        <v/>
      </c>
      <c r="EA27" s="38" t="str">
        <f t="shared" si="75"/>
        <v/>
      </c>
      <c r="EB27" s="38" t="str">
        <f>IF(DZ27&lt;&gt;"",IF(AND(DZ27&gt;='TABEL KONVERSI'!$B$3,'ENTRY DATA'!DZ27&lt;='TABEL KONVERSI'!$C$3),1,IF(AND(DZ27&gt;='TABEL KONVERSI'!$B$4,'ENTRY DATA'!DZ27&lt;='TABEL KONVERSI'!$C$4),2,IF(AND(DZ27&gt;='TABEL KONVERSI'!$B$5,'ENTRY DATA'!DZ27&lt;='TABEL KONVERSI'!$C$5),3,IF(AND(DZ27&gt;='TABEL KONVERSI'!$B$6,'ENTRY DATA'!DZ27&lt;='TABEL KONVERSI'!$C$6),4,"")))),"-")</f>
        <v>-</v>
      </c>
      <c r="EC27" s="38" t="str">
        <f>IF(EA27&lt;&gt;"",IF(AND(EA27&gt;='TABEL KONVERSI'!$B$3,'ENTRY DATA'!EA27&lt;='TABEL KONVERSI'!$C$3),1,IF(AND(EA27&gt;='TABEL KONVERSI'!$B$4,'ENTRY DATA'!EA27&lt;='TABEL KONVERSI'!$C$4),2,IF(AND(EA27&gt;='TABEL KONVERSI'!$B$5,'ENTRY DATA'!EA27&lt;='TABEL KONVERSI'!$C$5),3,IF(AND(EA27&gt;='TABEL KONVERSI'!$B$6,'ENTRY DATA'!EA27&lt;='TABEL KONVERSI'!$C$6),4,"")))),"-")</f>
        <v>-</v>
      </c>
      <c r="ED27" s="38" t="str">
        <f t="shared" si="76"/>
        <v>-</v>
      </c>
      <c r="EE27" s="38" t="str">
        <f>VLOOKUP(EB27,'TABEL KONVERSI'!$A$3:$D$7,4)</f>
        <v>-</v>
      </c>
      <c r="EF27" s="38" t="str">
        <f t="shared" si="77"/>
        <v>-</v>
      </c>
      <c r="EG27" s="38" t="str">
        <f>VLOOKUP(EC27,'TABEL KONVERSI'!$A$3:$D$7,4)</f>
        <v>-</v>
      </c>
      <c r="EH27" s="42"/>
      <c r="EI27" s="37"/>
      <c r="EJ27" s="73"/>
      <c r="EK27" s="73"/>
      <c r="EL27" s="38" t="str">
        <f t="shared" si="78"/>
        <v/>
      </c>
      <c r="EM27" s="38" t="str">
        <f t="shared" si="79"/>
        <v/>
      </c>
      <c r="EN27" s="38" t="str">
        <f>IF(EL27&lt;&gt;"",IF(AND(EL27&gt;='TABEL KONVERSI'!$B$3,'ENTRY DATA'!EL27&lt;='TABEL KONVERSI'!$C$3),1,IF(AND(EL27&gt;='TABEL KONVERSI'!$B$4,'ENTRY DATA'!EL27&lt;='TABEL KONVERSI'!$C$4),2,IF(AND(EL27&gt;='TABEL KONVERSI'!$B$5,'ENTRY DATA'!EL27&lt;='TABEL KONVERSI'!$C$5),3,IF(AND(EL27&gt;='TABEL KONVERSI'!$B$6,'ENTRY DATA'!EL27&lt;='TABEL KONVERSI'!$C$6),4,"")))),"-")</f>
        <v>-</v>
      </c>
      <c r="EO27" s="38" t="str">
        <f>IF(EM27&lt;&gt;"",IF(AND(EM27&gt;='TABEL KONVERSI'!$B$3,'ENTRY DATA'!EM27&lt;='TABEL KONVERSI'!$C$3),1,IF(AND(EM27&gt;='TABEL KONVERSI'!$B$4,'ENTRY DATA'!EM27&lt;='TABEL KONVERSI'!$C$4),2,IF(AND(EM27&gt;='TABEL KONVERSI'!$B$5,'ENTRY DATA'!EM27&lt;='TABEL KONVERSI'!$C$5),3,IF(AND(EM27&gt;='TABEL KONVERSI'!$B$6,'ENTRY DATA'!EM27&lt;='TABEL KONVERSI'!$C$6),4,"")))),"-")</f>
        <v>-</v>
      </c>
      <c r="EP27" s="38" t="str">
        <f t="shared" si="80"/>
        <v>-</v>
      </c>
      <c r="EQ27" s="38" t="str">
        <f>VLOOKUP(EN27,'TABEL KONVERSI'!$A$3:$D$7,4)</f>
        <v>-</v>
      </c>
      <c r="ER27" s="38" t="str">
        <f t="shared" si="81"/>
        <v>-</v>
      </c>
      <c r="ES27" s="38" t="str">
        <f>VLOOKUP(EO27,'TABEL KONVERSI'!$A$3:$D$7,4)</f>
        <v>-</v>
      </c>
      <c r="ET27" s="42"/>
      <c r="EU27" s="37"/>
      <c r="EV27" s="73"/>
      <c r="EW27" s="73"/>
      <c r="EX27" s="38" t="str">
        <f t="shared" si="82"/>
        <v/>
      </c>
      <c r="EY27" s="38" t="str">
        <f t="shared" si="83"/>
        <v/>
      </c>
      <c r="EZ27" s="38" t="str">
        <f>IF(EX27&lt;&gt;"",IF(AND(EX27&gt;='TABEL KONVERSI'!$B$3,'ENTRY DATA'!EX27&lt;='TABEL KONVERSI'!$C$3),1,IF(AND(EX27&gt;='TABEL KONVERSI'!$B$4,'ENTRY DATA'!EX27&lt;='TABEL KONVERSI'!$C$4),2,IF(AND(EX27&gt;='TABEL KONVERSI'!$B$5,'ENTRY DATA'!EX27&lt;='TABEL KONVERSI'!$C$5),3,IF(AND(EX27&gt;='TABEL KONVERSI'!$B$6,'ENTRY DATA'!EX27&lt;='TABEL KONVERSI'!$C$6),4,"")))),"-")</f>
        <v>-</v>
      </c>
      <c r="FA27" s="38" t="str">
        <f>IF(EY27&lt;&gt;"",IF(AND(EY27&gt;='TABEL KONVERSI'!$B$3,'ENTRY DATA'!EY27&lt;='TABEL KONVERSI'!$C$3),1,IF(AND(EY27&gt;='TABEL KONVERSI'!$B$4,'ENTRY DATA'!EY27&lt;='TABEL KONVERSI'!$C$4),2,IF(AND(EY27&gt;='TABEL KONVERSI'!$B$5,'ENTRY DATA'!EY27&lt;='TABEL KONVERSI'!$C$5),3,IF(AND(EY27&gt;='TABEL KONVERSI'!$B$6,'ENTRY DATA'!EY27&lt;='TABEL KONVERSI'!$C$6),4,"")))),"-")</f>
        <v>-</v>
      </c>
      <c r="FB27" s="38" t="str">
        <f t="shared" si="84"/>
        <v>-</v>
      </c>
      <c r="FC27" s="38" t="str">
        <f>VLOOKUP(EZ27,'TABEL KONVERSI'!$A$3:$D$7,4)</f>
        <v>-</v>
      </c>
      <c r="FD27" s="38" t="str">
        <f t="shared" si="85"/>
        <v>-</v>
      </c>
      <c r="FE27" s="38" t="str">
        <f>VLOOKUP(FA27,'TABEL KONVERSI'!$A$3:$D$7,4)</f>
        <v>-</v>
      </c>
      <c r="FF27" s="42"/>
      <c r="FG27" s="37"/>
      <c r="FH27" s="73"/>
      <c r="FI27" s="73"/>
      <c r="FJ27" s="38" t="str">
        <f t="shared" si="86"/>
        <v/>
      </c>
      <c r="FK27" s="38" t="str">
        <f t="shared" si="87"/>
        <v/>
      </c>
      <c r="FL27" s="38" t="str">
        <f>IF(FJ27&lt;&gt;"",IF(AND(FJ27&gt;='TABEL KONVERSI'!$B$3,'ENTRY DATA'!FJ27&lt;='TABEL KONVERSI'!$C$3),1,IF(AND(FJ27&gt;='TABEL KONVERSI'!$B$4,'ENTRY DATA'!FJ27&lt;='TABEL KONVERSI'!$C$4),2,IF(AND(FJ27&gt;='TABEL KONVERSI'!$B$5,'ENTRY DATA'!FJ27&lt;='TABEL KONVERSI'!$C$5),3,IF(AND(FJ27&gt;='TABEL KONVERSI'!$B$6,'ENTRY DATA'!FJ27&lt;='TABEL KONVERSI'!$C$6),4,"")))),"-")</f>
        <v>-</v>
      </c>
      <c r="FM27" s="38" t="str">
        <f>IF(FK27&lt;&gt;"",IF(AND(FK27&gt;='TABEL KONVERSI'!$B$3,'ENTRY DATA'!FK27&lt;='TABEL KONVERSI'!$C$3),1,IF(AND(FK27&gt;='TABEL KONVERSI'!$B$4,'ENTRY DATA'!FK27&lt;='TABEL KONVERSI'!$C$4),2,IF(AND(FK27&gt;='TABEL KONVERSI'!$B$5,'ENTRY DATA'!FK27&lt;='TABEL KONVERSI'!$C$5),3,IF(AND(FK27&gt;='TABEL KONVERSI'!$B$6,'ENTRY DATA'!FK27&lt;='TABEL KONVERSI'!$C$6),4,"")))),"-")</f>
        <v>-</v>
      </c>
      <c r="FN27" s="38" t="str">
        <f t="shared" si="88"/>
        <v>-</v>
      </c>
      <c r="FO27" s="38" t="str">
        <f>VLOOKUP(FL27,'TABEL KONVERSI'!$A$3:$D$7,4)</f>
        <v>-</v>
      </c>
      <c r="FP27" s="38" t="str">
        <f t="shared" si="89"/>
        <v>-</v>
      </c>
      <c r="FQ27" s="38" t="str">
        <f>VLOOKUP(FM27,'TABEL KONVERSI'!$A$3:$D$7,4)</f>
        <v>-</v>
      </c>
      <c r="FR27" s="42"/>
      <c r="FS27" s="37"/>
      <c r="FT27" s="73"/>
      <c r="FU27" s="73"/>
      <c r="FV27" s="38" t="str">
        <f t="shared" si="90"/>
        <v/>
      </c>
      <c r="FW27" s="38" t="str">
        <f t="shared" si="91"/>
        <v/>
      </c>
      <c r="FX27" s="38" t="str">
        <f>IF(FV27&lt;&gt;"",IF(AND(FV27&gt;='TABEL KONVERSI'!$B$3,'ENTRY DATA'!FV27&lt;='TABEL KONVERSI'!$C$3),1,IF(AND(FV27&gt;='TABEL KONVERSI'!$B$4,'ENTRY DATA'!FV27&lt;='TABEL KONVERSI'!$C$4),2,IF(AND(FV27&gt;='TABEL KONVERSI'!$B$5,'ENTRY DATA'!FV27&lt;='TABEL KONVERSI'!$C$5),3,IF(AND(FV27&gt;='TABEL KONVERSI'!$B$6,'ENTRY DATA'!FV27&lt;='TABEL KONVERSI'!$C$6),4,"")))),"-")</f>
        <v>-</v>
      </c>
      <c r="FY27" s="38" t="str">
        <f>IF(FW27&lt;&gt;"",IF(AND(FW27&gt;='TABEL KONVERSI'!$B$3,'ENTRY DATA'!FW27&lt;='TABEL KONVERSI'!$C$3),1,IF(AND(FW27&gt;='TABEL KONVERSI'!$B$4,'ENTRY DATA'!FW27&lt;='TABEL KONVERSI'!$C$4),2,IF(AND(FW27&gt;='TABEL KONVERSI'!$B$5,'ENTRY DATA'!FW27&lt;='TABEL KONVERSI'!$C$5),3,IF(AND(FW27&gt;='TABEL KONVERSI'!$B$6,'ENTRY DATA'!FW27&lt;='TABEL KONVERSI'!$C$6),4,"")))),"-")</f>
        <v>-</v>
      </c>
      <c r="FZ27" s="38" t="str">
        <f t="shared" si="92"/>
        <v>-</v>
      </c>
      <c r="GA27" s="38" t="str">
        <f>VLOOKUP(FX27,'TABEL KONVERSI'!$A$3:$D$7,4)</f>
        <v>-</v>
      </c>
      <c r="GB27" s="38" t="str">
        <f t="shared" si="93"/>
        <v>-</v>
      </c>
      <c r="GC27" s="38" t="str">
        <f>VLOOKUP(FY27,'TABEL KONVERSI'!$A$3:$D$7,4)</f>
        <v>-</v>
      </c>
      <c r="GD27" s="42"/>
      <c r="GE27" s="37"/>
      <c r="GF27" s="73"/>
      <c r="GG27" s="73"/>
      <c r="GH27" s="38" t="str">
        <f t="shared" si="94"/>
        <v/>
      </c>
      <c r="GI27" s="38" t="str">
        <f t="shared" si="95"/>
        <v/>
      </c>
      <c r="GJ27" s="38" t="str">
        <f>IF(GH27&lt;&gt;"",IF(AND(GH27&gt;='TABEL KONVERSI'!$B$3,'ENTRY DATA'!GH27&lt;='TABEL KONVERSI'!$C$3),1,IF(AND(GH27&gt;='TABEL KONVERSI'!$B$4,'ENTRY DATA'!GH27&lt;='TABEL KONVERSI'!$C$4),2,IF(AND(GH27&gt;='TABEL KONVERSI'!$B$5,'ENTRY DATA'!GH27&lt;='TABEL KONVERSI'!$C$5),3,IF(AND(GH27&gt;='TABEL KONVERSI'!$B$6,'ENTRY DATA'!GH27&lt;='TABEL KONVERSI'!$C$6),4,"")))),"-")</f>
        <v>-</v>
      </c>
      <c r="GK27" s="38" t="str">
        <f>IF(GI27&lt;&gt;"",IF(AND(GI27&gt;='TABEL KONVERSI'!$B$3,'ENTRY DATA'!GI27&lt;='TABEL KONVERSI'!$C$3),1,IF(AND(GI27&gt;='TABEL KONVERSI'!$B$4,'ENTRY DATA'!GI27&lt;='TABEL KONVERSI'!$C$4),2,IF(AND(GI27&gt;='TABEL KONVERSI'!$B$5,'ENTRY DATA'!GI27&lt;='TABEL KONVERSI'!$C$5),3,IF(AND(GI27&gt;='TABEL KONVERSI'!$B$6,'ENTRY DATA'!GI27&lt;='TABEL KONVERSI'!$C$6),4,"")))),"-")</f>
        <v>-</v>
      </c>
      <c r="GL27" s="38" t="str">
        <f t="shared" si="96"/>
        <v>-</v>
      </c>
      <c r="GM27" s="38" t="str">
        <f>VLOOKUP(GJ27,'TABEL KONVERSI'!$A$3:$D$7,4)</f>
        <v>-</v>
      </c>
      <c r="GN27" s="38" t="str">
        <f t="shared" si="97"/>
        <v>-</v>
      </c>
      <c r="GO27" s="38" t="str">
        <f>VLOOKUP(GK27,'TABEL KONVERSI'!$A$3:$D$7,4)</f>
        <v>-</v>
      </c>
      <c r="GP27" s="43">
        <f t="shared" si="0"/>
        <v>0</v>
      </c>
      <c r="GQ27" s="43">
        <f t="shared" si="1"/>
        <v>0</v>
      </c>
      <c r="GR27" s="43">
        <f t="shared" si="2"/>
        <v>0</v>
      </c>
      <c r="GS27" s="43">
        <f t="shared" si="3"/>
        <v>0</v>
      </c>
      <c r="GT27" s="43">
        <f t="shared" si="4"/>
        <v>0</v>
      </c>
      <c r="GU27" s="43">
        <f t="shared" si="5"/>
        <v>0</v>
      </c>
      <c r="GV27" s="43">
        <f t="shared" si="6"/>
        <v>0</v>
      </c>
      <c r="GW27" s="43">
        <f t="shared" si="7"/>
        <v>0</v>
      </c>
      <c r="GX27" s="43">
        <f t="shared" si="8"/>
        <v>0</v>
      </c>
      <c r="GY27" s="43">
        <f t="shared" si="9"/>
        <v>0</v>
      </c>
      <c r="GZ27" s="43">
        <f t="shared" si="10"/>
        <v>0</v>
      </c>
      <c r="HA27" s="43">
        <f t="shared" si="11"/>
        <v>0</v>
      </c>
      <c r="HB27" s="43">
        <f t="shared" si="12"/>
        <v>0</v>
      </c>
      <c r="HC27" s="43">
        <f t="shared" si="13"/>
        <v>0</v>
      </c>
      <c r="HD27" s="43">
        <f t="shared" si="14"/>
        <v>0</v>
      </c>
      <c r="HE27" s="43">
        <f t="shared" si="15"/>
        <v>0</v>
      </c>
      <c r="HF27" s="38">
        <f t="shared" si="98"/>
        <v>0</v>
      </c>
      <c r="HG27" s="38">
        <f t="shared" si="99"/>
        <v>0</v>
      </c>
      <c r="HH27" s="38">
        <f t="shared" si="100"/>
        <v>0</v>
      </c>
      <c r="HI27" s="39">
        <f t="shared" si="101"/>
        <v>0</v>
      </c>
      <c r="HJ27" s="44" t="str">
        <f t="shared" si="102"/>
        <v>-</v>
      </c>
      <c r="HK27" s="45" t="str">
        <f>VLOOKUP(HJ27,'TABEL KONVERSI'!$B$11:$D$15,2,0)</f>
        <v>-</v>
      </c>
      <c r="HL27" s="43">
        <f t="shared" si="16"/>
        <v>0</v>
      </c>
      <c r="HM27" s="43">
        <f t="shared" si="17"/>
        <v>0</v>
      </c>
      <c r="HN27" s="43">
        <f t="shared" si="18"/>
        <v>0</v>
      </c>
      <c r="HO27" s="43">
        <f t="shared" si="19"/>
        <v>0</v>
      </c>
      <c r="HP27" s="43">
        <f t="shared" si="20"/>
        <v>0</v>
      </c>
      <c r="HQ27" s="43">
        <f t="shared" si="21"/>
        <v>0</v>
      </c>
      <c r="HR27" s="43">
        <f t="shared" si="22"/>
        <v>0</v>
      </c>
      <c r="HS27" s="43">
        <f t="shared" si="23"/>
        <v>0</v>
      </c>
      <c r="HT27" s="43">
        <f t="shared" si="24"/>
        <v>0</v>
      </c>
      <c r="HU27" s="43">
        <f t="shared" si="25"/>
        <v>0</v>
      </c>
      <c r="HV27" s="43">
        <f t="shared" si="26"/>
        <v>0</v>
      </c>
      <c r="HW27" s="43">
        <f t="shared" si="27"/>
        <v>0</v>
      </c>
      <c r="HX27" s="43">
        <f t="shared" si="28"/>
        <v>0</v>
      </c>
      <c r="HY27" s="43">
        <f t="shared" si="29"/>
        <v>0</v>
      </c>
      <c r="HZ27" s="43">
        <f t="shared" si="30"/>
        <v>0</v>
      </c>
      <c r="IA27" s="43">
        <f t="shared" si="31"/>
        <v>0</v>
      </c>
      <c r="IB27" s="38">
        <f t="shared" si="103"/>
        <v>0</v>
      </c>
      <c r="IC27" s="38">
        <f t="shared" si="104"/>
        <v>0</v>
      </c>
      <c r="ID27" s="38">
        <f t="shared" si="105"/>
        <v>0</v>
      </c>
      <c r="IE27" s="38">
        <f t="shared" si="106"/>
        <v>0</v>
      </c>
      <c r="IF27" s="46" t="str">
        <f t="shared" si="107"/>
        <v>-</v>
      </c>
      <c r="IG27" s="45" t="str">
        <f>VLOOKUP(IF27,'TABEL KONVERSI'!$B$11:$D$15,3,0)</f>
        <v>-</v>
      </c>
      <c r="IH27" s="40" t="s">
        <v>223</v>
      </c>
      <c r="II27" s="41" t="s">
        <v>106</v>
      </c>
      <c r="IJ27" s="45" t="str">
        <f>IF(II27&lt;&gt;"",VLOOKUP(II27,'TABEL KONVERSI'!$A$19:$B$23,2,0),"")</f>
        <v>Aktif dalam mengikuti kegiatan</v>
      </c>
      <c r="IK27" s="47" t="s">
        <v>58</v>
      </c>
      <c r="IL27" s="50" t="s">
        <v>58</v>
      </c>
      <c r="IM27" s="45" t="str">
        <f>IF(IL27&lt;&gt;"",VLOOKUP(IL27,'TABEL KONVERSI'!$A$19:$B$23,2,0),"")</f>
        <v>-</v>
      </c>
      <c r="IN27" s="49" t="s">
        <v>58</v>
      </c>
      <c r="IO27" s="48" t="s">
        <v>58</v>
      </c>
      <c r="IP27" s="45" t="str">
        <f>IF(IO27&lt;&gt;"",VLOOKUP(IO27,'TABEL KONVERSI'!$A$19:$B$23,2,0),"")</f>
        <v>-</v>
      </c>
      <c r="IQ27" s="49" t="s">
        <v>58</v>
      </c>
      <c r="IR27" s="50" t="s">
        <v>58</v>
      </c>
      <c r="IS27" s="45" t="str">
        <f>IF(IR27&lt;&gt;"",VLOOKUP(IR27,'TABEL KONVERSI'!$A$19:$B$23,2,0),"")</f>
        <v>-</v>
      </c>
      <c r="IT27" s="49" t="s">
        <v>58</v>
      </c>
      <c r="IU27" s="50" t="s">
        <v>58</v>
      </c>
      <c r="IV27" s="45" t="str">
        <f>IF(IU27&lt;&gt;"",VLOOKUP(IU27,'TABEL KONVERSI'!$A$19:$B$23,2,0),"")</f>
        <v>-</v>
      </c>
      <c r="IW27" s="48" t="s">
        <v>58</v>
      </c>
      <c r="IX27" s="48" t="s">
        <v>58</v>
      </c>
      <c r="IY27" s="48" t="s">
        <v>58</v>
      </c>
      <c r="IZ27" s="47" t="s">
        <v>58</v>
      </c>
      <c r="JA27" s="45">
        <f t="shared" si="32"/>
        <v>0</v>
      </c>
      <c r="JB27" s="45">
        <f t="shared" si="33"/>
        <v>1</v>
      </c>
    </row>
    <row r="28" spans="1:262" x14ac:dyDescent="0.25">
      <c r="A28" s="33">
        <v>16</v>
      </c>
      <c r="B28" s="51"/>
      <c r="C28" s="51"/>
      <c r="D28" s="77"/>
      <c r="E28" s="52"/>
      <c r="F28" s="42"/>
      <c r="G28" s="37"/>
      <c r="H28" s="73"/>
      <c r="I28" s="73"/>
      <c r="J28" s="38" t="str">
        <f t="shared" si="34"/>
        <v/>
      </c>
      <c r="K28" s="38" t="str">
        <f t="shared" si="35"/>
        <v/>
      </c>
      <c r="L28" s="38" t="str">
        <f>IF(J28&lt;&gt;"",IF(AND(J28&gt;='TABEL KONVERSI'!$B$3,'ENTRY DATA'!J28&lt;='TABEL KONVERSI'!$C$3),1,IF(AND(J28&gt;='TABEL KONVERSI'!$B$4,'ENTRY DATA'!J28&lt;='TABEL KONVERSI'!$C$4),2,IF(AND(J28&gt;='TABEL KONVERSI'!$B$5,'ENTRY DATA'!J28&lt;='TABEL KONVERSI'!$C$5),3,IF(AND(J28&gt;='TABEL KONVERSI'!$B$6,'ENTRY DATA'!J28&lt;='TABEL KONVERSI'!$C$6),4,"")))),"-")</f>
        <v>-</v>
      </c>
      <c r="M28" s="38" t="str">
        <f>IF(K28&lt;&gt;"",IF(AND(K28&gt;='TABEL KONVERSI'!$B$3,'ENTRY DATA'!K28&lt;='TABEL KONVERSI'!$C$3),1,IF(AND(K28&gt;='TABEL KONVERSI'!$B$4,'ENTRY DATA'!K28&lt;='TABEL KONVERSI'!$C$4),2,IF(AND(K28&gt;='TABEL KONVERSI'!$B$5,'ENTRY DATA'!K28&lt;='TABEL KONVERSI'!$C$5),3,IF(AND(K28&gt;='TABEL KONVERSI'!$B$6,'ENTRY DATA'!K28&lt;='TABEL KONVERSI'!$C$6),4,"")))),"-")</f>
        <v>-</v>
      </c>
      <c r="N28" s="38" t="str">
        <f t="shared" si="36"/>
        <v>-</v>
      </c>
      <c r="O28" s="38" t="str">
        <f>VLOOKUP(L28,'TABEL KONVERSI'!$A$3:$D$7,4)</f>
        <v>-</v>
      </c>
      <c r="P28" s="38" t="str">
        <f t="shared" si="37"/>
        <v>-</v>
      </c>
      <c r="Q28" s="38" t="str">
        <f>VLOOKUP(M28,'TABEL KONVERSI'!$A$3:$D$7,4)</f>
        <v>-</v>
      </c>
      <c r="R28" s="42"/>
      <c r="S28" s="37"/>
      <c r="T28" s="73"/>
      <c r="U28" s="73"/>
      <c r="V28" s="38" t="str">
        <f t="shared" si="38"/>
        <v/>
      </c>
      <c r="W28" s="38" t="str">
        <f t="shared" si="39"/>
        <v/>
      </c>
      <c r="X28" s="38" t="str">
        <f>IF(V28&lt;&gt;"",IF(AND(V28&gt;='TABEL KONVERSI'!$B$3,'ENTRY DATA'!V28&lt;='TABEL KONVERSI'!$C$3),1,IF(AND(V28&gt;='TABEL KONVERSI'!$B$4,'ENTRY DATA'!V28&lt;='TABEL KONVERSI'!$C$4),2,IF(AND(V28&gt;='TABEL KONVERSI'!$B$5,'ENTRY DATA'!V28&lt;='TABEL KONVERSI'!$C$5),3,IF(AND(V28&gt;='TABEL KONVERSI'!$B$6,'ENTRY DATA'!V28&lt;='TABEL KONVERSI'!$C$6),4,"")))),"-")</f>
        <v>-</v>
      </c>
      <c r="Y28" s="38" t="str">
        <f>IF(W28&lt;&gt;"",IF(AND(W28&gt;='TABEL KONVERSI'!$B$3,'ENTRY DATA'!W28&lt;='TABEL KONVERSI'!$C$3),1,IF(AND(W28&gt;='TABEL KONVERSI'!$B$4,'ENTRY DATA'!W28&lt;='TABEL KONVERSI'!$C$4),2,IF(AND(W28&gt;='TABEL KONVERSI'!$B$5,'ENTRY DATA'!W28&lt;='TABEL KONVERSI'!$C$5),3,IF(AND(W28&gt;='TABEL KONVERSI'!$B$6,'ENTRY DATA'!W28&lt;='TABEL KONVERSI'!$C$6),4,"")))),"-")</f>
        <v>-</v>
      </c>
      <c r="Z28" s="38" t="str">
        <f t="shared" si="40"/>
        <v>-</v>
      </c>
      <c r="AA28" s="38" t="str">
        <f>VLOOKUP(X28,'TABEL KONVERSI'!$A$3:$D$7,4)</f>
        <v>-</v>
      </c>
      <c r="AB28" s="38" t="str">
        <f t="shared" si="41"/>
        <v>-</v>
      </c>
      <c r="AC28" s="38" t="str">
        <f>VLOOKUP(Y28,'TABEL KONVERSI'!$A$3:$D$7,4)</f>
        <v>-</v>
      </c>
      <c r="AD28" s="42"/>
      <c r="AE28" s="37"/>
      <c r="AF28" s="73"/>
      <c r="AG28" s="73"/>
      <c r="AH28" s="38" t="str">
        <f t="shared" si="42"/>
        <v/>
      </c>
      <c r="AI28" s="38" t="str">
        <f t="shared" si="43"/>
        <v/>
      </c>
      <c r="AJ28" s="38" t="str">
        <f>IF(AH28&lt;&gt;"",IF(AND(AH28&gt;='TABEL KONVERSI'!$B$3,'ENTRY DATA'!AH28&lt;='TABEL KONVERSI'!$C$3),1,IF(AND(AH28&gt;='TABEL KONVERSI'!$B$4,'ENTRY DATA'!AH28&lt;='TABEL KONVERSI'!$C$4),2,IF(AND(AH28&gt;='TABEL KONVERSI'!$B$5,'ENTRY DATA'!AH28&lt;='TABEL KONVERSI'!$C$5),3,IF(AND(AH28&gt;='TABEL KONVERSI'!$B$6,'ENTRY DATA'!AH28&lt;='TABEL KONVERSI'!$C$6),4,"")))),"-")</f>
        <v>-</v>
      </c>
      <c r="AK28" s="38" t="str">
        <f>IF(AI28&lt;&gt;"",IF(AND(AI28&gt;='TABEL KONVERSI'!$B$3,'ENTRY DATA'!AI28&lt;='TABEL KONVERSI'!$C$3),1,IF(AND(AI28&gt;='TABEL KONVERSI'!$B$4,'ENTRY DATA'!AI28&lt;='TABEL KONVERSI'!$C$4),2,IF(AND(AI28&gt;='TABEL KONVERSI'!$B$5,'ENTRY DATA'!AI28&lt;='TABEL KONVERSI'!$C$5),3,IF(AND(AI28&gt;='TABEL KONVERSI'!$B$6,'ENTRY DATA'!AI28&lt;='TABEL KONVERSI'!$C$6),4,"")))),"-")</f>
        <v>-</v>
      </c>
      <c r="AL28" s="38" t="str">
        <f t="shared" si="44"/>
        <v>-</v>
      </c>
      <c r="AM28" s="38" t="str">
        <f>VLOOKUP(AJ28,'TABEL KONVERSI'!$A$3:$D$7,4)</f>
        <v>-</v>
      </c>
      <c r="AN28" s="38" t="str">
        <f t="shared" si="45"/>
        <v>-</v>
      </c>
      <c r="AO28" s="38" t="str">
        <f>VLOOKUP(AK28,'TABEL KONVERSI'!$A$3:$D$7,4)</f>
        <v>-</v>
      </c>
      <c r="AP28" s="42"/>
      <c r="AQ28" s="37"/>
      <c r="AR28" s="73"/>
      <c r="AS28" s="73"/>
      <c r="AT28" s="38" t="str">
        <f t="shared" si="46"/>
        <v/>
      </c>
      <c r="AU28" s="38" t="str">
        <f t="shared" si="47"/>
        <v/>
      </c>
      <c r="AV28" s="38" t="str">
        <f>IF(AT28&lt;&gt;"",IF(AND(AT28&gt;='TABEL KONVERSI'!$B$3,'ENTRY DATA'!AT28&lt;='TABEL KONVERSI'!$C$3),1,IF(AND(AT28&gt;='TABEL KONVERSI'!$B$4,'ENTRY DATA'!AT28&lt;='TABEL KONVERSI'!$C$4),2,IF(AND(AT28&gt;='TABEL KONVERSI'!$B$5,'ENTRY DATA'!AT28&lt;='TABEL KONVERSI'!$C$5),3,IF(AND(AT28&gt;='TABEL KONVERSI'!$B$6,'ENTRY DATA'!AT28&lt;='TABEL KONVERSI'!$C$6),4,"")))),"-")</f>
        <v>-</v>
      </c>
      <c r="AW28" s="38" t="str">
        <f>IF(AU28&lt;&gt;"",IF(AND(AU28&gt;='TABEL KONVERSI'!$B$3,'ENTRY DATA'!AU28&lt;='TABEL KONVERSI'!$C$3),1,IF(AND(AU28&gt;='TABEL KONVERSI'!$B$4,'ENTRY DATA'!AU28&lt;='TABEL KONVERSI'!$C$4),2,IF(AND(AU28&gt;='TABEL KONVERSI'!$B$5,'ENTRY DATA'!AU28&lt;='TABEL KONVERSI'!$C$5),3,IF(AND(AU28&gt;='TABEL KONVERSI'!$B$6,'ENTRY DATA'!AU28&lt;='TABEL KONVERSI'!$C$6),4,"")))),"-")</f>
        <v>-</v>
      </c>
      <c r="AX28" s="38" t="str">
        <f t="shared" si="48"/>
        <v>-</v>
      </c>
      <c r="AY28" s="38" t="str">
        <f>VLOOKUP(AV28,'TABEL KONVERSI'!$A$3:$D$7,4)</f>
        <v>-</v>
      </c>
      <c r="AZ28" s="38" t="str">
        <f t="shared" si="49"/>
        <v>-</v>
      </c>
      <c r="BA28" s="38" t="str">
        <f>VLOOKUP(AW28,'TABEL KONVERSI'!$A$3:$D$7,4)</f>
        <v>-</v>
      </c>
      <c r="BB28" s="42"/>
      <c r="BC28" s="37"/>
      <c r="BD28" s="73"/>
      <c r="BE28" s="73"/>
      <c r="BF28" s="38" t="str">
        <f t="shared" si="50"/>
        <v/>
      </c>
      <c r="BG28" s="38" t="str">
        <f t="shared" si="51"/>
        <v/>
      </c>
      <c r="BH28" s="38" t="str">
        <f>IF(BF28&lt;&gt;"",IF(AND(BF28&gt;='TABEL KONVERSI'!$B$3,'ENTRY DATA'!BF28&lt;='TABEL KONVERSI'!$C$3),1,IF(AND(BF28&gt;='TABEL KONVERSI'!$B$4,'ENTRY DATA'!BF28&lt;='TABEL KONVERSI'!$C$4),2,IF(AND(BF28&gt;='TABEL KONVERSI'!$B$5,'ENTRY DATA'!BF28&lt;='TABEL KONVERSI'!$C$5),3,IF(AND(BF28&gt;='TABEL KONVERSI'!$B$6,'ENTRY DATA'!BF28&lt;='TABEL KONVERSI'!$C$6),4,"")))),"-")</f>
        <v>-</v>
      </c>
      <c r="BI28" s="38" t="str">
        <f>IF(BG28&lt;&gt;"",IF(AND(BG28&gt;='TABEL KONVERSI'!$B$3,'ENTRY DATA'!BG28&lt;='TABEL KONVERSI'!$C$3),1,IF(AND(BG28&gt;='TABEL KONVERSI'!$B$4,'ENTRY DATA'!BG28&lt;='TABEL KONVERSI'!$C$4),2,IF(AND(BG28&gt;='TABEL KONVERSI'!$B$5,'ENTRY DATA'!BG28&lt;='TABEL KONVERSI'!$C$5),3,IF(AND(BG28&gt;='TABEL KONVERSI'!$B$6,'ENTRY DATA'!BG28&lt;='TABEL KONVERSI'!$C$6),4,"")))),"-")</f>
        <v>-</v>
      </c>
      <c r="BJ28" s="38" t="str">
        <f t="shared" si="52"/>
        <v>-</v>
      </c>
      <c r="BK28" s="38" t="str">
        <f>VLOOKUP(BH28,'TABEL KONVERSI'!$A$3:$D$7,4)</f>
        <v>-</v>
      </c>
      <c r="BL28" s="38" t="str">
        <f t="shared" si="53"/>
        <v>-</v>
      </c>
      <c r="BM28" s="38" t="str">
        <f>VLOOKUP(BI28,'TABEL KONVERSI'!$A$3:$D$7,4)</f>
        <v>-</v>
      </c>
      <c r="BN28" s="42"/>
      <c r="BO28" s="37"/>
      <c r="BP28" s="73"/>
      <c r="BQ28" s="73"/>
      <c r="BR28" s="38" t="str">
        <f t="shared" si="54"/>
        <v/>
      </c>
      <c r="BS28" s="38" t="str">
        <f t="shared" si="55"/>
        <v/>
      </c>
      <c r="BT28" s="38" t="str">
        <f>IF(BR28&lt;&gt;"",IF(AND(BR28&gt;='TABEL KONVERSI'!$B$3,'ENTRY DATA'!BR28&lt;='TABEL KONVERSI'!$C$3),1,IF(AND(BR28&gt;='TABEL KONVERSI'!$B$4,'ENTRY DATA'!BR28&lt;='TABEL KONVERSI'!$C$4),2,IF(AND(BR28&gt;='TABEL KONVERSI'!$B$5,'ENTRY DATA'!BR28&lt;='TABEL KONVERSI'!$C$5),3,IF(AND(BR28&gt;='TABEL KONVERSI'!$B$6,'ENTRY DATA'!BR28&lt;='TABEL KONVERSI'!$C$6),4,"")))),"-")</f>
        <v>-</v>
      </c>
      <c r="BU28" s="38" t="str">
        <f>IF(BS28&lt;&gt;"",IF(AND(BS28&gt;='TABEL KONVERSI'!$B$3,'ENTRY DATA'!BS28&lt;='TABEL KONVERSI'!$C$3),1,IF(AND(BS28&gt;='TABEL KONVERSI'!$B$4,'ENTRY DATA'!BS28&lt;='TABEL KONVERSI'!$C$4),2,IF(AND(BS28&gt;='TABEL KONVERSI'!$B$5,'ENTRY DATA'!BS28&lt;='TABEL KONVERSI'!$C$5),3,IF(AND(BS28&gt;='TABEL KONVERSI'!$B$6,'ENTRY DATA'!BS28&lt;='TABEL KONVERSI'!$C$6),4,"")))),"-")</f>
        <v>-</v>
      </c>
      <c r="BV28" s="38" t="str">
        <f t="shared" si="56"/>
        <v>-</v>
      </c>
      <c r="BW28" s="38" t="str">
        <f>VLOOKUP(BT28,'TABEL KONVERSI'!$A$3:$D$7,4)</f>
        <v>-</v>
      </c>
      <c r="BX28" s="38" t="str">
        <f t="shared" si="57"/>
        <v>-</v>
      </c>
      <c r="BY28" s="38" t="str">
        <f>VLOOKUP(BU28,'TABEL KONVERSI'!$A$3:$D$7,4)</f>
        <v>-</v>
      </c>
      <c r="BZ28" s="42"/>
      <c r="CA28" s="37"/>
      <c r="CB28" s="73"/>
      <c r="CC28" s="73"/>
      <c r="CD28" s="38" t="str">
        <f t="shared" si="58"/>
        <v/>
      </c>
      <c r="CE28" s="38" t="str">
        <f t="shared" si="59"/>
        <v/>
      </c>
      <c r="CF28" s="38" t="str">
        <f>IF(CD28&lt;&gt;"",IF(AND(CD28&gt;='TABEL KONVERSI'!$B$3,'ENTRY DATA'!CD28&lt;='TABEL KONVERSI'!$C$3),1,IF(AND(CD28&gt;='TABEL KONVERSI'!$B$4,'ENTRY DATA'!CD28&lt;='TABEL KONVERSI'!$C$4),2,IF(AND(CD28&gt;='TABEL KONVERSI'!$B$5,'ENTRY DATA'!CD28&lt;='TABEL KONVERSI'!$C$5),3,IF(AND(CD28&gt;='TABEL KONVERSI'!$B$6,'ENTRY DATA'!CD28&lt;='TABEL KONVERSI'!$C$6),4,"")))),"-")</f>
        <v>-</v>
      </c>
      <c r="CG28" s="38" t="str">
        <f>IF(CE28&lt;&gt;"",IF(AND(CE28&gt;='TABEL KONVERSI'!$B$3,'ENTRY DATA'!CE28&lt;='TABEL KONVERSI'!$C$3),1,IF(AND(CE28&gt;='TABEL KONVERSI'!$B$4,'ENTRY DATA'!CE28&lt;='TABEL KONVERSI'!$C$4),2,IF(AND(CE28&gt;='TABEL KONVERSI'!$B$5,'ENTRY DATA'!CE28&lt;='TABEL KONVERSI'!$C$5),3,IF(AND(CE28&gt;='TABEL KONVERSI'!$B$6,'ENTRY DATA'!CE28&lt;='TABEL KONVERSI'!$C$6),4,"")))),"-")</f>
        <v>-</v>
      </c>
      <c r="CH28" s="38" t="str">
        <f t="shared" si="60"/>
        <v>-</v>
      </c>
      <c r="CI28" s="38" t="str">
        <f>VLOOKUP(CF28,'TABEL KONVERSI'!$A$3:$D$7,4)</f>
        <v>-</v>
      </c>
      <c r="CJ28" s="38" t="str">
        <f t="shared" si="61"/>
        <v>-</v>
      </c>
      <c r="CK28" s="38" t="str">
        <f>VLOOKUP(CG28,'TABEL KONVERSI'!$A$3:$D$7,4)</f>
        <v>-</v>
      </c>
      <c r="CL28" s="42"/>
      <c r="CM28" s="37"/>
      <c r="CN28" s="73"/>
      <c r="CO28" s="73"/>
      <c r="CP28" s="38" t="str">
        <f t="shared" si="62"/>
        <v/>
      </c>
      <c r="CQ28" s="38" t="str">
        <f t="shared" si="63"/>
        <v/>
      </c>
      <c r="CR28" s="38" t="str">
        <f>IF(CP28&lt;&gt;"",IF(AND(CP28&gt;='TABEL KONVERSI'!$B$3,'ENTRY DATA'!CP28&lt;='TABEL KONVERSI'!$C$3),1,IF(AND(CP28&gt;='TABEL KONVERSI'!$B$4,'ENTRY DATA'!CP28&lt;='TABEL KONVERSI'!$C$4),2,IF(AND(CP28&gt;='TABEL KONVERSI'!$B$5,'ENTRY DATA'!CP28&lt;='TABEL KONVERSI'!$C$5),3,IF(AND(CP28&gt;='TABEL KONVERSI'!$B$6,'ENTRY DATA'!CP28&lt;='TABEL KONVERSI'!$C$6),4,"")))),"-")</f>
        <v>-</v>
      </c>
      <c r="CS28" s="38" t="str">
        <f>IF(CQ28&lt;&gt;"",IF(AND(CQ28&gt;='TABEL KONVERSI'!$B$3,'ENTRY DATA'!CQ28&lt;='TABEL KONVERSI'!$C$3),1,IF(AND(CQ28&gt;='TABEL KONVERSI'!$B$4,'ENTRY DATA'!CQ28&lt;='TABEL KONVERSI'!$C$4),2,IF(AND(CQ28&gt;='TABEL KONVERSI'!$B$5,'ENTRY DATA'!CQ28&lt;='TABEL KONVERSI'!$C$5),3,IF(AND(CQ28&gt;='TABEL KONVERSI'!$B$6,'ENTRY DATA'!CQ28&lt;='TABEL KONVERSI'!$C$6),4,"")))),"-")</f>
        <v>-</v>
      </c>
      <c r="CT28" s="38" t="str">
        <f t="shared" si="64"/>
        <v>-</v>
      </c>
      <c r="CU28" s="38" t="str">
        <f>VLOOKUP(CR28,'TABEL KONVERSI'!$A$3:$D$7,4)</f>
        <v>-</v>
      </c>
      <c r="CV28" s="38" t="str">
        <f t="shared" si="65"/>
        <v>-</v>
      </c>
      <c r="CW28" s="38" t="str">
        <f>VLOOKUP(CS28,'TABEL KONVERSI'!$A$3:$D$7,4)</f>
        <v>-</v>
      </c>
      <c r="CX28" s="42"/>
      <c r="CY28" s="37"/>
      <c r="CZ28" s="73"/>
      <c r="DA28" s="73"/>
      <c r="DB28" s="38" t="str">
        <f t="shared" si="66"/>
        <v/>
      </c>
      <c r="DC28" s="38" t="str">
        <f t="shared" si="67"/>
        <v/>
      </c>
      <c r="DD28" s="38" t="str">
        <f>IF(DB28&lt;&gt;"",IF(AND(DB28&gt;='TABEL KONVERSI'!$B$3,'ENTRY DATA'!DB28&lt;='TABEL KONVERSI'!$C$3),1,IF(AND(DB28&gt;='TABEL KONVERSI'!$B$4,'ENTRY DATA'!DB28&lt;='TABEL KONVERSI'!$C$4),2,IF(AND(DB28&gt;='TABEL KONVERSI'!$B$5,'ENTRY DATA'!DB28&lt;='TABEL KONVERSI'!$C$5),3,IF(AND(DB28&gt;='TABEL KONVERSI'!$B$6,'ENTRY DATA'!DB28&lt;='TABEL KONVERSI'!$C$6),4,"")))),"-")</f>
        <v>-</v>
      </c>
      <c r="DE28" s="38" t="str">
        <f>IF(DC28&lt;&gt;"",IF(AND(DC28&gt;='TABEL KONVERSI'!$B$3,'ENTRY DATA'!DC28&lt;='TABEL KONVERSI'!$C$3),1,IF(AND(DC28&gt;='TABEL KONVERSI'!$B$4,'ENTRY DATA'!DC28&lt;='TABEL KONVERSI'!$C$4),2,IF(AND(DC28&gt;='TABEL KONVERSI'!$B$5,'ENTRY DATA'!DC28&lt;='TABEL KONVERSI'!$C$5),3,IF(AND(DC28&gt;='TABEL KONVERSI'!$B$6,'ENTRY DATA'!DC28&lt;='TABEL KONVERSI'!$C$6),4,"")))),"-")</f>
        <v>-</v>
      </c>
      <c r="DF28" s="38" t="str">
        <f t="shared" si="68"/>
        <v>-</v>
      </c>
      <c r="DG28" s="38" t="str">
        <f>VLOOKUP(DD28,'TABEL KONVERSI'!$A$3:$D$7,4)</f>
        <v>-</v>
      </c>
      <c r="DH28" s="38" t="str">
        <f t="shared" si="69"/>
        <v>-</v>
      </c>
      <c r="DI28" s="38" t="str">
        <f>VLOOKUP(DE28,'TABEL KONVERSI'!$A$3:$D$7,4)</f>
        <v>-</v>
      </c>
      <c r="DJ28" s="42"/>
      <c r="DK28" s="37"/>
      <c r="DL28" s="73"/>
      <c r="DM28" s="73"/>
      <c r="DN28" s="38" t="str">
        <f t="shared" si="70"/>
        <v/>
      </c>
      <c r="DO28" s="38" t="str">
        <f t="shared" si="71"/>
        <v/>
      </c>
      <c r="DP28" s="38" t="str">
        <f>IF(DN28&lt;&gt;"",IF(AND(DN28&gt;='TABEL KONVERSI'!$B$3,'ENTRY DATA'!DN28&lt;='TABEL KONVERSI'!$C$3),1,IF(AND(DN28&gt;='TABEL KONVERSI'!$B$4,'ENTRY DATA'!DN28&lt;='TABEL KONVERSI'!$C$4),2,IF(AND(DN28&gt;='TABEL KONVERSI'!$B$5,'ENTRY DATA'!DN28&lt;='TABEL KONVERSI'!$C$5),3,IF(AND(DN28&gt;='TABEL KONVERSI'!$B$6,'ENTRY DATA'!DN28&lt;='TABEL KONVERSI'!$C$6),4,"")))),"-")</f>
        <v>-</v>
      </c>
      <c r="DQ28" s="38" t="str">
        <f>IF(DO28&lt;&gt;"",IF(AND(DO28&gt;='TABEL KONVERSI'!$B$3,'ENTRY DATA'!DO28&lt;='TABEL KONVERSI'!$C$3),1,IF(AND(DO28&gt;='TABEL KONVERSI'!$B$4,'ENTRY DATA'!DO28&lt;='TABEL KONVERSI'!$C$4),2,IF(AND(DO28&gt;='TABEL KONVERSI'!$B$5,'ENTRY DATA'!DO28&lt;='TABEL KONVERSI'!$C$5),3,IF(AND(DO28&gt;='TABEL KONVERSI'!$B$6,'ENTRY DATA'!DO28&lt;='TABEL KONVERSI'!$C$6),4,"")))),"-")</f>
        <v>-</v>
      </c>
      <c r="DR28" s="38" t="str">
        <f t="shared" si="72"/>
        <v>-</v>
      </c>
      <c r="DS28" s="38" t="str">
        <f>VLOOKUP(DP28,'TABEL KONVERSI'!$A$3:$D$7,4)</f>
        <v>-</v>
      </c>
      <c r="DT28" s="38" t="str">
        <f t="shared" si="73"/>
        <v>-</v>
      </c>
      <c r="DU28" s="38" t="str">
        <f>VLOOKUP(DQ28,'TABEL KONVERSI'!$A$3:$D$7,4)</f>
        <v>-</v>
      </c>
      <c r="DV28" s="42"/>
      <c r="DW28" s="37"/>
      <c r="DX28" s="73"/>
      <c r="DY28" s="73"/>
      <c r="DZ28" s="38" t="str">
        <f t="shared" si="74"/>
        <v/>
      </c>
      <c r="EA28" s="38" t="str">
        <f t="shared" si="75"/>
        <v/>
      </c>
      <c r="EB28" s="38" t="str">
        <f>IF(DZ28&lt;&gt;"",IF(AND(DZ28&gt;='TABEL KONVERSI'!$B$3,'ENTRY DATA'!DZ28&lt;='TABEL KONVERSI'!$C$3),1,IF(AND(DZ28&gt;='TABEL KONVERSI'!$B$4,'ENTRY DATA'!DZ28&lt;='TABEL KONVERSI'!$C$4),2,IF(AND(DZ28&gt;='TABEL KONVERSI'!$B$5,'ENTRY DATA'!DZ28&lt;='TABEL KONVERSI'!$C$5),3,IF(AND(DZ28&gt;='TABEL KONVERSI'!$B$6,'ENTRY DATA'!DZ28&lt;='TABEL KONVERSI'!$C$6),4,"")))),"-")</f>
        <v>-</v>
      </c>
      <c r="EC28" s="38" t="str">
        <f>IF(EA28&lt;&gt;"",IF(AND(EA28&gt;='TABEL KONVERSI'!$B$3,'ENTRY DATA'!EA28&lt;='TABEL KONVERSI'!$C$3),1,IF(AND(EA28&gt;='TABEL KONVERSI'!$B$4,'ENTRY DATA'!EA28&lt;='TABEL KONVERSI'!$C$4),2,IF(AND(EA28&gt;='TABEL KONVERSI'!$B$5,'ENTRY DATA'!EA28&lt;='TABEL KONVERSI'!$C$5),3,IF(AND(EA28&gt;='TABEL KONVERSI'!$B$6,'ENTRY DATA'!EA28&lt;='TABEL KONVERSI'!$C$6),4,"")))),"-")</f>
        <v>-</v>
      </c>
      <c r="ED28" s="38" t="str">
        <f t="shared" si="76"/>
        <v>-</v>
      </c>
      <c r="EE28" s="38" t="str">
        <f>VLOOKUP(EB28,'TABEL KONVERSI'!$A$3:$D$7,4)</f>
        <v>-</v>
      </c>
      <c r="EF28" s="38" t="str">
        <f t="shared" si="77"/>
        <v>-</v>
      </c>
      <c r="EG28" s="38" t="str">
        <f>VLOOKUP(EC28,'TABEL KONVERSI'!$A$3:$D$7,4)</f>
        <v>-</v>
      </c>
      <c r="EH28" s="42"/>
      <c r="EI28" s="37"/>
      <c r="EJ28" s="73"/>
      <c r="EK28" s="73"/>
      <c r="EL28" s="38" t="str">
        <f t="shared" si="78"/>
        <v/>
      </c>
      <c r="EM28" s="38" t="str">
        <f t="shared" si="79"/>
        <v/>
      </c>
      <c r="EN28" s="38" t="str">
        <f>IF(EL28&lt;&gt;"",IF(AND(EL28&gt;='TABEL KONVERSI'!$B$3,'ENTRY DATA'!EL28&lt;='TABEL KONVERSI'!$C$3),1,IF(AND(EL28&gt;='TABEL KONVERSI'!$B$4,'ENTRY DATA'!EL28&lt;='TABEL KONVERSI'!$C$4),2,IF(AND(EL28&gt;='TABEL KONVERSI'!$B$5,'ENTRY DATA'!EL28&lt;='TABEL KONVERSI'!$C$5),3,IF(AND(EL28&gt;='TABEL KONVERSI'!$B$6,'ENTRY DATA'!EL28&lt;='TABEL KONVERSI'!$C$6),4,"")))),"-")</f>
        <v>-</v>
      </c>
      <c r="EO28" s="38" t="str">
        <f>IF(EM28&lt;&gt;"",IF(AND(EM28&gt;='TABEL KONVERSI'!$B$3,'ENTRY DATA'!EM28&lt;='TABEL KONVERSI'!$C$3),1,IF(AND(EM28&gt;='TABEL KONVERSI'!$B$4,'ENTRY DATA'!EM28&lt;='TABEL KONVERSI'!$C$4),2,IF(AND(EM28&gt;='TABEL KONVERSI'!$B$5,'ENTRY DATA'!EM28&lt;='TABEL KONVERSI'!$C$5),3,IF(AND(EM28&gt;='TABEL KONVERSI'!$B$6,'ENTRY DATA'!EM28&lt;='TABEL KONVERSI'!$C$6),4,"")))),"-")</f>
        <v>-</v>
      </c>
      <c r="EP28" s="38" t="str">
        <f t="shared" si="80"/>
        <v>-</v>
      </c>
      <c r="EQ28" s="38" t="str">
        <f>VLOOKUP(EN28,'TABEL KONVERSI'!$A$3:$D$7,4)</f>
        <v>-</v>
      </c>
      <c r="ER28" s="38" t="str">
        <f t="shared" si="81"/>
        <v>-</v>
      </c>
      <c r="ES28" s="38" t="str">
        <f>VLOOKUP(EO28,'TABEL KONVERSI'!$A$3:$D$7,4)</f>
        <v>-</v>
      </c>
      <c r="ET28" s="42"/>
      <c r="EU28" s="37"/>
      <c r="EV28" s="73"/>
      <c r="EW28" s="73"/>
      <c r="EX28" s="38" t="str">
        <f t="shared" si="82"/>
        <v/>
      </c>
      <c r="EY28" s="38" t="str">
        <f t="shared" si="83"/>
        <v/>
      </c>
      <c r="EZ28" s="38" t="str">
        <f>IF(EX28&lt;&gt;"",IF(AND(EX28&gt;='TABEL KONVERSI'!$B$3,'ENTRY DATA'!EX28&lt;='TABEL KONVERSI'!$C$3),1,IF(AND(EX28&gt;='TABEL KONVERSI'!$B$4,'ENTRY DATA'!EX28&lt;='TABEL KONVERSI'!$C$4),2,IF(AND(EX28&gt;='TABEL KONVERSI'!$B$5,'ENTRY DATA'!EX28&lt;='TABEL KONVERSI'!$C$5),3,IF(AND(EX28&gt;='TABEL KONVERSI'!$B$6,'ENTRY DATA'!EX28&lt;='TABEL KONVERSI'!$C$6),4,"")))),"-")</f>
        <v>-</v>
      </c>
      <c r="FA28" s="38" t="str">
        <f>IF(EY28&lt;&gt;"",IF(AND(EY28&gt;='TABEL KONVERSI'!$B$3,'ENTRY DATA'!EY28&lt;='TABEL KONVERSI'!$C$3),1,IF(AND(EY28&gt;='TABEL KONVERSI'!$B$4,'ENTRY DATA'!EY28&lt;='TABEL KONVERSI'!$C$4),2,IF(AND(EY28&gt;='TABEL KONVERSI'!$B$5,'ENTRY DATA'!EY28&lt;='TABEL KONVERSI'!$C$5),3,IF(AND(EY28&gt;='TABEL KONVERSI'!$B$6,'ENTRY DATA'!EY28&lt;='TABEL KONVERSI'!$C$6),4,"")))),"-")</f>
        <v>-</v>
      </c>
      <c r="FB28" s="38" t="str">
        <f t="shared" si="84"/>
        <v>-</v>
      </c>
      <c r="FC28" s="38" t="str">
        <f>VLOOKUP(EZ28,'TABEL KONVERSI'!$A$3:$D$7,4)</f>
        <v>-</v>
      </c>
      <c r="FD28" s="38" t="str">
        <f t="shared" si="85"/>
        <v>-</v>
      </c>
      <c r="FE28" s="38" t="str">
        <f>VLOOKUP(FA28,'TABEL KONVERSI'!$A$3:$D$7,4)</f>
        <v>-</v>
      </c>
      <c r="FF28" s="42"/>
      <c r="FG28" s="37"/>
      <c r="FH28" s="73"/>
      <c r="FI28" s="73"/>
      <c r="FJ28" s="38" t="str">
        <f t="shared" si="86"/>
        <v/>
      </c>
      <c r="FK28" s="38" t="str">
        <f t="shared" si="87"/>
        <v/>
      </c>
      <c r="FL28" s="38" t="str">
        <f>IF(FJ28&lt;&gt;"",IF(AND(FJ28&gt;='TABEL KONVERSI'!$B$3,'ENTRY DATA'!FJ28&lt;='TABEL KONVERSI'!$C$3),1,IF(AND(FJ28&gt;='TABEL KONVERSI'!$B$4,'ENTRY DATA'!FJ28&lt;='TABEL KONVERSI'!$C$4),2,IF(AND(FJ28&gt;='TABEL KONVERSI'!$B$5,'ENTRY DATA'!FJ28&lt;='TABEL KONVERSI'!$C$5),3,IF(AND(FJ28&gt;='TABEL KONVERSI'!$B$6,'ENTRY DATA'!FJ28&lt;='TABEL KONVERSI'!$C$6),4,"")))),"-")</f>
        <v>-</v>
      </c>
      <c r="FM28" s="38" t="str">
        <f>IF(FK28&lt;&gt;"",IF(AND(FK28&gt;='TABEL KONVERSI'!$B$3,'ENTRY DATA'!FK28&lt;='TABEL KONVERSI'!$C$3),1,IF(AND(FK28&gt;='TABEL KONVERSI'!$B$4,'ENTRY DATA'!FK28&lt;='TABEL KONVERSI'!$C$4),2,IF(AND(FK28&gt;='TABEL KONVERSI'!$B$5,'ENTRY DATA'!FK28&lt;='TABEL KONVERSI'!$C$5),3,IF(AND(FK28&gt;='TABEL KONVERSI'!$B$6,'ENTRY DATA'!FK28&lt;='TABEL KONVERSI'!$C$6),4,"")))),"-")</f>
        <v>-</v>
      </c>
      <c r="FN28" s="38" t="str">
        <f t="shared" si="88"/>
        <v>-</v>
      </c>
      <c r="FO28" s="38" t="str">
        <f>VLOOKUP(FL28,'TABEL KONVERSI'!$A$3:$D$7,4)</f>
        <v>-</v>
      </c>
      <c r="FP28" s="38" t="str">
        <f t="shared" si="89"/>
        <v>-</v>
      </c>
      <c r="FQ28" s="38" t="str">
        <f>VLOOKUP(FM28,'TABEL KONVERSI'!$A$3:$D$7,4)</f>
        <v>-</v>
      </c>
      <c r="FR28" s="42"/>
      <c r="FS28" s="37"/>
      <c r="FT28" s="73"/>
      <c r="FU28" s="73"/>
      <c r="FV28" s="38" t="str">
        <f t="shared" si="90"/>
        <v/>
      </c>
      <c r="FW28" s="38" t="str">
        <f t="shared" si="91"/>
        <v/>
      </c>
      <c r="FX28" s="38" t="str">
        <f>IF(FV28&lt;&gt;"",IF(AND(FV28&gt;='TABEL KONVERSI'!$B$3,'ENTRY DATA'!FV28&lt;='TABEL KONVERSI'!$C$3),1,IF(AND(FV28&gt;='TABEL KONVERSI'!$B$4,'ENTRY DATA'!FV28&lt;='TABEL KONVERSI'!$C$4),2,IF(AND(FV28&gt;='TABEL KONVERSI'!$B$5,'ENTRY DATA'!FV28&lt;='TABEL KONVERSI'!$C$5),3,IF(AND(FV28&gt;='TABEL KONVERSI'!$B$6,'ENTRY DATA'!FV28&lt;='TABEL KONVERSI'!$C$6),4,"")))),"-")</f>
        <v>-</v>
      </c>
      <c r="FY28" s="38" t="str">
        <f>IF(FW28&lt;&gt;"",IF(AND(FW28&gt;='TABEL KONVERSI'!$B$3,'ENTRY DATA'!FW28&lt;='TABEL KONVERSI'!$C$3),1,IF(AND(FW28&gt;='TABEL KONVERSI'!$B$4,'ENTRY DATA'!FW28&lt;='TABEL KONVERSI'!$C$4),2,IF(AND(FW28&gt;='TABEL KONVERSI'!$B$5,'ENTRY DATA'!FW28&lt;='TABEL KONVERSI'!$C$5),3,IF(AND(FW28&gt;='TABEL KONVERSI'!$B$6,'ENTRY DATA'!FW28&lt;='TABEL KONVERSI'!$C$6),4,"")))),"-")</f>
        <v>-</v>
      </c>
      <c r="FZ28" s="38" t="str">
        <f t="shared" si="92"/>
        <v>-</v>
      </c>
      <c r="GA28" s="38" t="str">
        <f>VLOOKUP(FX28,'TABEL KONVERSI'!$A$3:$D$7,4)</f>
        <v>-</v>
      </c>
      <c r="GB28" s="38" t="str">
        <f t="shared" si="93"/>
        <v>-</v>
      </c>
      <c r="GC28" s="38" t="str">
        <f>VLOOKUP(FY28,'TABEL KONVERSI'!$A$3:$D$7,4)</f>
        <v>-</v>
      </c>
      <c r="GD28" s="42"/>
      <c r="GE28" s="37"/>
      <c r="GF28" s="73"/>
      <c r="GG28" s="73"/>
      <c r="GH28" s="38" t="str">
        <f t="shared" si="94"/>
        <v/>
      </c>
      <c r="GI28" s="38" t="str">
        <f t="shared" si="95"/>
        <v/>
      </c>
      <c r="GJ28" s="38" t="str">
        <f>IF(GH28&lt;&gt;"",IF(AND(GH28&gt;='TABEL KONVERSI'!$B$3,'ENTRY DATA'!GH28&lt;='TABEL KONVERSI'!$C$3),1,IF(AND(GH28&gt;='TABEL KONVERSI'!$B$4,'ENTRY DATA'!GH28&lt;='TABEL KONVERSI'!$C$4),2,IF(AND(GH28&gt;='TABEL KONVERSI'!$B$5,'ENTRY DATA'!GH28&lt;='TABEL KONVERSI'!$C$5),3,IF(AND(GH28&gt;='TABEL KONVERSI'!$B$6,'ENTRY DATA'!GH28&lt;='TABEL KONVERSI'!$C$6),4,"")))),"-")</f>
        <v>-</v>
      </c>
      <c r="GK28" s="38" t="str">
        <f>IF(GI28&lt;&gt;"",IF(AND(GI28&gt;='TABEL KONVERSI'!$B$3,'ENTRY DATA'!GI28&lt;='TABEL KONVERSI'!$C$3),1,IF(AND(GI28&gt;='TABEL KONVERSI'!$B$4,'ENTRY DATA'!GI28&lt;='TABEL KONVERSI'!$C$4),2,IF(AND(GI28&gt;='TABEL KONVERSI'!$B$5,'ENTRY DATA'!GI28&lt;='TABEL KONVERSI'!$C$5),3,IF(AND(GI28&gt;='TABEL KONVERSI'!$B$6,'ENTRY DATA'!GI28&lt;='TABEL KONVERSI'!$C$6),4,"")))),"-")</f>
        <v>-</v>
      </c>
      <c r="GL28" s="38" t="str">
        <f t="shared" si="96"/>
        <v>-</v>
      </c>
      <c r="GM28" s="38" t="str">
        <f>VLOOKUP(GJ28,'TABEL KONVERSI'!$A$3:$D$7,4)</f>
        <v>-</v>
      </c>
      <c r="GN28" s="38" t="str">
        <f t="shared" si="97"/>
        <v>-</v>
      </c>
      <c r="GO28" s="38" t="str">
        <f>VLOOKUP(GK28,'TABEL KONVERSI'!$A$3:$D$7,4)</f>
        <v>-</v>
      </c>
      <c r="GP28" s="43">
        <f t="shared" si="0"/>
        <v>0</v>
      </c>
      <c r="GQ28" s="43">
        <f t="shared" si="1"/>
        <v>0</v>
      </c>
      <c r="GR28" s="43">
        <f t="shared" si="2"/>
        <v>0</v>
      </c>
      <c r="GS28" s="43">
        <f t="shared" si="3"/>
        <v>0</v>
      </c>
      <c r="GT28" s="43">
        <f t="shared" si="4"/>
        <v>0</v>
      </c>
      <c r="GU28" s="43">
        <f t="shared" si="5"/>
        <v>0</v>
      </c>
      <c r="GV28" s="43">
        <f t="shared" si="6"/>
        <v>0</v>
      </c>
      <c r="GW28" s="43">
        <f t="shared" si="7"/>
        <v>0</v>
      </c>
      <c r="GX28" s="43">
        <f t="shared" si="8"/>
        <v>0</v>
      </c>
      <c r="GY28" s="43">
        <f t="shared" si="9"/>
        <v>0</v>
      </c>
      <c r="GZ28" s="43">
        <f t="shared" si="10"/>
        <v>0</v>
      </c>
      <c r="HA28" s="43">
        <f t="shared" si="11"/>
        <v>0</v>
      </c>
      <c r="HB28" s="43">
        <f t="shared" si="12"/>
        <v>0</v>
      </c>
      <c r="HC28" s="43">
        <f t="shared" si="13"/>
        <v>0</v>
      </c>
      <c r="HD28" s="43">
        <f t="shared" si="14"/>
        <v>0</v>
      </c>
      <c r="HE28" s="43">
        <f t="shared" si="15"/>
        <v>0</v>
      </c>
      <c r="HF28" s="38">
        <f t="shared" si="98"/>
        <v>0</v>
      </c>
      <c r="HG28" s="38">
        <f t="shared" si="99"/>
        <v>0</v>
      </c>
      <c r="HH28" s="38">
        <f t="shared" si="100"/>
        <v>0</v>
      </c>
      <c r="HI28" s="39">
        <f t="shared" si="101"/>
        <v>0</v>
      </c>
      <c r="HJ28" s="44" t="str">
        <f t="shared" si="102"/>
        <v>-</v>
      </c>
      <c r="HK28" s="45" t="str">
        <f>VLOOKUP(HJ28,'TABEL KONVERSI'!$B$11:$D$15,2,0)</f>
        <v>-</v>
      </c>
      <c r="HL28" s="43">
        <f t="shared" si="16"/>
        <v>0</v>
      </c>
      <c r="HM28" s="43">
        <f t="shared" si="17"/>
        <v>0</v>
      </c>
      <c r="HN28" s="43">
        <f t="shared" si="18"/>
        <v>0</v>
      </c>
      <c r="HO28" s="43">
        <f t="shared" si="19"/>
        <v>0</v>
      </c>
      <c r="HP28" s="43">
        <f t="shared" si="20"/>
        <v>0</v>
      </c>
      <c r="HQ28" s="43">
        <f t="shared" si="21"/>
        <v>0</v>
      </c>
      <c r="HR28" s="43">
        <f t="shared" si="22"/>
        <v>0</v>
      </c>
      <c r="HS28" s="43">
        <f t="shared" si="23"/>
        <v>0</v>
      </c>
      <c r="HT28" s="43">
        <f t="shared" si="24"/>
        <v>0</v>
      </c>
      <c r="HU28" s="43">
        <f t="shared" si="25"/>
        <v>0</v>
      </c>
      <c r="HV28" s="43">
        <f t="shared" si="26"/>
        <v>0</v>
      </c>
      <c r="HW28" s="43">
        <f t="shared" si="27"/>
        <v>0</v>
      </c>
      <c r="HX28" s="43">
        <f t="shared" si="28"/>
        <v>0</v>
      </c>
      <c r="HY28" s="43">
        <f t="shared" si="29"/>
        <v>0</v>
      </c>
      <c r="HZ28" s="43">
        <f t="shared" si="30"/>
        <v>0</v>
      </c>
      <c r="IA28" s="43">
        <f t="shared" si="31"/>
        <v>0</v>
      </c>
      <c r="IB28" s="38">
        <f t="shared" si="103"/>
        <v>0</v>
      </c>
      <c r="IC28" s="38">
        <f t="shared" si="104"/>
        <v>0</v>
      </c>
      <c r="ID28" s="38">
        <f t="shared" si="105"/>
        <v>0</v>
      </c>
      <c r="IE28" s="38">
        <f t="shared" si="106"/>
        <v>0</v>
      </c>
      <c r="IF28" s="46" t="str">
        <f t="shared" si="107"/>
        <v>-</v>
      </c>
      <c r="IG28" s="45" t="str">
        <f>VLOOKUP(IF28,'TABEL KONVERSI'!$B$11:$D$15,3,0)</f>
        <v>-</v>
      </c>
      <c r="IH28" s="40" t="s">
        <v>223</v>
      </c>
      <c r="II28" s="41" t="s">
        <v>106</v>
      </c>
      <c r="IJ28" s="45" t="str">
        <f>IF(II28&lt;&gt;"",VLOOKUP(II28,'TABEL KONVERSI'!$A$19:$B$23,2,0),"")</f>
        <v>Aktif dalam mengikuti kegiatan</v>
      </c>
      <c r="IK28" s="47" t="s">
        <v>58</v>
      </c>
      <c r="IL28" s="50" t="s">
        <v>58</v>
      </c>
      <c r="IM28" s="45" t="str">
        <f>IF(IL28&lt;&gt;"",VLOOKUP(IL28,'TABEL KONVERSI'!$A$19:$B$23,2,0),"")</f>
        <v>-</v>
      </c>
      <c r="IN28" s="49" t="s">
        <v>58</v>
      </c>
      <c r="IO28" s="48" t="s">
        <v>58</v>
      </c>
      <c r="IP28" s="45" t="str">
        <f>IF(IO28&lt;&gt;"",VLOOKUP(IO28,'TABEL KONVERSI'!$A$19:$B$23,2,0),"")</f>
        <v>-</v>
      </c>
      <c r="IQ28" s="49" t="s">
        <v>58</v>
      </c>
      <c r="IR28" s="50" t="s">
        <v>58</v>
      </c>
      <c r="IS28" s="45" t="str">
        <f>IF(IR28&lt;&gt;"",VLOOKUP(IR28,'TABEL KONVERSI'!$A$19:$B$23,2,0),"")</f>
        <v>-</v>
      </c>
      <c r="IT28" s="49" t="s">
        <v>58</v>
      </c>
      <c r="IU28" s="50" t="s">
        <v>58</v>
      </c>
      <c r="IV28" s="45" t="str">
        <f>IF(IU28&lt;&gt;"",VLOOKUP(IU28,'TABEL KONVERSI'!$A$19:$B$23,2,0),"")</f>
        <v>-</v>
      </c>
      <c r="IW28" s="48" t="s">
        <v>58</v>
      </c>
      <c r="IX28" s="48" t="s">
        <v>58</v>
      </c>
      <c r="IY28" s="48" t="s">
        <v>58</v>
      </c>
      <c r="IZ28" s="47" t="s">
        <v>58</v>
      </c>
      <c r="JA28" s="45">
        <f t="shared" si="32"/>
        <v>0</v>
      </c>
      <c r="JB28" s="45">
        <f t="shared" si="33"/>
        <v>1</v>
      </c>
    </row>
    <row r="29" spans="1:262" x14ac:dyDescent="0.25">
      <c r="A29" s="33">
        <v>17</v>
      </c>
      <c r="B29" s="51"/>
      <c r="C29" s="51"/>
      <c r="D29" s="77"/>
      <c r="E29" s="52"/>
      <c r="F29" s="42"/>
      <c r="G29" s="37"/>
      <c r="H29" s="73"/>
      <c r="I29" s="73"/>
      <c r="J29" s="38" t="str">
        <f t="shared" si="34"/>
        <v/>
      </c>
      <c r="K29" s="38" t="str">
        <f t="shared" si="35"/>
        <v/>
      </c>
      <c r="L29" s="38" t="str">
        <f>IF(J29&lt;&gt;"",IF(AND(J29&gt;='TABEL KONVERSI'!$B$3,'ENTRY DATA'!J29&lt;='TABEL KONVERSI'!$C$3),1,IF(AND(J29&gt;='TABEL KONVERSI'!$B$4,'ENTRY DATA'!J29&lt;='TABEL KONVERSI'!$C$4),2,IF(AND(J29&gt;='TABEL KONVERSI'!$B$5,'ENTRY DATA'!J29&lt;='TABEL KONVERSI'!$C$5),3,IF(AND(J29&gt;='TABEL KONVERSI'!$B$6,'ENTRY DATA'!J29&lt;='TABEL KONVERSI'!$C$6),4,"")))),"-")</f>
        <v>-</v>
      </c>
      <c r="M29" s="38" t="str">
        <f>IF(K29&lt;&gt;"",IF(AND(K29&gt;='TABEL KONVERSI'!$B$3,'ENTRY DATA'!K29&lt;='TABEL KONVERSI'!$C$3),1,IF(AND(K29&gt;='TABEL KONVERSI'!$B$4,'ENTRY DATA'!K29&lt;='TABEL KONVERSI'!$C$4),2,IF(AND(K29&gt;='TABEL KONVERSI'!$B$5,'ENTRY DATA'!K29&lt;='TABEL KONVERSI'!$C$5),3,IF(AND(K29&gt;='TABEL KONVERSI'!$B$6,'ENTRY DATA'!K29&lt;='TABEL KONVERSI'!$C$6),4,"")))),"-")</f>
        <v>-</v>
      </c>
      <c r="N29" s="38" t="str">
        <f t="shared" si="36"/>
        <v>-</v>
      </c>
      <c r="O29" s="38" t="str">
        <f>VLOOKUP(L29,'TABEL KONVERSI'!$A$3:$D$7,4)</f>
        <v>-</v>
      </c>
      <c r="P29" s="38" t="str">
        <f t="shared" si="37"/>
        <v>-</v>
      </c>
      <c r="Q29" s="38" t="str">
        <f>VLOOKUP(M29,'TABEL KONVERSI'!$A$3:$D$7,4)</f>
        <v>-</v>
      </c>
      <c r="R29" s="42"/>
      <c r="S29" s="37"/>
      <c r="T29" s="73"/>
      <c r="U29" s="73"/>
      <c r="V29" s="38" t="str">
        <f t="shared" si="38"/>
        <v/>
      </c>
      <c r="W29" s="38" t="str">
        <f t="shared" si="39"/>
        <v/>
      </c>
      <c r="X29" s="38" t="str">
        <f>IF(V29&lt;&gt;"",IF(AND(V29&gt;='TABEL KONVERSI'!$B$3,'ENTRY DATA'!V29&lt;='TABEL KONVERSI'!$C$3),1,IF(AND(V29&gt;='TABEL KONVERSI'!$B$4,'ENTRY DATA'!V29&lt;='TABEL KONVERSI'!$C$4),2,IF(AND(V29&gt;='TABEL KONVERSI'!$B$5,'ENTRY DATA'!V29&lt;='TABEL KONVERSI'!$C$5),3,IF(AND(V29&gt;='TABEL KONVERSI'!$B$6,'ENTRY DATA'!V29&lt;='TABEL KONVERSI'!$C$6),4,"")))),"-")</f>
        <v>-</v>
      </c>
      <c r="Y29" s="38" t="str">
        <f>IF(W29&lt;&gt;"",IF(AND(W29&gt;='TABEL KONVERSI'!$B$3,'ENTRY DATA'!W29&lt;='TABEL KONVERSI'!$C$3),1,IF(AND(W29&gt;='TABEL KONVERSI'!$B$4,'ENTRY DATA'!W29&lt;='TABEL KONVERSI'!$C$4),2,IF(AND(W29&gt;='TABEL KONVERSI'!$B$5,'ENTRY DATA'!W29&lt;='TABEL KONVERSI'!$C$5),3,IF(AND(W29&gt;='TABEL KONVERSI'!$B$6,'ENTRY DATA'!W29&lt;='TABEL KONVERSI'!$C$6),4,"")))),"-")</f>
        <v>-</v>
      </c>
      <c r="Z29" s="38" t="str">
        <f t="shared" si="40"/>
        <v>-</v>
      </c>
      <c r="AA29" s="38" t="str">
        <f>VLOOKUP(X29,'TABEL KONVERSI'!$A$3:$D$7,4)</f>
        <v>-</v>
      </c>
      <c r="AB29" s="38" t="str">
        <f t="shared" si="41"/>
        <v>-</v>
      </c>
      <c r="AC29" s="38" t="str">
        <f>VLOOKUP(Y29,'TABEL KONVERSI'!$A$3:$D$7,4)</f>
        <v>-</v>
      </c>
      <c r="AD29" s="42"/>
      <c r="AE29" s="37"/>
      <c r="AF29" s="73"/>
      <c r="AG29" s="73"/>
      <c r="AH29" s="38" t="str">
        <f t="shared" si="42"/>
        <v/>
      </c>
      <c r="AI29" s="38" t="str">
        <f t="shared" si="43"/>
        <v/>
      </c>
      <c r="AJ29" s="38" t="str">
        <f>IF(AH29&lt;&gt;"",IF(AND(AH29&gt;='TABEL KONVERSI'!$B$3,'ENTRY DATA'!AH29&lt;='TABEL KONVERSI'!$C$3),1,IF(AND(AH29&gt;='TABEL KONVERSI'!$B$4,'ENTRY DATA'!AH29&lt;='TABEL KONVERSI'!$C$4),2,IF(AND(AH29&gt;='TABEL KONVERSI'!$B$5,'ENTRY DATA'!AH29&lt;='TABEL KONVERSI'!$C$5),3,IF(AND(AH29&gt;='TABEL KONVERSI'!$B$6,'ENTRY DATA'!AH29&lt;='TABEL KONVERSI'!$C$6),4,"")))),"-")</f>
        <v>-</v>
      </c>
      <c r="AK29" s="38" t="str">
        <f>IF(AI29&lt;&gt;"",IF(AND(AI29&gt;='TABEL KONVERSI'!$B$3,'ENTRY DATA'!AI29&lt;='TABEL KONVERSI'!$C$3),1,IF(AND(AI29&gt;='TABEL KONVERSI'!$B$4,'ENTRY DATA'!AI29&lt;='TABEL KONVERSI'!$C$4),2,IF(AND(AI29&gt;='TABEL KONVERSI'!$B$5,'ENTRY DATA'!AI29&lt;='TABEL KONVERSI'!$C$5),3,IF(AND(AI29&gt;='TABEL KONVERSI'!$B$6,'ENTRY DATA'!AI29&lt;='TABEL KONVERSI'!$C$6),4,"")))),"-")</f>
        <v>-</v>
      </c>
      <c r="AL29" s="38" t="str">
        <f t="shared" si="44"/>
        <v>-</v>
      </c>
      <c r="AM29" s="38" t="str">
        <f>VLOOKUP(AJ29,'TABEL KONVERSI'!$A$3:$D$7,4)</f>
        <v>-</v>
      </c>
      <c r="AN29" s="38" t="str">
        <f t="shared" si="45"/>
        <v>-</v>
      </c>
      <c r="AO29" s="38" t="str">
        <f>VLOOKUP(AK29,'TABEL KONVERSI'!$A$3:$D$7,4)</f>
        <v>-</v>
      </c>
      <c r="AP29" s="42"/>
      <c r="AQ29" s="37"/>
      <c r="AR29" s="73"/>
      <c r="AS29" s="73"/>
      <c r="AT29" s="38" t="str">
        <f t="shared" si="46"/>
        <v/>
      </c>
      <c r="AU29" s="38" t="str">
        <f t="shared" si="47"/>
        <v/>
      </c>
      <c r="AV29" s="38" t="str">
        <f>IF(AT29&lt;&gt;"",IF(AND(AT29&gt;='TABEL KONVERSI'!$B$3,'ENTRY DATA'!AT29&lt;='TABEL KONVERSI'!$C$3),1,IF(AND(AT29&gt;='TABEL KONVERSI'!$B$4,'ENTRY DATA'!AT29&lt;='TABEL KONVERSI'!$C$4),2,IF(AND(AT29&gt;='TABEL KONVERSI'!$B$5,'ENTRY DATA'!AT29&lt;='TABEL KONVERSI'!$C$5),3,IF(AND(AT29&gt;='TABEL KONVERSI'!$B$6,'ENTRY DATA'!AT29&lt;='TABEL KONVERSI'!$C$6),4,"")))),"-")</f>
        <v>-</v>
      </c>
      <c r="AW29" s="38" t="str">
        <f>IF(AU29&lt;&gt;"",IF(AND(AU29&gt;='TABEL KONVERSI'!$B$3,'ENTRY DATA'!AU29&lt;='TABEL KONVERSI'!$C$3),1,IF(AND(AU29&gt;='TABEL KONVERSI'!$B$4,'ENTRY DATA'!AU29&lt;='TABEL KONVERSI'!$C$4),2,IF(AND(AU29&gt;='TABEL KONVERSI'!$B$5,'ENTRY DATA'!AU29&lt;='TABEL KONVERSI'!$C$5),3,IF(AND(AU29&gt;='TABEL KONVERSI'!$B$6,'ENTRY DATA'!AU29&lt;='TABEL KONVERSI'!$C$6),4,"")))),"-")</f>
        <v>-</v>
      </c>
      <c r="AX29" s="38" t="str">
        <f t="shared" si="48"/>
        <v>-</v>
      </c>
      <c r="AY29" s="38" t="str">
        <f>VLOOKUP(AV29,'TABEL KONVERSI'!$A$3:$D$7,4)</f>
        <v>-</v>
      </c>
      <c r="AZ29" s="38" t="str">
        <f t="shared" si="49"/>
        <v>-</v>
      </c>
      <c r="BA29" s="38" t="str">
        <f>VLOOKUP(AW29,'TABEL KONVERSI'!$A$3:$D$7,4)</f>
        <v>-</v>
      </c>
      <c r="BB29" s="42"/>
      <c r="BC29" s="37"/>
      <c r="BD29" s="73"/>
      <c r="BE29" s="73"/>
      <c r="BF29" s="38" t="str">
        <f t="shared" si="50"/>
        <v/>
      </c>
      <c r="BG29" s="38" t="str">
        <f t="shared" si="51"/>
        <v/>
      </c>
      <c r="BH29" s="38" t="str">
        <f>IF(BF29&lt;&gt;"",IF(AND(BF29&gt;='TABEL KONVERSI'!$B$3,'ENTRY DATA'!BF29&lt;='TABEL KONVERSI'!$C$3),1,IF(AND(BF29&gt;='TABEL KONVERSI'!$B$4,'ENTRY DATA'!BF29&lt;='TABEL KONVERSI'!$C$4),2,IF(AND(BF29&gt;='TABEL KONVERSI'!$B$5,'ENTRY DATA'!BF29&lt;='TABEL KONVERSI'!$C$5),3,IF(AND(BF29&gt;='TABEL KONVERSI'!$B$6,'ENTRY DATA'!BF29&lt;='TABEL KONVERSI'!$C$6),4,"")))),"-")</f>
        <v>-</v>
      </c>
      <c r="BI29" s="38" t="str">
        <f>IF(BG29&lt;&gt;"",IF(AND(BG29&gt;='TABEL KONVERSI'!$B$3,'ENTRY DATA'!BG29&lt;='TABEL KONVERSI'!$C$3),1,IF(AND(BG29&gt;='TABEL KONVERSI'!$B$4,'ENTRY DATA'!BG29&lt;='TABEL KONVERSI'!$C$4),2,IF(AND(BG29&gt;='TABEL KONVERSI'!$B$5,'ENTRY DATA'!BG29&lt;='TABEL KONVERSI'!$C$5),3,IF(AND(BG29&gt;='TABEL KONVERSI'!$B$6,'ENTRY DATA'!BG29&lt;='TABEL KONVERSI'!$C$6),4,"")))),"-")</f>
        <v>-</v>
      </c>
      <c r="BJ29" s="38" t="str">
        <f t="shared" si="52"/>
        <v>-</v>
      </c>
      <c r="BK29" s="38" t="str">
        <f>VLOOKUP(BH29,'TABEL KONVERSI'!$A$3:$D$7,4)</f>
        <v>-</v>
      </c>
      <c r="BL29" s="38" t="str">
        <f t="shared" si="53"/>
        <v>-</v>
      </c>
      <c r="BM29" s="38" t="str">
        <f>VLOOKUP(BI29,'TABEL KONVERSI'!$A$3:$D$7,4)</f>
        <v>-</v>
      </c>
      <c r="BN29" s="42"/>
      <c r="BO29" s="37"/>
      <c r="BP29" s="73"/>
      <c r="BQ29" s="73"/>
      <c r="BR29" s="38" t="str">
        <f t="shared" si="54"/>
        <v/>
      </c>
      <c r="BS29" s="38" t="str">
        <f t="shared" si="55"/>
        <v/>
      </c>
      <c r="BT29" s="38" t="str">
        <f>IF(BR29&lt;&gt;"",IF(AND(BR29&gt;='TABEL KONVERSI'!$B$3,'ENTRY DATA'!BR29&lt;='TABEL KONVERSI'!$C$3),1,IF(AND(BR29&gt;='TABEL KONVERSI'!$B$4,'ENTRY DATA'!BR29&lt;='TABEL KONVERSI'!$C$4),2,IF(AND(BR29&gt;='TABEL KONVERSI'!$B$5,'ENTRY DATA'!BR29&lt;='TABEL KONVERSI'!$C$5),3,IF(AND(BR29&gt;='TABEL KONVERSI'!$B$6,'ENTRY DATA'!BR29&lt;='TABEL KONVERSI'!$C$6),4,"")))),"-")</f>
        <v>-</v>
      </c>
      <c r="BU29" s="38" t="str">
        <f>IF(BS29&lt;&gt;"",IF(AND(BS29&gt;='TABEL KONVERSI'!$B$3,'ENTRY DATA'!BS29&lt;='TABEL KONVERSI'!$C$3),1,IF(AND(BS29&gt;='TABEL KONVERSI'!$B$4,'ENTRY DATA'!BS29&lt;='TABEL KONVERSI'!$C$4),2,IF(AND(BS29&gt;='TABEL KONVERSI'!$B$5,'ENTRY DATA'!BS29&lt;='TABEL KONVERSI'!$C$5),3,IF(AND(BS29&gt;='TABEL KONVERSI'!$B$6,'ENTRY DATA'!BS29&lt;='TABEL KONVERSI'!$C$6),4,"")))),"-")</f>
        <v>-</v>
      </c>
      <c r="BV29" s="38" t="str">
        <f t="shared" si="56"/>
        <v>-</v>
      </c>
      <c r="BW29" s="38" t="str">
        <f>VLOOKUP(BT29,'TABEL KONVERSI'!$A$3:$D$7,4)</f>
        <v>-</v>
      </c>
      <c r="BX29" s="38" t="str">
        <f t="shared" si="57"/>
        <v>-</v>
      </c>
      <c r="BY29" s="38" t="str">
        <f>VLOOKUP(BU29,'TABEL KONVERSI'!$A$3:$D$7,4)</f>
        <v>-</v>
      </c>
      <c r="BZ29" s="42"/>
      <c r="CA29" s="37"/>
      <c r="CB29" s="73"/>
      <c r="CC29" s="73"/>
      <c r="CD29" s="38" t="str">
        <f t="shared" si="58"/>
        <v/>
      </c>
      <c r="CE29" s="38" t="str">
        <f t="shared" si="59"/>
        <v/>
      </c>
      <c r="CF29" s="38" t="str">
        <f>IF(CD29&lt;&gt;"",IF(AND(CD29&gt;='TABEL KONVERSI'!$B$3,'ENTRY DATA'!CD29&lt;='TABEL KONVERSI'!$C$3),1,IF(AND(CD29&gt;='TABEL KONVERSI'!$B$4,'ENTRY DATA'!CD29&lt;='TABEL KONVERSI'!$C$4),2,IF(AND(CD29&gt;='TABEL KONVERSI'!$B$5,'ENTRY DATA'!CD29&lt;='TABEL KONVERSI'!$C$5),3,IF(AND(CD29&gt;='TABEL KONVERSI'!$B$6,'ENTRY DATA'!CD29&lt;='TABEL KONVERSI'!$C$6),4,"")))),"-")</f>
        <v>-</v>
      </c>
      <c r="CG29" s="38" t="str">
        <f>IF(CE29&lt;&gt;"",IF(AND(CE29&gt;='TABEL KONVERSI'!$B$3,'ENTRY DATA'!CE29&lt;='TABEL KONVERSI'!$C$3),1,IF(AND(CE29&gt;='TABEL KONVERSI'!$B$4,'ENTRY DATA'!CE29&lt;='TABEL KONVERSI'!$C$4),2,IF(AND(CE29&gt;='TABEL KONVERSI'!$B$5,'ENTRY DATA'!CE29&lt;='TABEL KONVERSI'!$C$5),3,IF(AND(CE29&gt;='TABEL KONVERSI'!$B$6,'ENTRY DATA'!CE29&lt;='TABEL KONVERSI'!$C$6),4,"")))),"-")</f>
        <v>-</v>
      </c>
      <c r="CH29" s="38" t="str">
        <f t="shared" si="60"/>
        <v>-</v>
      </c>
      <c r="CI29" s="38" t="str">
        <f>VLOOKUP(CF29,'TABEL KONVERSI'!$A$3:$D$7,4)</f>
        <v>-</v>
      </c>
      <c r="CJ29" s="38" t="str">
        <f t="shared" si="61"/>
        <v>-</v>
      </c>
      <c r="CK29" s="38" t="str">
        <f>VLOOKUP(CG29,'TABEL KONVERSI'!$A$3:$D$7,4)</f>
        <v>-</v>
      </c>
      <c r="CL29" s="42"/>
      <c r="CM29" s="37"/>
      <c r="CN29" s="73"/>
      <c r="CO29" s="73"/>
      <c r="CP29" s="38" t="str">
        <f t="shared" si="62"/>
        <v/>
      </c>
      <c r="CQ29" s="38" t="str">
        <f t="shared" si="63"/>
        <v/>
      </c>
      <c r="CR29" s="38" t="str">
        <f>IF(CP29&lt;&gt;"",IF(AND(CP29&gt;='TABEL KONVERSI'!$B$3,'ENTRY DATA'!CP29&lt;='TABEL KONVERSI'!$C$3),1,IF(AND(CP29&gt;='TABEL KONVERSI'!$B$4,'ENTRY DATA'!CP29&lt;='TABEL KONVERSI'!$C$4),2,IF(AND(CP29&gt;='TABEL KONVERSI'!$B$5,'ENTRY DATA'!CP29&lt;='TABEL KONVERSI'!$C$5),3,IF(AND(CP29&gt;='TABEL KONVERSI'!$B$6,'ENTRY DATA'!CP29&lt;='TABEL KONVERSI'!$C$6),4,"")))),"-")</f>
        <v>-</v>
      </c>
      <c r="CS29" s="38" t="str">
        <f>IF(CQ29&lt;&gt;"",IF(AND(CQ29&gt;='TABEL KONVERSI'!$B$3,'ENTRY DATA'!CQ29&lt;='TABEL KONVERSI'!$C$3),1,IF(AND(CQ29&gt;='TABEL KONVERSI'!$B$4,'ENTRY DATA'!CQ29&lt;='TABEL KONVERSI'!$C$4),2,IF(AND(CQ29&gt;='TABEL KONVERSI'!$B$5,'ENTRY DATA'!CQ29&lt;='TABEL KONVERSI'!$C$5),3,IF(AND(CQ29&gt;='TABEL KONVERSI'!$B$6,'ENTRY DATA'!CQ29&lt;='TABEL KONVERSI'!$C$6),4,"")))),"-")</f>
        <v>-</v>
      </c>
      <c r="CT29" s="38" t="str">
        <f t="shared" si="64"/>
        <v>-</v>
      </c>
      <c r="CU29" s="38" t="str">
        <f>VLOOKUP(CR29,'TABEL KONVERSI'!$A$3:$D$7,4)</f>
        <v>-</v>
      </c>
      <c r="CV29" s="38" t="str">
        <f t="shared" si="65"/>
        <v>-</v>
      </c>
      <c r="CW29" s="38" t="str">
        <f>VLOOKUP(CS29,'TABEL KONVERSI'!$A$3:$D$7,4)</f>
        <v>-</v>
      </c>
      <c r="CX29" s="42"/>
      <c r="CY29" s="37"/>
      <c r="CZ29" s="73"/>
      <c r="DA29" s="73"/>
      <c r="DB29" s="38" t="str">
        <f t="shared" si="66"/>
        <v/>
      </c>
      <c r="DC29" s="38" t="str">
        <f t="shared" si="67"/>
        <v/>
      </c>
      <c r="DD29" s="38" t="str">
        <f>IF(DB29&lt;&gt;"",IF(AND(DB29&gt;='TABEL KONVERSI'!$B$3,'ENTRY DATA'!DB29&lt;='TABEL KONVERSI'!$C$3),1,IF(AND(DB29&gt;='TABEL KONVERSI'!$B$4,'ENTRY DATA'!DB29&lt;='TABEL KONVERSI'!$C$4),2,IF(AND(DB29&gt;='TABEL KONVERSI'!$B$5,'ENTRY DATA'!DB29&lt;='TABEL KONVERSI'!$C$5),3,IF(AND(DB29&gt;='TABEL KONVERSI'!$B$6,'ENTRY DATA'!DB29&lt;='TABEL KONVERSI'!$C$6),4,"")))),"-")</f>
        <v>-</v>
      </c>
      <c r="DE29" s="38" t="str">
        <f>IF(DC29&lt;&gt;"",IF(AND(DC29&gt;='TABEL KONVERSI'!$B$3,'ENTRY DATA'!DC29&lt;='TABEL KONVERSI'!$C$3),1,IF(AND(DC29&gt;='TABEL KONVERSI'!$B$4,'ENTRY DATA'!DC29&lt;='TABEL KONVERSI'!$C$4),2,IF(AND(DC29&gt;='TABEL KONVERSI'!$B$5,'ENTRY DATA'!DC29&lt;='TABEL KONVERSI'!$C$5),3,IF(AND(DC29&gt;='TABEL KONVERSI'!$B$6,'ENTRY DATA'!DC29&lt;='TABEL KONVERSI'!$C$6),4,"")))),"-")</f>
        <v>-</v>
      </c>
      <c r="DF29" s="38" t="str">
        <f t="shared" si="68"/>
        <v>-</v>
      </c>
      <c r="DG29" s="38" t="str">
        <f>VLOOKUP(DD29,'TABEL KONVERSI'!$A$3:$D$7,4)</f>
        <v>-</v>
      </c>
      <c r="DH29" s="38" t="str">
        <f t="shared" si="69"/>
        <v>-</v>
      </c>
      <c r="DI29" s="38" t="str">
        <f>VLOOKUP(DE29,'TABEL KONVERSI'!$A$3:$D$7,4)</f>
        <v>-</v>
      </c>
      <c r="DJ29" s="42"/>
      <c r="DK29" s="37"/>
      <c r="DL29" s="73"/>
      <c r="DM29" s="73"/>
      <c r="DN29" s="38" t="str">
        <f t="shared" si="70"/>
        <v/>
      </c>
      <c r="DO29" s="38" t="str">
        <f t="shared" si="71"/>
        <v/>
      </c>
      <c r="DP29" s="38" t="str">
        <f>IF(DN29&lt;&gt;"",IF(AND(DN29&gt;='TABEL KONVERSI'!$B$3,'ENTRY DATA'!DN29&lt;='TABEL KONVERSI'!$C$3),1,IF(AND(DN29&gt;='TABEL KONVERSI'!$B$4,'ENTRY DATA'!DN29&lt;='TABEL KONVERSI'!$C$4),2,IF(AND(DN29&gt;='TABEL KONVERSI'!$B$5,'ENTRY DATA'!DN29&lt;='TABEL KONVERSI'!$C$5),3,IF(AND(DN29&gt;='TABEL KONVERSI'!$B$6,'ENTRY DATA'!DN29&lt;='TABEL KONVERSI'!$C$6),4,"")))),"-")</f>
        <v>-</v>
      </c>
      <c r="DQ29" s="38" t="str">
        <f>IF(DO29&lt;&gt;"",IF(AND(DO29&gt;='TABEL KONVERSI'!$B$3,'ENTRY DATA'!DO29&lt;='TABEL KONVERSI'!$C$3),1,IF(AND(DO29&gt;='TABEL KONVERSI'!$B$4,'ENTRY DATA'!DO29&lt;='TABEL KONVERSI'!$C$4),2,IF(AND(DO29&gt;='TABEL KONVERSI'!$B$5,'ENTRY DATA'!DO29&lt;='TABEL KONVERSI'!$C$5),3,IF(AND(DO29&gt;='TABEL KONVERSI'!$B$6,'ENTRY DATA'!DO29&lt;='TABEL KONVERSI'!$C$6),4,"")))),"-")</f>
        <v>-</v>
      </c>
      <c r="DR29" s="38" t="str">
        <f t="shared" si="72"/>
        <v>-</v>
      </c>
      <c r="DS29" s="38" t="str">
        <f>VLOOKUP(DP29,'TABEL KONVERSI'!$A$3:$D$7,4)</f>
        <v>-</v>
      </c>
      <c r="DT29" s="38" t="str">
        <f t="shared" si="73"/>
        <v>-</v>
      </c>
      <c r="DU29" s="38" t="str">
        <f>VLOOKUP(DQ29,'TABEL KONVERSI'!$A$3:$D$7,4)</f>
        <v>-</v>
      </c>
      <c r="DV29" s="42"/>
      <c r="DW29" s="37"/>
      <c r="DX29" s="73"/>
      <c r="DY29" s="73"/>
      <c r="DZ29" s="38" t="str">
        <f t="shared" si="74"/>
        <v/>
      </c>
      <c r="EA29" s="38" t="str">
        <f t="shared" si="75"/>
        <v/>
      </c>
      <c r="EB29" s="38" t="str">
        <f>IF(DZ29&lt;&gt;"",IF(AND(DZ29&gt;='TABEL KONVERSI'!$B$3,'ENTRY DATA'!DZ29&lt;='TABEL KONVERSI'!$C$3),1,IF(AND(DZ29&gt;='TABEL KONVERSI'!$B$4,'ENTRY DATA'!DZ29&lt;='TABEL KONVERSI'!$C$4),2,IF(AND(DZ29&gt;='TABEL KONVERSI'!$B$5,'ENTRY DATA'!DZ29&lt;='TABEL KONVERSI'!$C$5),3,IF(AND(DZ29&gt;='TABEL KONVERSI'!$B$6,'ENTRY DATA'!DZ29&lt;='TABEL KONVERSI'!$C$6),4,"")))),"-")</f>
        <v>-</v>
      </c>
      <c r="EC29" s="38" t="str">
        <f>IF(EA29&lt;&gt;"",IF(AND(EA29&gt;='TABEL KONVERSI'!$B$3,'ENTRY DATA'!EA29&lt;='TABEL KONVERSI'!$C$3),1,IF(AND(EA29&gt;='TABEL KONVERSI'!$B$4,'ENTRY DATA'!EA29&lt;='TABEL KONVERSI'!$C$4),2,IF(AND(EA29&gt;='TABEL KONVERSI'!$B$5,'ENTRY DATA'!EA29&lt;='TABEL KONVERSI'!$C$5),3,IF(AND(EA29&gt;='TABEL KONVERSI'!$B$6,'ENTRY DATA'!EA29&lt;='TABEL KONVERSI'!$C$6),4,"")))),"-")</f>
        <v>-</v>
      </c>
      <c r="ED29" s="38" t="str">
        <f t="shared" si="76"/>
        <v>-</v>
      </c>
      <c r="EE29" s="38" t="str">
        <f>VLOOKUP(EB29,'TABEL KONVERSI'!$A$3:$D$7,4)</f>
        <v>-</v>
      </c>
      <c r="EF29" s="38" t="str">
        <f t="shared" si="77"/>
        <v>-</v>
      </c>
      <c r="EG29" s="38" t="str">
        <f>VLOOKUP(EC29,'TABEL KONVERSI'!$A$3:$D$7,4)</f>
        <v>-</v>
      </c>
      <c r="EH29" s="42"/>
      <c r="EI29" s="37"/>
      <c r="EJ29" s="73"/>
      <c r="EK29" s="73"/>
      <c r="EL29" s="38" t="str">
        <f t="shared" si="78"/>
        <v/>
      </c>
      <c r="EM29" s="38" t="str">
        <f t="shared" si="79"/>
        <v/>
      </c>
      <c r="EN29" s="38" t="str">
        <f>IF(EL29&lt;&gt;"",IF(AND(EL29&gt;='TABEL KONVERSI'!$B$3,'ENTRY DATA'!EL29&lt;='TABEL KONVERSI'!$C$3),1,IF(AND(EL29&gt;='TABEL KONVERSI'!$B$4,'ENTRY DATA'!EL29&lt;='TABEL KONVERSI'!$C$4),2,IF(AND(EL29&gt;='TABEL KONVERSI'!$B$5,'ENTRY DATA'!EL29&lt;='TABEL KONVERSI'!$C$5),3,IF(AND(EL29&gt;='TABEL KONVERSI'!$B$6,'ENTRY DATA'!EL29&lt;='TABEL KONVERSI'!$C$6),4,"")))),"-")</f>
        <v>-</v>
      </c>
      <c r="EO29" s="38" t="str">
        <f>IF(EM29&lt;&gt;"",IF(AND(EM29&gt;='TABEL KONVERSI'!$B$3,'ENTRY DATA'!EM29&lt;='TABEL KONVERSI'!$C$3),1,IF(AND(EM29&gt;='TABEL KONVERSI'!$B$4,'ENTRY DATA'!EM29&lt;='TABEL KONVERSI'!$C$4),2,IF(AND(EM29&gt;='TABEL KONVERSI'!$B$5,'ENTRY DATA'!EM29&lt;='TABEL KONVERSI'!$C$5),3,IF(AND(EM29&gt;='TABEL KONVERSI'!$B$6,'ENTRY DATA'!EM29&lt;='TABEL KONVERSI'!$C$6),4,"")))),"-")</f>
        <v>-</v>
      </c>
      <c r="EP29" s="38" t="str">
        <f t="shared" si="80"/>
        <v>-</v>
      </c>
      <c r="EQ29" s="38" t="str">
        <f>VLOOKUP(EN29,'TABEL KONVERSI'!$A$3:$D$7,4)</f>
        <v>-</v>
      </c>
      <c r="ER29" s="38" t="str">
        <f t="shared" si="81"/>
        <v>-</v>
      </c>
      <c r="ES29" s="38" t="str">
        <f>VLOOKUP(EO29,'TABEL KONVERSI'!$A$3:$D$7,4)</f>
        <v>-</v>
      </c>
      <c r="ET29" s="42"/>
      <c r="EU29" s="37"/>
      <c r="EV29" s="73"/>
      <c r="EW29" s="73"/>
      <c r="EX29" s="38" t="str">
        <f t="shared" si="82"/>
        <v/>
      </c>
      <c r="EY29" s="38" t="str">
        <f t="shared" si="83"/>
        <v/>
      </c>
      <c r="EZ29" s="38" t="str">
        <f>IF(EX29&lt;&gt;"",IF(AND(EX29&gt;='TABEL KONVERSI'!$B$3,'ENTRY DATA'!EX29&lt;='TABEL KONVERSI'!$C$3),1,IF(AND(EX29&gt;='TABEL KONVERSI'!$B$4,'ENTRY DATA'!EX29&lt;='TABEL KONVERSI'!$C$4),2,IF(AND(EX29&gt;='TABEL KONVERSI'!$B$5,'ENTRY DATA'!EX29&lt;='TABEL KONVERSI'!$C$5),3,IF(AND(EX29&gt;='TABEL KONVERSI'!$B$6,'ENTRY DATA'!EX29&lt;='TABEL KONVERSI'!$C$6),4,"")))),"-")</f>
        <v>-</v>
      </c>
      <c r="FA29" s="38" t="str">
        <f>IF(EY29&lt;&gt;"",IF(AND(EY29&gt;='TABEL KONVERSI'!$B$3,'ENTRY DATA'!EY29&lt;='TABEL KONVERSI'!$C$3),1,IF(AND(EY29&gt;='TABEL KONVERSI'!$B$4,'ENTRY DATA'!EY29&lt;='TABEL KONVERSI'!$C$4),2,IF(AND(EY29&gt;='TABEL KONVERSI'!$B$5,'ENTRY DATA'!EY29&lt;='TABEL KONVERSI'!$C$5),3,IF(AND(EY29&gt;='TABEL KONVERSI'!$B$6,'ENTRY DATA'!EY29&lt;='TABEL KONVERSI'!$C$6),4,"")))),"-")</f>
        <v>-</v>
      </c>
      <c r="FB29" s="38" t="str">
        <f t="shared" si="84"/>
        <v>-</v>
      </c>
      <c r="FC29" s="38" t="str">
        <f>VLOOKUP(EZ29,'TABEL KONVERSI'!$A$3:$D$7,4)</f>
        <v>-</v>
      </c>
      <c r="FD29" s="38" t="str">
        <f t="shared" si="85"/>
        <v>-</v>
      </c>
      <c r="FE29" s="38" t="str">
        <f>VLOOKUP(FA29,'TABEL KONVERSI'!$A$3:$D$7,4)</f>
        <v>-</v>
      </c>
      <c r="FF29" s="42"/>
      <c r="FG29" s="37"/>
      <c r="FH29" s="73"/>
      <c r="FI29" s="73"/>
      <c r="FJ29" s="38" t="str">
        <f t="shared" si="86"/>
        <v/>
      </c>
      <c r="FK29" s="38" t="str">
        <f t="shared" si="87"/>
        <v/>
      </c>
      <c r="FL29" s="38" t="str">
        <f>IF(FJ29&lt;&gt;"",IF(AND(FJ29&gt;='TABEL KONVERSI'!$B$3,'ENTRY DATA'!FJ29&lt;='TABEL KONVERSI'!$C$3),1,IF(AND(FJ29&gt;='TABEL KONVERSI'!$B$4,'ENTRY DATA'!FJ29&lt;='TABEL KONVERSI'!$C$4),2,IF(AND(FJ29&gt;='TABEL KONVERSI'!$B$5,'ENTRY DATA'!FJ29&lt;='TABEL KONVERSI'!$C$5),3,IF(AND(FJ29&gt;='TABEL KONVERSI'!$B$6,'ENTRY DATA'!FJ29&lt;='TABEL KONVERSI'!$C$6),4,"")))),"-")</f>
        <v>-</v>
      </c>
      <c r="FM29" s="38" t="str">
        <f>IF(FK29&lt;&gt;"",IF(AND(FK29&gt;='TABEL KONVERSI'!$B$3,'ENTRY DATA'!FK29&lt;='TABEL KONVERSI'!$C$3),1,IF(AND(FK29&gt;='TABEL KONVERSI'!$B$4,'ENTRY DATA'!FK29&lt;='TABEL KONVERSI'!$C$4),2,IF(AND(FK29&gt;='TABEL KONVERSI'!$B$5,'ENTRY DATA'!FK29&lt;='TABEL KONVERSI'!$C$5),3,IF(AND(FK29&gt;='TABEL KONVERSI'!$B$6,'ENTRY DATA'!FK29&lt;='TABEL KONVERSI'!$C$6),4,"")))),"-")</f>
        <v>-</v>
      </c>
      <c r="FN29" s="38" t="str">
        <f t="shared" si="88"/>
        <v>-</v>
      </c>
      <c r="FO29" s="38" t="str">
        <f>VLOOKUP(FL29,'TABEL KONVERSI'!$A$3:$D$7,4)</f>
        <v>-</v>
      </c>
      <c r="FP29" s="38" t="str">
        <f t="shared" si="89"/>
        <v>-</v>
      </c>
      <c r="FQ29" s="38" t="str">
        <f>VLOOKUP(FM29,'TABEL KONVERSI'!$A$3:$D$7,4)</f>
        <v>-</v>
      </c>
      <c r="FR29" s="42"/>
      <c r="FS29" s="37"/>
      <c r="FT29" s="73"/>
      <c r="FU29" s="73"/>
      <c r="FV29" s="38" t="str">
        <f t="shared" si="90"/>
        <v/>
      </c>
      <c r="FW29" s="38" t="str">
        <f t="shared" si="91"/>
        <v/>
      </c>
      <c r="FX29" s="38" t="str">
        <f>IF(FV29&lt;&gt;"",IF(AND(FV29&gt;='TABEL KONVERSI'!$B$3,'ENTRY DATA'!FV29&lt;='TABEL KONVERSI'!$C$3),1,IF(AND(FV29&gt;='TABEL KONVERSI'!$B$4,'ENTRY DATA'!FV29&lt;='TABEL KONVERSI'!$C$4),2,IF(AND(FV29&gt;='TABEL KONVERSI'!$B$5,'ENTRY DATA'!FV29&lt;='TABEL KONVERSI'!$C$5),3,IF(AND(FV29&gt;='TABEL KONVERSI'!$B$6,'ENTRY DATA'!FV29&lt;='TABEL KONVERSI'!$C$6),4,"")))),"-")</f>
        <v>-</v>
      </c>
      <c r="FY29" s="38" t="str">
        <f>IF(FW29&lt;&gt;"",IF(AND(FW29&gt;='TABEL KONVERSI'!$B$3,'ENTRY DATA'!FW29&lt;='TABEL KONVERSI'!$C$3),1,IF(AND(FW29&gt;='TABEL KONVERSI'!$B$4,'ENTRY DATA'!FW29&lt;='TABEL KONVERSI'!$C$4),2,IF(AND(FW29&gt;='TABEL KONVERSI'!$B$5,'ENTRY DATA'!FW29&lt;='TABEL KONVERSI'!$C$5),3,IF(AND(FW29&gt;='TABEL KONVERSI'!$B$6,'ENTRY DATA'!FW29&lt;='TABEL KONVERSI'!$C$6),4,"")))),"-")</f>
        <v>-</v>
      </c>
      <c r="FZ29" s="38" t="str">
        <f t="shared" si="92"/>
        <v>-</v>
      </c>
      <c r="GA29" s="38" t="str">
        <f>VLOOKUP(FX29,'TABEL KONVERSI'!$A$3:$D$7,4)</f>
        <v>-</v>
      </c>
      <c r="GB29" s="38" t="str">
        <f t="shared" si="93"/>
        <v>-</v>
      </c>
      <c r="GC29" s="38" t="str">
        <f>VLOOKUP(FY29,'TABEL KONVERSI'!$A$3:$D$7,4)</f>
        <v>-</v>
      </c>
      <c r="GD29" s="42"/>
      <c r="GE29" s="37"/>
      <c r="GF29" s="73"/>
      <c r="GG29" s="73"/>
      <c r="GH29" s="38" t="str">
        <f t="shared" si="94"/>
        <v/>
      </c>
      <c r="GI29" s="38" t="str">
        <f t="shared" si="95"/>
        <v/>
      </c>
      <c r="GJ29" s="38" t="str">
        <f>IF(GH29&lt;&gt;"",IF(AND(GH29&gt;='TABEL KONVERSI'!$B$3,'ENTRY DATA'!GH29&lt;='TABEL KONVERSI'!$C$3),1,IF(AND(GH29&gt;='TABEL KONVERSI'!$B$4,'ENTRY DATA'!GH29&lt;='TABEL KONVERSI'!$C$4),2,IF(AND(GH29&gt;='TABEL KONVERSI'!$B$5,'ENTRY DATA'!GH29&lt;='TABEL KONVERSI'!$C$5),3,IF(AND(GH29&gt;='TABEL KONVERSI'!$B$6,'ENTRY DATA'!GH29&lt;='TABEL KONVERSI'!$C$6),4,"")))),"-")</f>
        <v>-</v>
      </c>
      <c r="GK29" s="38" t="str">
        <f>IF(GI29&lt;&gt;"",IF(AND(GI29&gt;='TABEL KONVERSI'!$B$3,'ENTRY DATA'!GI29&lt;='TABEL KONVERSI'!$C$3),1,IF(AND(GI29&gt;='TABEL KONVERSI'!$B$4,'ENTRY DATA'!GI29&lt;='TABEL KONVERSI'!$C$4),2,IF(AND(GI29&gt;='TABEL KONVERSI'!$B$5,'ENTRY DATA'!GI29&lt;='TABEL KONVERSI'!$C$5),3,IF(AND(GI29&gt;='TABEL KONVERSI'!$B$6,'ENTRY DATA'!GI29&lt;='TABEL KONVERSI'!$C$6),4,"")))),"-")</f>
        <v>-</v>
      </c>
      <c r="GL29" s="38" t="str">
        <f t="shared" si="96"/>
        <v>-</v>
      </c>
      <c r="GM29" s="38" t="str">
        <f>VLOOKUP(GJ29,'TABEL KONVERSI'!$A$3:$D$7,4)</f>
        <v>-</v>
      </c>
      <c r="GN29" s="38" t="str">
        <f t="shared" si="97"/>
        <v>-</v>
      </c>
      <c r="GO29" s="38" t="str">
        <f>VLOOKUP(GK29,'TABEL KONVERSI'!$A$3:$D$7,4)</f>
        <v>-</v>
      </c>
      <c r="GP29" s="43">
        <f t="shared" si="0"/>
        <v>0</v>
      </c>
      <c r="GQ29" s="43">
        <f t="shared" si="1"/>
        <v>0</v>
      </c>
      <c r="GR29" s="43">
        <f t="shared" si="2"/>
        <v>0</v>
      </c>
      <c r="GS29" s="43">
        <f t="shared" si="3"/>
        <v>0</v>
      </c>
      <c r="GT29" s="43">
        <f t="shared" si="4"/>
        <v>0</v>
      </c>
      <c r="GU29" s="43">
        <f t="shared" si="5"/>
        <v>0</v>
      </c>
      <c r="GV29" s="43">
        <f t="shared" si="6"/>
        <v>0</v>
      </c>
      <c r="GW29" s="43">
        <f t="shared" si="7"/>
        <v>0</v>
      </c>
      <c r="GX29" s="43">
        <f t="shared" si="8"/>
        <v>0</v>
      </c>
      <c r="GY29" s="43">
        <f t="shared" si="9"/>
        <v>0</v>
      </c>
      <c r="GZ29" s="43">
        <f t="shared" si="10"/>
        <v>0</v>
      </c>
      <c r="HA29" s="43">
        <f t="shared" si="11"/>
        <v>0</v>
      </c>
      <c r="HB29" s="43">
        <f t="shared" si="12"/>
        <v>0</v>
      </c>
      <c r="HC29" s="43">
        <f t="shared" si="13"/>
        <v>0</v>
      </c>
      <c r="HD29" s="43">
        <f t="shared" si="14"/>
        <v>0</v>
      </c>
      <c r="HE29" s="43">
        <f t="shared" si="15"/>
        <v>0</v>
      </c>
      <c r="HF29" s="38">
        <f t="shared" si="98"/>
        <v>0</v>
      </c>
      <c r="HG29" s="38">
        <f t="shared" si="99"/>
        <v>0</v>
      </c>
      <c r="HH29" s="38">
        <f t="shared" si="100"/>
        <v>0</v>
      </c>
      <c r="HI29" s="39">
        <f t="shared" si="101"/>
        <v>0</v>
      </c>
      <c r="HJ29" s="44" t="str">
        <f t="shared" si="102"/>
        <v>-</v>
      </c>
      <c r="HK29" s="45" t="str">
        <f>VLOOKUP(HJ29,'TABEL KONVERSI'!$B$11:$D$15,2,0)</f>
        <v>-</v>
      </c>
      <c r="HL29" s="43">
        <f t="shared" si="16"/>
        <v>0</v>
      </c>
      <c r="HM29" s="43">
        <f t="shared" si="17"/>
        <v>0</v>
      </c>
      <c r="HN29" s="43">
        <f t="shared" si="18"/>
        <v>0</v>
      </c>
      <c r="HO29" s="43">
        <f t="shared" si="19"/>
        <v>0</v>
      </c>
      <c r="HP29" s="43">
        <f t="shared" si="20"/>
        <v>0</v>
      </c>
      <c r="HQ29" s="43">
        <f t="shared" si="21"/>
        <v>0</v>
      </c>
      <c r="HR29" s="43">
        <f t="shared" si="22"/>
        <v>0</v>
      </c>
      <c r="HS29" s="43">
        <f t="shared" si="23"/>
        <v>0</v>
      </c>
      <c r="HT29" s="43">
        <f t="shared" si="24"/>
        <v>0</v>
      </c>
      <c r="HU29" s="43">
        <f t="shared" si="25"/>
        <v>0</v>
      </c>
      <c r="HV29" s="43">
        <f t="shared" si="26"/>
        <v>0</v>
      </c>
      <c r="HW29" s="43">
        <f t="shared" si="27"/>
        <v>0</v>
      </c>
      <c r="HX29" s="43">
        <f t="shared" si="28"/>
        <v>0</v>
      </c>
      <c r="HY29" s="43">
        <f t="shared" si="29"/>
        <v>0</v>
      </c>
      <c r="HZ29" s="43">
        <f t="shared" si="30"/>
        <v>0</v>
      </c>
      <c r="IA29" s="43">
        <f t="shared" si="31"/>
        <v>0</v>
      </c>
      <c r="IB29" s="38">
        <f t="shared" si="103"/>
        <v>0</v>
      </c>
      <c r="IC29" s="38">
        <f t="shared" si="104"/>
        <v>0</v>
      </c>
      <c r="ID29" s="38">
        <f t="shared" si="105"/>
        <v>0</v>
      </c>
      <c r="IE29" s="38">
        <f t="shared" si="106"/>
        <v>0</v>
      </c>
      <c r="IF29" s="46" t="str">
        <f t="shared" si="107"/>
        <v>-</v>
      </c>
      <c r="IG29" s="45" t="str">
        <f>VLOOKUP(IF29,'TABEL KONVERSI'!$B$11:$D$15,3,0)</f>
        <v>-</v>
      </c>
      <c r="IH29" s="40" t="s">
        <v>223</v>
      </c>
      <c r="II29" s="41" t="s">
        <v>106</v>
      </c>
      <c r="IJ29" s="45" t="str">
        <f>IF(II29&lt;&gt;"",VLOOKUP(II29,'TABEL KONVERSI'!$A$19:$B$23,2,0),"")</f>
        <v>Aktif dalam mengikuti kegiatan</v>
      </c>
      <c r="IK29" s="47" t="s">
        <v>58</v>
      </c>
      <c r="IL29" s="50" t="s">
        <v>58</v>
      </c>
      <c r="IM29" s="45" t="str">
        <f>IF(IL29&lt;&gt;"",VLOOKUP(IL29,'TABEL KONVERSI'!$A$19:$B$23,2,0),"")</f>
        <v>-</v>
      </c>
      <c r="IN29" s="49" t="s">
        <v>58</v>
      </c>
      <c r="IO29" s="48" t="s">
        <v>58</v>
      </c>
      <c r="IP29" s="45" t="str">
        <f>IF(IO29&lt;&gt;"",VLOOKUP(IO29,'TABEL KONVERSI'!$A$19:$B$23,2,0),"")</f>
        <v>-</v>
      </c>
      <c r="IQ29" s="49" t="s">
        <v>58</v>
      </c>
      <c r="IR29" s="50" t="s">
        <v>58</v>
      </c>
      <c r="IS29" s="45" t="str">
        <f>IF(IR29&lt;&gt;"",VLOOKUP(IR29,'TABEL KONVERSI'!$A$19:$B$23,2,0),"")</f>
        <v>-</v>
      </c>
      <c r="IT29" s="49" t="s">
        <v>58</v>
      </c>
      <c r="IU29" s="50" t="s">
        <v>58</v>
      </c>
      <c r="IV29" s="45" t="str">
        <f>IF(IU29&lt;&gt;"",VLOOKUP(IU29,'TABEL KONVERSI'!$A$19:$B$23,2,0),"")</f>
        <v>-</v>
      </c>
      <c r="IW29" s="48" t="s">
        <v>58</v>
      </c>
      <c r="IX29" s="48" t="s">
        <v>58</v>
      </c>
      <c r="IY29" s="48" t="s">
        <v>58</v>
      </c>
      <c r="IZ29" s="47" t="s">
        <v>58</v>
      </c>
      <c r="JA29" s="45">
        <f t="shared" si="32"/>
        <v>0</v>
      </c>
      <c r="JB29" s="45">
        <f t="shared" si="33"/>
        <v>1</v>
      </c>
    </row>
    <row r="30" spans="1:262" x14ac:dyDescent="0.25">
      <c r="A30" s="33">
        <v>18</v>
      </c>
      <c r="B30" s="51"/>
      <c r="C30" s="51"/>
      <c r="D30" s="77"/>
      <c r="E30" s="52"/>
      <c r="F30" s="42"/>
      <c r="G30" s="37"/>
      <c r="H30" s="73"/>
      <c r="I30" s="73"/>
      <c r="J30" s="38" t="str">
        <f t="shared" si="34"/>
        <v/>
      </c>
      <c r="K30" s="38" t="str">
        <f t="shared" si="35"/>
        <v/>
      </c>
      <c r="L30" s="38" t="str">
        <f>IF(J30&lt;&gt;"",IF(AND(J30&gt;='TABEL KONVERSI'!$B$3,'ENTRY DATA'!J30&lt;='TABEL KONVERSI'!$C$3),1,IF(AND(J30&gt;='TABEL KONVERSI'!$B$4,'ENTRY DATA'!J30&lt;='TABEL KONVERSI'!$C$4),2,IF(AND(J30&gt;='TABEL KONVERSI'!$B$5,'ENTRY DATA'!J30&lt;='TABEL KONVERSI'!$C$5),3,IF(AND(J30&gt;='TABEL KONVERSI'!$B$6,'ENTRY DATA'!J30&lt;='TABEL KONVERSI'!$C$6),4,"")))),"-")</f>
        <v>-</v>
      </c>
      <c r="M30" s="38" t="str">
        <f>IF(K30&lt;&gt;"",IF(AND(K30&gt;='TABEL KONVERSI'!$B$3,'ENTRY DATA'!K30&lt;='TABEL KONVERSI'!$C$3),1,IF(AND(K30&gt;='TABEL KONVERSI'!$B$4,'ENTRY DATA'!K30&lt;='TABEL KONVERSI'!$C$4),2,IF(AND(K30&gt;='TABEL KONVERSI'!$B$5,'ENTRY DATA'!K30&lt;='TABEL KONVERSI'!$C$5),3,IF(AND(K30&gt;='TABEL KONVERSI'!$B$6,'ENTRY DATA'!K30&lt;='TABEL KONVERSI'!$C$6),4,"")))),"-")</f>
        <v>-</v>
      </c>
      <c r="N30" s="38" t="str">
        <f t="shared" si="36"/>
        <v>-</v>
      </c>
      <c r="O30" s="38" t="str">
        <f>VLOOKUP(L30,'TABEL KONVERSI'!$A$3:$D$7,4)</f>
        <v>-</v>
      </c>
      <c r="P30" s="38" t="str">
        <f t="shared" si="37"/>
        <v>-</v>
      </c>
      <c r="Q30" s="38" t="str">
        <f>VLOOKUP(M30,'TABEL KONVERSI'!$A$3:$D$7,4)</f>
        <v>-</v>
      </c>
      <c r="R30" s="42"/>
      <c r="S30" s="37"/>
      <c r="T30" s="73"/>
      <c r="U30" s="73"/>
      <c r="V30" s="38" t="str">
        <f t="shared" si="38"/>
        <v/>
      </c>
      <c r="W30" s="38" t="str">
        <f t="shared" si="39"/>
        <v/>
      </c>
      <c r="X30" s="38" t="str">
        <f>IF(V30&lt;&gt;"",IF(AND(V30&gt;='TABEL KONVERSI'!$B$3,'ENTRY DATA'!V30&lt;='TABEL KONVERSI'!$C$3),1,IF(AND(V30&gt;='TABEL KONVERSI'!$B$4,'ENTRY DATA'!V30&lt;='TABEL KONVERSI'!$C$4),2,IF(AND(V30&gt;='TABEL KONVERSI'!$B$5,'ENTRY DATA'!V30&lt;='TABEL KONVERSI'!$C$5),3,IF(AND(V30&gt;='TABEL KONVERSI'!$B$6,'ENTRY DATA'!V30&lt;='TABEL KONVERSI'!$C$6),4,"")))),"-")</f>
        <v>-</v>
      </c>
      <c r="Y30" s="38" t="str">
        <f>IF(W30&lt;&gt;"",IF(AND(W30&gt;='TABEL KONVERSI'!$B$3,'ENTRY DATA'!W30&lt;='TABEL KONVERSI'!$C$3),1,IF(AND(W30&gt;='TABEL KONVERSI'!$B$4,'ENTRY DATA'!W30&lt;='TABEL KONVERSI'!$C$4),2,IF(AND(W30&gt;='TABEL KONVERSI'!$B$5,'ENTRY DATA'!W30&lt;='TABEL KONVERSI'!$C$5),3,IF(AND(W30&gt;='TABEL KONVERSI'!$B$6,'ENTRY DATA'!W30&lt;='TABEL KONVERSI'!$C$6),4,"")))),"-")</f>
        <v>-</v>
      </c>
      <c r="Z30" s="38" t="str">
        <f t="shared" si="40"/>
        <v>-</v>
      </c>
      <c r="AA30" s="38" t="str">
        <f>VLOOKUP(X30,'TABEL KONVERSI'!$A$3:$D$7,4)</f>
        <v>-</v>
      </c>
      <c r="AB30" s="38" t="str">
        <f t="shared" si="41"/>
        <v>-</v>
      </c>
      <c r="AC30" s="38" t="str">
        <f>VLOOKUP(Y30,'TABEL KONVERSI'!$A$3:$D$7,4)</f>
        <v>-</v>
      </c>
      <c r="AD30" s="42"/>
      <c r="AE30" s="37"/>
      <c r="AF30" s="73"/>
      <c r="AG30" s="73"/>
      <c r="AH30" s="38" t="str">
        <f t="shared" si="42"/>
        <v/>
      </c>
      <c r="AI30" s="38" t="str">
        <f t="shared" si="43"/>
        <v/>
      </c>
      <c r="AJ30" s="38" t="str">
        <f>IF(AH30&lt;&gt;"",IF(AND(AH30&gt;='TABEL KONVERSI'!$B$3,'ENTRY DATA'!AH30&lt;='TABEL KONVERSI'!$C$3),1,IF(AND(AH30&gt;='TABEL KONVERSI'!$B$4,'ENTRY DATA'!AH30&lt;='TABEL KONVERSI'!$C$4),2,IF(AND(AH30&gt;='TABEL KONVERSI'!$B$5,'ENTRY DATA'!AH30&lt;='TABEL KONVERSI'!$C$5),3,IF(AND(AH30&gt;='TABEL KONVERSI'!$B$6,'ENTRY DATA'!AH30&lt;='TABEL KONVERSI'!$C$6),4,"")))),"-")</f>
        <v>-</v>
      </c>
      <c r="AK30" s="38" t="str">
        <f>IF(AI30&lt;&gt;"",IF(AND(AI30&gt;='TABEL KONVERSI'!$B$3,'ENTRY DATA'!AI30&lt;='TABEL KONVERSI'!$C$3),1,IF(AND(AI30&gt;='TABEL KONVERSI'!$B$4,'ENTRY DATA'!AI30&lt;='TABEL KONVERSI'!$C$4),2,IF(AND(AI30&gt;='TABEL KONVERSI'!$B$5,'ENTRY DATA'!AI30&lt;='TABEL KONVERSI'!$C$5),3,IF(AND(AI30&gt;='TABEL KONVERSI'!$B$6,'ENTRY DATA'!AI30&lt;='TABEL KONVERSI'!$C$6),4,"")))),"-")</f>
        <v>-</v>
      </c>
      <c r="AL30" s="38" t="str">
        <f t="shared" si="44"/>
        <v>-</v>
      </c>
      <c r="AM30" s="38" t="str">
        <f>VLOOKUP(AJ30,'TABEL KONVERSI'!$A$3:$D$7,4)</f>
        <v>-</v>
      </c>
      <c r="AN30" s="38" t="str">
        <f t="shared" si="45"/>
        <v>-</v>
      </c>
      <c r="AO30" s="38" t="str">
        <f>VLOOKUP(AK30,'TABEL KONVERSI'!$A$3:$D$7,4)</f>
        <v>-</v>
      </c>
      <c r="AP30" s="42"/>
      <c r="AQ30" s="37"/>
      <c r="AR30" s="73"/>
      <c r="AS30" s="73"/>
      <c r="AT30" s="38" t="str">
        <f t="shared" si="46"/>
        <v/>
      </c>
      <c r="AU30" s="38" t="str">
        <f t="shared" si="47"/>
        <v/>
      </c>
      <c r="AV30" s="38" t="str">
        <f>IF(AT30&lt;&gt;"",IF(AND(AT30&gt;='TABEL KONVERSI'!$B$3,'ENTRY DATA'!AT30&lt;='TABEL KONVERSI'!$C$3),1,IF(AND(AT30&gt;='TABEL KONVERSI'!$B$4,'ENTRY DATA'!AT30&lt;='TABEL KONVERSI'!$C$4),2,IF(AND(AT30&gt;='TABEL KONVERSI'!$B$5,'ENTRY DATA'!AT30&lt;='TABEL KONVERSI'!$C$5),3,IF(AND(AT30&gt;='TABEL KONVERSI'!$B$6,'ENTRY DATA'!AT30&lt;='TABEL KONVERSI'!$C$6),4,"")))),"-")</f>
        <v>-</v>
      </c>
      <c r="AW30" s="38" t="str">
        <f>IF(AU30&lt;&gt;"",IF(AND(AU30&gt;='TABEL KONVERSI'!$B$3,'ENTRY DATA'!AU30&lt;='TABEL KONVERSI'!$C$3),1,IF(AND(AU30&gt;='TABEL KONVERSI'!$B$4,'ENTRY DATA'!AU30&lt;='TABEL KONVERSI'!$C$4),2,IF(AND(AU30&gt;='TABEL KONVERSI'!$B$5,'ENTRY DATA'!AU30&lt;='TABEL KONVERSI'!$C$5),3,IF(AND(AU30&gt;='TABEL KONVERSI'!$B$6,'ENTRY DATA'!AU30&lt;='TABEL KONVERSI'!$C$6),4,"")))),"-")</f>
        <v>-</v>
      </c>
      <c r="AX30" s="38" t="str">
        <f t="shared" si="48"/>
        <v>-</v>
      </c>
      <c r="AY30" s="38" t="str">
        <f>VLOOKUP(AV30,'TABEL KONVERSI'!$A$3:$D$7,4)</f>
        <v>-</v>
      </c>
      <c r="AZ30" s="38" t="str">
        <f t="shared" si="49"/>
        <v>-</v>
      </c>
      <c r="BA30" s="38" t="str">
        <f>VLOOKUP(AW30,'TABEL KONVERSI'!$A$3:$D$7,4)</f>
        <v>-</v>
      </c>
      <c r="BB30" s="42"/>
      <c r="BC30" s="37"/>
      <c r="BD30" s="73"/>
      <c r="BE30" s="73"/>
      <c r="BF30" s="38" t="str">
        <f t="shared" si="50"/>
        <v/>
      </c>
      <c r="BG30" s="38" t="str">
        <f t="shared" si="51"/>
        <v/>
      </c>
      <c r="BH30" s="38" t="str">
        <f>IF(BF30&lt;&gt;"",IF(AND(BF30&gt;='TABEL KONVERSI'!$B$3,'ENTRY DATA'!BF30&lt;='TABEL KONVERSI'!$C$3),1,IF(AND(BF30&gt;='TABEL KONVERSI'!$B$4,'ENTRY DATA'!BF30&lt;='TABEL KONVERSI'!$C$4),2,IF(AND(BF30&gt;='TABEL KONVERSI'!$B$5,'ENTRY DATA'!BF30&lt;='TABEL KONVERSI'!$C$5),3,IF(AND(BF30&gt;='TABEL KONVERSI'!$B$6,'ENTRY DATA'!BF30&lt;='TABEL KONVERSI'!$C$6),4,"")))),"-")</f>
        <v>-</v>
      </c>
      <c r="BI30" s="38" t="str">
        <f>IF(BG30&lt;&gt;"",IF(AND(BG30&gt;='TABEL KONVERSI'!$B$3,'ENTRY DATA'!BG30&lt;='TABEL KONVERSI'!$C$3),1,IF(AND(BG30&gt;='TABEL KONVERSI'!$B$4,'ENTRY DATA'!BG30&lt;='TABEL KONVERSI'!$C$4),2,IF(AND(BG30&gt;='TABEL KONVERSI'!$B$5,'ENTRY DATA'!BG30&lt;='TABEL KONVERSI'!$C$5),3,IF(AND(BG30&gt;='TABEL KONVERSI'!$B$6,'ENTRY DATA'!BG30&lt;='TABEL KONVERSI'!$C$6),4,"")))),"-")</f>
        <v>-</v>
      </c>
      <c r="BJ30" s="38" t="str">
        <f t="shared" si="52"/>
        <v>-</v>
      </c>
      <c r="BK30" s="38" t="str">
        <f>VLOOKUP(BH30,'TABEL KONVERSI'!$A$3:$D$7,4)</f>
        <v>-</v>
      </c>
      <c r="BL30" s="38" t="str">
        <f t="shared" si="53"/>
        <v>-</v>
      </c>
      <c r="BM30" s="38" t="str">
        <f>VLOOKUP(BI30,'TABEL KONVERSI'!$A$3:$D$7,4)</f>
        <v>-</v>
      </c>
      <c r="BN30" s="42"/>
      <c r="BO30" s="37"/>
      <c r="BP30" s="73"/>
      <c r="BQ30" s="73"/>
      <c r="BR30" s="38" t="str">
        <f t="shared" si="54"/>
        <v/>
      </c>
      <c r="BS30" s="38" t="str">
        <f t="shared" si="55"/>
        <v/>
      </c>
      <c r="BT30" s="38" t="str">
        <f>IF(BR30&lt;&gt;"",IF(AND(BR30&gt;='TABEL KONVERSI'!$B$3,'ENTRY DATA'!BR30&lt;='TABEL KONVERSI'!$C$3),1,IF(AND(BR30&gt;='TABEL KONVERSI'!$B$4,'ENTRY DATA'!BR30&lt;='TABEL KONVERSI'!$C$4),2,IF(AND(BR30&gt;='TABEL KONVERSI'!$B$5,'ENTRY DATA'!BR30&lt;='TABEL KONVERSI'!$C$5),3,IF(AND(BR30&gt;='TABEL KONVERSI'!$B$6,'ENTRY DATA'!BR30&lt;='TABEL KONVERSI'!$C$6),4,"")))),"-")</f>
        <v>-</v>
      </c>
      <c r="BU30" s="38" t="str">
        <f>IF(BS30&lt;&gt;"",IF(AND(BS30&gt;='TABEL KONVERSI'!$B$3,'ENTRY DATA'!BS30&lt;='TABEL KONVERSI'!$C$3),1,IF(AND(BS30&gt;='TABEL KONVERSI'!$B$4,'ENTRY DATA'!BS30&lt;='TABEL KONVERSI'!$C$4),2,IF(AND(BS30&gt;='TABEL KONVERSI'!$B$5,'ENTRY DATA'!BS30&lt;='TABEL KONVERSI'!$C$5),3,IF(AND(BS30&gt;='TABEL KONVERSI'!$B$6,'ENTRY DATA'!BS30&lt;='TABEL KONVERSI'!$C$6),4,"")))),"-")</f>
        <v>-</v>
      </c>
      <c r="BV30" s="38" t="str">
        <f t="shared" si="56"/>
        <v>-</v>
      </c>
      <c r="BW30" s="38" t="str">
        <f>VLOOKUP(BT30,'TABEL KONVERSI'!$A$3:$D$7,4)</f>
        <v>-</v>
      </c>
      <c r="BX30" s="38" t="str">
        <f t="shared" si="57"/>
        <v>-</v>
      </c>
      <c r="BY30" s="38" t="str">
        <f>VLOOKUP(BU30,'TABEL KONVERSI'!$A$3:$D$7,4)</f>
        <v>-</v>
      </c>
      <c r="BZ30" s="42"/>
      <c r="CA30" s="37"/>
      <c r="CB30" s="73"/>
      <c r="CC30" s="73"/>
      <c r="CD30" s="38" t="str">
        <f t="shared" si="58"/>
        <v/>
      </c>
      <c r="CE30" s="38" t="str">
        <f t="shared" si="59"/>
        <v/>
      </c>
      <c r="CF30" s="38" t="str">
        <f>IF(CD30&lt;&gt;"",IF(AND(CD30&gt;='TABEL KONVERSI'!$B$3,'ENTRY DATA'!CD30&lt;='TABEL KONVERSI'!$C$3),1,IF(AND(CD30&gt;='TABEL KONVERSI'!$B$4,'ENTRY DATA'!CD30&lt;='TABEL KONVERSI'!$C$4),2,IF(AND(CD30&gt;='TABEL KONVERSI'!$B$5,'ENTRY DATA'!CD30&lt;='TABEL KONVERSI'!$C$5),3,IF(AND(CD30&gt;='TABEL KONVERSI'!$B$6,'ENTRY DATA'!CD30&lt;='TABEL KONVERSI'!$C$6),4,"")))),"-")</f>
        <v>-</v>
      </c>
      <c r="CG30" s="38" t="str">
        <f>IF(CE30&lt;&gt;"",IF(AND(CE30&gt;='TABEL KONVERSI'!$B$3,'ENTRY DATA'!CE30&lt;='TABEL KONVERSI'!$C$3),1,IF(AND(CE30&gt;='TABEL KONVERSI'!$B$4,'ENTRY DATA'!CE30&lt;='TABEL KONVERSI'!$C$4),2,IF(AND(CE30&gt;='TABEL KONVERSI'!$B$5,'ENTRY DATA'!CE30&lt;='TABEL KONVERSI'!$C$5),3,IF(AND(CE30&gt;='TABEL KONVERSI'!$B$6,'ENTRY DATA'!CE30&lt;='TABEL KONVERSI'!$C$6),4,"")))),"-")</f>
        <v>-</v>
      </c>
      <c r="CH30" s="38" t="str">
        <f t="shared" si="60"/>
        <v>-</v>
      </c>
      <c r="CI30" s="38" t="str">
        <f>VLOOKUP(CF30,'TABEL KONVERSI'!$A$3:$D$7,4)</f>
        <v>-</v>
      </c>
      <c r="CJ30" s="38" t="str">
        <f t="shared" si="61"/>
        <v>-</v>
      </c>
      <c r="CK30" s="38" t="str">
        <f>VLOOKUP(CG30,'TABEL KONVERSI'!$A$3:$D$7,4)</f>
        <v>-</v>
      </c>
      <c r="CL30" s="42"/>
      <c r="CM30" s="37"/>
      <c r="CN30" s="73"/>
      <c r="CO30" s="73"/>
      <c r="CP30" s="38" t="str">
        <f t="shared" si="62"/>
        <v/>
      </c>
      <c r="CQ30" s="38" t="str">
        <f t="shared" si="63"/>
        <v/>
      </c>
      <c r="CR30" s="38" t="str">
        <f>IF(CP30&lt;&gt;"",IF(AND(CP30&gt;='TABEL KONVERSI'!$B$3,'ENTRY DATA'!CP30&lt;='TABEL KONVERSI'!$C$3),1,IF(AND(CP30&gt;='TABEL KONVERSI'!$B$4,'ENTRY DATA'!CP30&lt;='TABEL KONVERSI'!$C$4),2,IF(AND(CP30&gt;='TABEL KONVERSI'!$B$5,'ENTRY DATA'!CP30&lt;='TABEL KONVERSI'!$C$5),3,IF(AND(CP30&gt;='TABEL KONVERSI'!$B$6,'ENTRY DATA'!CP30&lt;='TABEL KONVERSI'!$C$6),4,"")))),"-")</f>
        <v>-</v>
      </c>
      <c r="CS30" s="38" t="str">
        <f>IF(CQ30&lt;&gt;"",IF(AND(CQ30&gt;='TABEL KONVERSI'!$B$3,'ENTRY DATA'!CQ30&lt;='TABEL KONVERSI'!$C$3),1,IF(AND(CQ30&gt;='TABEL KONVERSI'!$B$4,'ENTRY DATA'!CQ30&lt;='TABEL KONVERSI'!$C$4),2,IF(AND(CQ30&gt;='TABEL KONVERSI'!$B$5,'ENTRY DATA'!CQ30&lt;='TABEL KONVERSI'!$C$5),3,IF(AND(CQ30&gt;='TABEL KONVERSI'!$B$6,'ENTRY DATA'!CQ30&lt;='TABEL KONVERSI'!$C$6),4,"")))),"-")</f>
        <v>-</v>
      </c>
      <c r="CT30" s="38" t="str">
        <f t="shared" si="64"/>
        <v>-</v>
      </c>
      <c r="CU30" s="38" t="str">
        <f>VLOOKUP(CR30,'TABEL KONVERSI'!$A$3:$D$7,4)</f>
        <v>-</v>
      </c>
      <c r="CV30" s="38" t="str">
        <f t="shared" si="65"/>
        <v>-</v>
      </c>
      <c r="CW30" s="38" t="str">
        <f>VLOOKUP(CS30,'TABEL KONVERSI'!$A$3:$D$7,4)</f>
        <v>-</v>
      </c>
      <c r="CX30" s="42"/>
      <c r="CY30" s="37"/>
      <c r="CZ30" s="73"/>
      <c r="DA30" s="73"/>
      <c r="DB30" s="38" t="str">
        <f t="shared" si="66"/>
        <v/>
      </c>
      <c r="DC30" s="38" t="str">
        <f t="shared" si="67"/>
        <v/>
      </c>
      <c r="DD30" s="38" t="str">
        <f>IF(DB30&lt;&gt;"",IF(AND(DB30&gt;='TABEL KONVERSI'!$B$3,'ENTRY DATA'!DB30&lt;='TABEL KONVERSI'!$C$3),1,IF(AND(DB30&gt;='TABEL KONVERSI'!$B$4,'ENTRY DATA'!DB30&lt;='TABEL KONVERSI'!$C$4),2,IF(AND(DB30&gt;='TABEL KONVERSI'!$B$5,'ENTRY DATA'!DB30&lt;='TABEL KONVERSI'!$C$5),3,IF(AND(DB30&gt;='TABEL KONVERSI'!$B$6,'ENTRY DATA'!DB30&lt;='TABEL KONVERSI'!$C$6),4,"")))),"-")</f>
        <v>-</v>
      </c>
      <c r="DE30" s="38" t="str">
        <f>IF(DC30&lt;&gt;"",IF(AND(DC30&gt;='TABEL KONVERSI'!$B$3,'ENTRY DATA'!DC30&lt;='TABEL KONVERSI'!$C$3),1,IF(AND(DC30&gt;='TABEL KONVERSI'!$B$4,'ENTRY DATA'!DC30&lt;='TABEL KONVERSI'!$C$4),2,IF(AND(DC30&gt;='TABEL KONVERSI'!$B$5,'ENTRY DATA'!DC30&lt;='TABEL KONVERSI'!$C$5),3,IF(AND(DC30&gt;='TABEL KONVERSI'!$B$6,'ENTRY DATA'!DC30&lt;='TABEL KONVERSI'!$C$6),4,"")))),"-")</f>
        <v>-</v>
      </c>
      <c r="DF30" s="38" t="str">
        <f t="shared" si="68"/>
        <v>-</v>
      </c>
      <c r="DG30" s="38" t="str">
        <f>VLOOKUP(DD30,'TABEL KONVERSI'!$A$3:$D$7,4)</f>
        <v>-</v>
      </c>
      <c r="DH30" s="38" t="str">
        <f t="shared" si="69"/>
        <v>-</v>
      </c>
      <c r="DI30" s="38" t="str">
        <f>VLOOKUP(DE30,'TABEL KONVERSI'!$A$3:$D$7,4)</f>
        <v>-</v>
      </c>
      <c r="DJ30" s="42"/>
      <c r="DK30" s="37"/>
      <c r="DL30" s="73"/>
      <c r="DM30" s="73"/>
      <c r="DN30" s="38" t="str">
        <f t="shared" si="70"/>
        <v/>
      </c>
      <c r="DO30" s="38" t="str">
        <f t="shared" si="71"/>
        <v/>
      </c>
      <c r="DP30" s="38" t="str">
        <f>IF(DN30&lt;&gt;"",IF(AND(DN30&gt;='TABEL KONVERSI'!$B$3,'ENTRY DATA'!DN30&lt;='TABEL KONVERSI'!$C$3),1,IF(AND(DN30&gt;='TABEL KONVERSI'!$B$4,'ENTRY DATA'!DN30&lt;='TABEL KONVERSI'!$C$4),2,IF(AND(DN30&gt;='TABEL KONVERSI'!$B$5,'ENTRY DATA'!DN30&lt;='TABEL KONVERSI'!$C$5),3,IF(AND(DN30&gt;='TABEL KONVERSI'!$B$6,'ENTRY DATA'!DN30&lt;='TABEL KONVERSI'!$C$6),4,"")))),"-")</f>
        <v>-</v>
      </c>
      <c r="DQ30" s="38" t="str">
        <f>IF(DO30&lt;&gt;"",IF(AND(DO30&gt;='TABEL KONVERSI'!$B$3,'ENTRY DATA'!DO30&lt;='TABEL KONVERSI'!$C$3),1,IF(AND(DO30&gt;='TABEL KONVERSI'!$B$4,'ENTRY DATA'!DO30&lt;='TABEL KONVERSI'!$C$4),2,IF(AND(DO30&gt;='TABEL KONVERSI'!$B$5,'ENTRY DATA'!DO30&lt;='TABEL KONVERSI'!$C$5),3,IF(AND(DO30&gt;='TABEL KONVERSI'!$B$6,'ENTRY DATA'!DO30&lt;='TABEL KONVERSI'!$C$6),4,"")))),"-")</f>
        <v>-</v>
      </c>
      <c r="DR30" s="38" t="str">
        <f t="shared" si="72"/>
        <v>-</v>
      </c>
      <c r="DS30" s="38" t="str">
        <f>VLOOKUP(DP30,'TABEL KONVERSI'!$A$3:$D$7,4)</f>
        <v>-</v>
      </c>
      <c r="DT30" s="38" t="str">
        <f t="shared" si="73"/>
        <v>-</v>
      </c>
      <c r="DU30" s="38" t="str">
        <f>VLOOKUP(DQ30,'TABEL KONVERSI'!$A$3:$D$7,4)</f>
        <v>-</v>
      </c>
      <c r="DV30" s="42"/>
      <c r="DW30" s="37"/>
      <c r="DX30" s="73"/>
      <c r="DY30" s="73"/>
      <c r="DZ30" s="38" t="str">
        <f t="shared" si="74"/>
        <v/>
      </c>
      <c r="EA30" s="38" t="str">
        <f t="shared" si="75"/>
        <v/>
      </c>
      <c r="EB30" s="38" t="str">
        <f>IF(DZ30&lt;&gt;"",IF(AND(DZ30&gt;='TABEL KONVERSI'!$B$3,'ENTRY DATA'!DZ30&lt;='TABEL KONVERSI'!$C$3),1,IF(AND(DZ30&gt;='TABEL KONVERSI'!$B$4,'ENTRY DATA'!DZ30&lt;='TABEL KONVERSI'!$C$4),2,IF(AND(DZ30&gt;='TABEL KONVERSI'!$B$5,'ENTRY DATA'!DZ30&lt;='TABEL KONVERSI'!$C$5),3,IF(AND(DZ30&gt;='TABEL KONVERSI'!$B$6,'ENTRY DATA'!DZ30&lt;='TABEL KONVERSI'!$C$6),4,"")))),"-")</f>
        <v>-</v>
      </c>
      <c r="EC30" s="38" t="str">
        <f>IF(EA30&lt;&gt;"",IF(AND(EA30&gt;='TABEL KONVERSI'!$B$3,'ENTRY DATA'!EA30&lt;='TABEL KONVERSI'!$C$3),1,IF(AND(EA30&gt;='TABEL KONVERSI'!$B$4,'ENTRY DATA'!EA30&lt;='TABEL KONVERSI'!$C$4),2,IF(AND(EA30&gt;='TABEL KONVERSI'!$B$5,'ENTRY DATA'!EA30&lt;='TABEL KONVERSI'!$C$5),3,IF(AND(EA30&gt;='TABEL KONVERSI'!$B$6,'ENTRY DATA'!EA30&lt;='TABEL KONVERSI'!$C$6),4,"")))),"-")</f>
        <v>-</v>
      </c>
      <c r="ED30" s="38" t="str">
        <f t="shared" si="76"/>
        <v>-</v>
      </c>
      <c r="EE30" s="38" t="str">
        <f>VLOOKUP(EB30,'TABEL KONVERSI'!$A$3:$D$7,4)</f>
        <v>-</v>
      </c>
      <c r="EF30" s="38" t="str">
        <f t="shared" si="77"/>
        <v>-</v>
      </c>
      <c r="EG30" s="38" t="str">
        <f>VLOOKUP(EC30,'TABEL KONVERSI'!$A$3:$D$7,4)</f>
        <v>-</v>
      </c>
      <c r="EH30" s="42"/>
      <c r="EI30" s="37"/>
      <c r="EJ30" s="73"/>
      <c r="EK30" s="73"/>
      <c r="EL30" s="38" t="str">
        <f t="shared" si="78"/>
        <v/>
      </c>
      <c r="EM30" s="38" t="str">
        <f t="shared" si="79"/>
        <v/>
      </c>
      <c r="EN30" s="38" t="str">
        <f>IF(EL30&lt;&gt;"",IF(AND(EL30&gt;='TABEL KONVERSI'!$B$3,'ENTRY DATA'!EL30&lt;='TABEL KONVERSI'!$C$3),1,IF(AND(EL30&gt;='TABEL KONVERSI'!$B$4,'ENTRY DATA'!EL30&lt;='TABEL KONVERSI'!$C$4),2,IF(AND(EL30&gt;='TABEL KONVERSI'!$B$5,'ENTRY DATA'!EL30&lt;='TABEL KONVERSI'!$C$5),3,IF(AND(EL30&gt;='TABEL KONVERSI'!$B$6,'ENTRY DATA'!EL30&lt;='TABEL KONVERSI'!$C$6),4,"")))),"-")</f>
        <v>-</v>
      </c>
      <c r="EO30" s="38" t="str">
        <f>IF(EM30&lt;&gt;"",IF(AND(EM30&gt;='TABEL KONVERSI'!$B$3,'ENTRY DATA'!EM30&lt;='TABEL KONVERSI'!$C$3),1,IF(AND(EM30&gt;='TABEL KONVERSI'!$B$4,'ENTRY DATA'!EM30&lt;='TABEL KONVERSI'!$C$4),2,IF(AND(EM30&gt;='TABEL KONVERSI'!$B$5,'ENTRY DATA'!EM30&lt;='TABEL KONVERSI'!$C$5),3,IF(AND(EM30&gt;='TABEL KONVERSI'!$B$6,'ENTRY DATA'!EM30&lt;='TABEL KONVERSI'!$C$6),4,"")))),"-")</f>
        <v>-</v>
      </c>
      <c r="EP30" s="38" t="str">
        <f t="shared" si="80"/>
        <v>-</v>
      </c>
      <c r="EQ30" s="38" t="str">
        <f>VLOOKUP(EN30,'TABEL KONVERSI'!$A$3:$D$7,4)</f>
        <v>-</v>
      </c>
      <c r="ER30" s="38" t="str">
        <f t="shared" si="81"/>
        <v>-</v>
      </c>
      <c r="ES30" s="38" t="str">
        <f>VLOOKUP(EO30,'TABEL KONVERSI'!$A$3:$D$7,4)</f>
        <v>-</v>
      </c>
      <c r="ET30" s="42"/>
      <c r="EU30" s="37"/>
      <c r="EV30" s="73"/>
      <c r="EW30" s="73"/>
      <c r="EX30" s="38" t="str">
        <f t="shared" si="82"/>
        <v/>
      </c>
      <c r="EY30" s="38" t="str">
        <f t="shared" si="83"/>
        <v/>
      </c>
      <c r="EZ30" s="38" t="str">
        <f>IF(EX30&lt;&gt;"",IF(AND(EX30&gt;='TABEL KONVERSI'!$B$3,'ENTRY DATA'!EX30&lt;='TABEL KONVERSI'!$C$3),1,IF(AND(EX30&gt;='TABEL KONVERSI'!$B$4,'ENTRY DATA'!EX30&lt;='TABEL KONVERSI'!$C$4),2,IF(AND(EX30&gt;='TABEL KONVERSI'!$B$5,'ENTRY DATA'!EX30&lt;='TABEL KONVERSI'!$C$5),3,IF(AND(EX30&gt;='TABEL KONVERSI'!$B$6,'ENTRY DATA'!EX30&lt;='TABEL KONVERSI'!$C$6),4,"")))),"-")</f>
        <v>-</v>
      </c>
      <c r="FA30" s="38" t="str">
        <f>IF(EY30&lt;&gt;"",IF(AND(EY30&gt;='TABEL KONVERSI'!$B$3,'ENTRY DATA'!EY30&lt;='TABEL KONVERSI'!$C$3),1,IF(AND(EY30&gt;='TABEL KONVERSI'!$B$4,'ENTRY DATA'!EY30&lt;='TABEL KONVERSI'!$C$4),2,IF(AND(EY30&gt;='TABEL KONVERSI'!$B$5,'ENTRY DATA'!EY30&lt;='TABEL KONVERSI'!$C$5),3,IF(AND(EY30&gt;='TABEL KONVERSI'!$B$6,'ENTRY DATA'!EY30&lt;='TABEL KONVERSI'!$C$6),4,"")))),"-")</f>
        <v>-</v>
      </c>
      <c r="FB30" s="38" t="str">
        <f t="shared" si="84"/>
        <v>-</v>
      </c>
      <c r="FC30" s="38" t="str">
        <f>VLOOKUP(EZ30,'TABEL KONVERSI'!$A$3:$D$7,4)</f>
        <v>-</v>
      </c>
      <c r="FD30" s="38" t="str">
        <f t="shared" si="85"/>
        <v>-</v>
      </c>
      <c r="FE30" s="38" t="str">
        <f>VLOOKUP(FA30,'TABEL KONVERSI'!$A$3:$D$7,4)</f>
        <v>-</v>
      </c>
      <c r="FF30" s="42"/>
      <c r="FG30" s="37"/>
      <c r="FH30" s="73"/>
      <c r="FI30" s="73"/>
      <c r="FJ30" s="38" t="str">
        <f t="shared" si="86"/>
        <v/>
      </c>
      <c r="FK30" s="38" t="str">
        <f t="shared" si="87"/>
        <v/>
      </c>
      <c r="FL30" s="38" t="str">
        <f>IF(FJ30&lt;&gt;"",IF(AND(FJ30&gt;='TABEL KONVERSI'!$B$3,'ENTRY DATA'!FJ30&lt;='TABEL KONVERSI'!$C$3),1,IF(AND(FJ30&gt;='TABEL KONVERSI'!$B$4,'ENTRY DATA'!FJ30&lt;='TABEL KONVERSI'!$C$4),2,IF(AND(FJ30&gt;='TABEL KONVERSI'!$B$5,'ENTRY DATA'!FJ30&lt;='TABEL KONVERSI'!$C$5),3,IF(AND(FJ30&gt;='TABEL KONVERSI'!$B$6,'ENTRY DATA'!FJ30&lt;='TABEL KONVERSI'!$C$6),4,"")))),"-")</f>
        <v>-</v>
      </c>
      <c r="FM30" s="38" t="str">
        <f>IF(FK30&lt;&gt;"",IF(AND(FK30&gt;='TABEL KONVERSI'!$B$3,'ENTRY DATA'!FK30&lt;='TABEL KONVERSI'!$C$3),1,IF(AND(FK30&gt;='TABEL KONVERSI'!$B$4,'ENTRY DATA'!FK30&lt;='TABEL KONVERSI'!$C$4),2,IF(AND(FK30&gt;='TABEL KONVERSI'!$B$5,'ENTRY DATA'!FK30&lt;='TABEL KONVERSI'!$C$5),3,IF(AND(FK30&gt;='TABEL KONVERSI'!$B$6,'ENTRY DATA'!FK30&lt;='TABEL KONVERSI'!$C$6),4,"")))),"-")</f>
        <v>-</v>
      </c>
      <c r="FN30" s="38" t="str">
        <f t="shared" si="88"/>
        <v>-</v>
      </c>
      <c r="FO30" s="38" t="str">
        <f>VLOOKUP(FL30,'TABEL KONVERSI'!$A$3:$D$7,4)</f>
        <v>-</v>
      </c>
      <c r="FP30" s="38" t="str">
        <f t="shared" si="89"/>
        <v>-</v>
      </c>
      <c r="FQ30" s="38" t="str">
        <f>VLOOKUP(FM30,'TABEL KONVERSI'!$A$3:$D$7,4)</f>
        <v>-</v>
      </c>
      <c r="FR30" s="42"/>
      <c r="FS30" s="37"/>
      <c r="FT30" s="73"/>
      <c r="FU30" s="73"/>
      <c r="FV30" s="38" t="str">
        <f t="shared" si="90"/>
        <v/>
      </c>
      <c r="FW30" s="38" t="str">
        <f t="shared" si="91"/>
        <v/>
      </c>
      <c r="FX30" s="38" t="str">
        <f>IF(FV30&lt;&gt;"",IF(AND(FV30&gt;='TABEL KONVERSI'!$B$3,'ENTRY DATA'!FV30&lt;='TABEL KONVERSI'!$C$3),1,IF(AND(FV30&gt;='TABEL KONVERSI'!$B$4,'ENTRY DATA'!FV30&lt;='TABEL KONVERSI'!$C$4),2,IF(AND(FV30&gt;='TABEL KONVERSI'!$B$5,'ENTRY DATA'!FV30&lt;='TABEL KONVERSI'!$C$5),3,IF(AND(FV30&gt;='TABEL KONVERSI'!$B$6,'ENTRY DATA'!FV30&lt;='TABEL KONVERSI'!$C$6),4,"")))),"-")</f>
        <v>-</v>
      </c>
      <c r="FY30" s="38" t="str">
        <f>IF(FW30&lt;&gt;"",IF(AND(FW30&gt;='TABEL KONVERSI'!$B$3,'ENTRY DATA'!FW30&lt;='TABEL KONVERSI'!$C$3),1,IF(AND(FW30&gt;='TABEL KONVERSI'!$B$4,'ENTRY DATA'!FW30&lt;='TABEL KONVERSI'!$C$4),2,IF(AND(FW30&gt;='TABEL KONVERSI'!$B$5,'ENTRY DATA'!FW30&lt;='TABEL KONVERSI'!$C$5),3,IF(AND(FW30&gt;='TABEL KONVERSI'!$B$6,'ENTRY DATA'!FW30&lt;='TABEL KONVERSI'!$C$6),4,"")))),"-")</f>
        <v>-</v>
      </c>
      <c r="FZ30" s="38" t="str">
        <f t="shared" si="92"/>
        <v>-</v>
      </c>
      <c r="GA30" s="38" t="str">
        <f>VLOOKUP(FX30,'TABEL KONVERSI'!$A$3:$D$7,4)</f>
        <v>-</v>
      </c>
      <c r="GB30" s="38" t="str">
        <f t="shared" si="93"/>
        <v>-</v>
      </c>
      <c r="GC30" s="38" t="str">
        <f>VLOOKUP(FY30,'TABEL KONVERSI'!$A$3:$D$7,4)</f>
        <v>-</v>
      </c>
      <c r="GD30" s="42"/>
      <c r="GE30" s="37"/>
      <c r="GF30" s="73"/>
      <c r="GG30" s="73"/>
      <c r="GH30" s="38" t="str">
        <f t="shared" si="94"/>
        <v/>
      </c>
      <c r="GI30" s="38" t="str">
        <f t="shared" si="95"/>
        <v/>
      </c>
      <c r="GJ30" s="38" t="str">
        <f>IF(GH30&lt;&gt;"",IF(AND(GH30&gt;='TABEL KONVERSI'!$B$3,'ENTRY DATA'!GH30&lt;='TABEL KONVERSI'!$C$3),1,IF(AND(GH30&gt;='TABEL KONVERSI'!$B$4,'ENTRY DATA'!GH30&lt;='TABEL KONVERSI'!$C$4),2,IF(AND(GH30&gt;='TABEL KONVERSI'!$B$5,'ENTRY DATA'!GH30&lt;='TABEL KONVERSI'!$C$5),3,IF(AND(GH30&gt;='TABEL KONVERSI'!$B$6,'ENTRY DATA'!GH30&lt;='TABEL KONVERSI'!$C$6),4,"")))),"-")</f>
        <v>-</v>
      </c>
      <c r="GK30" s="38" t="str">
        <f>IF(GI30&lt;&gt;"",IF(AND(GI30&gt;='TABEL KONVERSI'!$B$3,'ENTRY DATA'!GI30&lt;='TABEL KONVERSI'!$C$3),1,IF(AND(GI30&gt;='TABEL KONVERSI'!$B$4,'ENTRY DATA'!GI30&lt;='TABEL KONVERSI'!$C$4),2,IF(AND(GI30&gt;='TABEL KONVERSI'!$B$5,'ENTRY DATA'!GI30&lt;='TABEL KONVERSI'!$C$5),3,IF(AND(GI30&gt;='TABEL KONVERSI'!$B$6,'ENTRY DATA'!GI30&lt;='TABEL KONVERSI'!$C$6),4,"")))),"-")</f>
        <v>-</v>
      </c>
      <c r="GL30" s="38" t="str">
        <f t="shared" si="96"/>
        <v>-</v>
      </c>
      <c r="GM30" s="38" t="str">
        <f>VLOOKUP(GJ30,'TABEL KONVERSI'!$A$3:$D$7,4)</f>
        <v>-</v>
      </c>
      <c r="GN30" s="38" t="str">
        <f t="shared" si="97"/>
        <v>-</v>
      </c>
      <c r="GO30" s="38" t="str">
        <f>VLOOKUP(GK30,'TABEL KONVERSI'!$A$3:$D$7,4)</f>
        <v>-</v>
      </c>
      <c r="GP30" s="43">
        <f t="shared" si="0"/>
        <v>0</v>
      </c>
      <c r="GQ30" s="43">
        <f t="shared" si="1"/>
        <v>0</v>
      </c>
      <c r="GR30" s="43">
        <f t="shared" si="2"/>
        <v>0</v>
      </c>
      <c r="GS30" s="43">
        <f t="shared" si="3"/>
        <v>0</v>
      </c>
      <c r="GT30" s="43">
        <f t="shared" si="4"/>
        <v>0</v>
      </c>
      <c r="GU30" s="43">
        <f t="shared" si="5"/>
        <v>0</v>
      </c>
      <c r="GV30" s="43">
        <f t="shared" si="6"/>
        <v>0</v>
      </c>
      <c r="GW30" s="43">
        <f t="shared" si="7"/>
        <v>0</v>
      </c>
      <c r="GX30" s="43">
        <f t="shared" si="8"/>
        <v>0</v>
      </c>
      <c r="GY30" s="43">
        <f t="shared" si="9"/>
        <v>0</v>
      </c>
      <c r="GZ30" s="43">
        <f t="shared" si="10"/>
        <v>0</v>
      </c>
      <c r="HA30" s="43">
        <f t="shared" si="11"/>
        <v>0</v>
      </c>
      <c r="HB30" s="43">
        <f t="shared" si="12"/>
        <v>0</v>
      </c>
      <c r="HC30" s="43">
        <f t="shared" si="13"/>
        <v>0</v>
      </c>
      <c r="HD30" s="43">
        <f t="shared" si="14"/>
        <v>0</v>
      </c>
      <c r="HE30" s="43">
        <f t="shared" si="15"/>
        <v>0</v>
      </c>
      <c r="HF30" s="38">
        <f t="shared" si="98"/>
        <v>0</v>
      </c>
      <c r="HG30" s="38">
        <f t="shared" si="99"/>
        <v>0</v>
      </c>
      <c r="HH30" s="38">
        <f t="shared" si="100"/>
        <v>0</v>
      </c>
      <c r="HI30" s="39">
        <f t="shared" si="101"/>
        <v>0</v>
      </c>
      <c r="HJ30" s="44" t="str">
        <f t="shared" si="102"/>
        <v>-</v>
      </c>
      <c r="HK30" s="45" t="str">
        <f>VLOOKUP(HJ30,'TABEL KONVERSI'!$B$11:$D$15,2,0)</f>
        <v>-</v>
      </c>
      <c r="HL30" s="43">
        <f t="shared" si="16"/>
        <v>0</v>
      </c>
      <c r="HM30" s="43">
        <f t="shared" si="17"/>
        <v>0</v>
      </c>
      <c r="HN30" s="43">
        <f t="shared" si="18"/>
        <v>0</v>
      </c>
      <c r="HO30" s="43">
        <f t="shared" si="19"/>
        <v>0</v>
      </c>
      <c r="HP30" s="43">
        <f t="shared" si="20"/>
        <v>0</v>
      </c>
      <c r="HQ30" s="43">
        <f t="shared" si="21"/>
        <v>0</v>
      </c>
      <c r="HR30" s="43">
        <f t="shared" si="22"/>
        <v>0</v>
      </c>
      <c r="HS30" s="43">
        <f t="shared" si="23"/>
        <v>0</v>
      </c>
      <c r="HT30" s="43">
        <f t="shared" si="24"/>
        <v>0</v>
      </c>
      <c r="HU30" s="43">
        <f t="shared" si="25"/>
        <v>0</v>
      </c>
      <c r="HV30" s="43">
        <f t="shared" si="26"/>
        <v>0</v>
      </c>
      <c r="HW30" s="43">
        <f t="shared" si="27"/>
        <v>0</v>
      </c>
      <c r="HX30" s="43">
        <f t="shared" si="28"/>
        <v>0</v>
      </c>
      <c r="HY30" s="43">
        <f t="shared" si="29"/>
        <v>0</v>
      </c>
      <c r="HZ30" s="43">
        <f t="shared" si="30"/>
        <v>0</v>
      </c>
      <c r="IA30" s="43">
        <f t="shared" si="31"/>
        <v>0</v>
      </c>
      <c r="IB30" s="38">
        <f t="shared" si="103"/>
        <v>0</v>
      </c>
      <c r="IC30" s="38">
        <f t="shared" si="104"/>
        <v>0</v>
      </c>
      <c r="ID30" s="38">
        <f t="shared" si="105"/>
        <v>0</v>
      </c>
      <c r="IE30" s="38">
        <f t="shared" si="106"/>
        <v>0</v>
      </c>
      <c r="IF30" s="46" t="str">
        <f t="shared" si="107"/>
        <v>-</v>
      </c>
      <c r="IG30" s="45" t="str">
        <f>VLOOKUP(IF30,'TABEL KONVERSI'!$B$11:$D$15,3,0)</f>
        <v>-</v>
      </c>
      <c r="IH30" s="40" t="s">
        <v>223</v>
      </c>
      <c r="II30" s="41" t="s">
        <v>106</v>
      </c>
      <c r="IJ30" s="45" t="str">
        <f>IF(II30&lt;&gt;"",VLOOKUP(II30,'TABEL KONVERSI'!$A$19:$B$23,2,0),"")</f>
        <v>Aktif dalam mengikuti kegiatan</v>
      </c>
      <c r="IK30" s="47" t="s">
        <v>58</v>
      </c>
      <c r="IL30" s="50" t="s">
        <v>58</v>
      </c>
      <c r="IM30" s="45" t="str">
        <f>IF(IL30&lt;&gt;"",VLOOKUP(IL30,'TABEL KONVERSI'!$A$19:$B$23,2,0),"")</f>
        <v>-</v>
      </c>
      <c r="IN30" s="49" t="s">
        <v>58</v>
      </c>
      <c r="IO30" s="48" t="s">
        <v>58</v>
      </c>
      <c r="IP30" s="45" t="str">
        <f>IF(IO30&lt;&gt;"",VLOOKUP(IO30,'TABEL KONVERSI'!$A$19:$B$23,2,0),"")</f>
        <v>-</v>
      </c>
      <c r="IQ30" s="49" t="s">
        <v>58</v>
      </c>
      <c r="IR30" s="50" t="s">
        <v>58</v>
      </c>
      <c r="IS30" s="45" t="str">
        <f>IF(IR30&lt;&gt;"",VLOOKUP(IR30,'TABEL KONVERSI'!$A$19:$B$23,2,0),"")</f>
        <v>-</v>
      </c>
      <c r="IT30" s="49" t="s">
        <v>58</v>
      </c>
      <c r="IU30" s="50" t="s">
        <v>58</v>
      </c>
      <c r="IV30" s="45" t="str">
        <f>IF(IU30&lt;&gt;"",VLOOKUP(IU30,'TABEL KONVERSI'!$A$19:$B$23,2,0),"")</f>
        <v>-</v>
      </c>
      <c r="IW30" s="48" t="s">
        <v>58</v>
      </c>
      <c r="IX30" s="48" t="s">
        <v>58</v>
      </c>
      <c r="IY30" s="48" t="s">
        <v>58</v>
      </c>
      <c r="IZ30" s="47" t="s">
        <v>58</v>
      </c>
      <c r="JA30" s="45">
        <f t="shared" si="32"/>
        <v>0</v>
      </c>
      <c r="JB30" s="45">
        <f t="shared" si="33"/>
        <v>1</v>
      </c>
    </row>
    <row r="31" spans="1:262" x14ac:dyDescent="0.25">
      <c r="A31" s="33">
        <v>19</v>
      </c>
      <c r="B31" s="51"/>
      <c r="C31" s="51"/>
      <c r="D31" s="77"/>
      <c r="E31" s="52"/>
      <c r="F31" s="42"/>
      <c r="G31" s="37"/>
      <c r="H31" s="73"/>
      <c r="I31" s="73"/>
      <c r="J31" s="38" t="str">
        <f t="shared" si="34"/>
        <v/>
      </c>
      <c r="K31" s="38" t="str">
        <f t="shared" si="35"/>
        <v/>
      </c>
      <c r="L31" s="38" t="str">
        <f>IF(J31&lt;&gt;"",IF(AND(J31&gt;='TABEL KONVERSI'!$B$3,'ENTRY DATA'!J31&lt;='TABEL KONVERSI'!$C$3),1,IF(AND(J31&gt;='TABEL KONVERSI'!$B$4,'ENTRY DATA'!J31&lt;='TABEL KONVERSI'!$C$4),2,IF(AND(J31&gt;='TABEL KONVERSI'!$B$5,'ENTRY DATA'!J31&lt;='TABEL KONVERSI'!$C$5),3,IF(AND(J31&gt;='TABEL KONVERSI'!$B$6,'ENTRY DATA'!J31&lt;='TABEL KONVERSI'!$C$6),4,"")))),"-")</f>
        <v>-</v>
      </c>
      <c r="M31" s="38" t="str">
        <f>IF(K31&lt;&gt;"",IF(AND(K31&gt;='TABEL KONVERSI'!$B$3,'ENTRY DATA'!K31&lt;='TABEL KONVERSI'!$C$3),1,IF(AND(K31&gt;='TABEL KONVERSI'!$B$4,'ENTRY DATA'!K31&lt;='TABEL KONVERSI'!$C$4),2,IF(AND(K31&gt;='TABEL KONVERSI'!$B$5,'ENTRY DATA'!K31&lt;='TABEL KONVERSI'!$C$5),3,IF(AND(K31&gt;='TABEL KONVERSI'!$B$6,'ENTRY DATA'!K31&lt;='TABEL KONVERSI'!$C$6),4,"")))),"-")</f>
        <v>-</v>
      </c>
      <c r="N31" s="38" t="str">
        <f t="shared" si="36"/>
        <v>-</v>
      </c>
      <c r="O31" s="38" t="str">
        <f>VLOOKUP(L31,'TABEL KONVERSI'!$A$3:$D$7,4)</f>
        <v>-</v>
      </c>
      <c r="P31" s="38" t="str">
        <f t="shared" si="37"/>
        <v>-</v>
      </c>
      <c r="Q31" s="38" t="str">
        <f>VLOOKUP(M31,'TABEL KONVERSI'!$A$3:$D$7,4)</f>
        <v>-</v>
      </c>
      <c r="R31" s="42"/>
      <c r="S31" s="37"/>
      <c r="T31" s="73"/>
      <c r="U31" s="73"/>
      <c r="V31" s="38" t="str">
        <f t="shared" si="38"/>
        <v/>
      </c>
      <c r="W31" s="38" t="str">
        <f t="shared" si="39"/>
        <v/>
      </c>
      <c r="X31" s="38" t="str">
        <f>IF(V31&lt;&gt;"",IF(AND(V31&gt;='TABEL KONVERSI'!$B$3,'ENTRY DATA'!V31&lt;='TABEL KONVERSI'!$C$3),1,IF(AND(V31&gt;='TABEL KONVERSI'!$B$4,'ENTRY DATA'!V31&lt;='TABEL KONVERSI'!$C$4),2,IF(AND(V31&gt;='TABEL KONVERSI'!$B$5,'ENTRY DATA'!V31&lt;='TABEL KONVERSI'!$C$5),3,IF(AND(V31&gt;='TABEL KONVERSI'!$B$6,'ENTRY DATA'!V31&lt;='TABEL KONVERSI'!$C$6),4,"")))),"-")</f>
        <v>-</v>
      </c>
      <c r="Y31" s="38" t="str">
        <f>IF(W31&lt;&gt;"",IF(AND(W31&gt;='TABEL KONVERSI'!$B$3,'ENTRY DATA'!W31&lt;='TABEL KONVERSI'!$C$3),1,IF(AND(W31&gt;='TABEL KONVERSI'!$B$4,'ENTRY DATA'!W31&lt;='TABEL KONVERSI'!$C$4),2,IF(AND(W31&gt;='TABEL KONVERSI'!$B$5,'ENTRY DATA'!W31&lt;='TABEL KONVERSI'!$C$5),3,IF(AND(W31&gt;='TABEL KONVERSI'!$B$6,'ENTRY DATA'!W31&lt;='TABEL KONVERSI'!$C$6),4,"")))),"-")</f>
        <v>-</v>
      </c>
      <c r="Z31" s="38" t="str">
        <f t="shared" si="40"/>
        <v>-</v>
      </c>
      <c r="AA31" s="38" t="str">
        <f>VLOOKUP(X31,'TABEL KONVERSI'!$A$3:$D$7,4)</f>
        <v>-</v>
      </c>
      <c r="AB31" s="38" t="str">
        <f t="shared" si="41"/>
        <v>-</v>
      </c>
      <c r="AC31" s="38" t="str">
        <f>VLOOKUP(Y31,'TABEL KONVERSI'!$A$3:$D$7,4)</f>
        <v>-</v>
      </c>
      <c r="AD31" s="42"/>
      <c r="AE31" s="37"/>
      <c r="AF31" s="73"/>
      <c r="AG31" s="73"/>
      <c r="AH31" s="38" t="str">
        <f t="shared" si="42"/>
        <v/>
      </c>
      <c r="AI31" s="38" t="str">
        <f t="shared" si="43"/>
        <v/>
      </c>
      <c r="AJ31" s="38" t="str">
        <f>IF(AH31&lt;&gt;"",IF(AND(AH31&gt;='TABEL KONVERSI'!$B$3,'ENTRY DATA'!AH31&lt;='TABEL KONVERSI'!$C$3),1,IF(AND(AH31&gt;='TABEL KONVERSI'!$B$4,'ENTRY DATA'!AH31&lt;='TABEL KONVERSI'!$C$4),2,IF(AND(AH31&gt;='TABEL KONVERSI'!$B$5,'ENTRY DATA'!AH31&lt;='TABEL KONVERSI'!$C$5),3,IF(AND(AH31&gt;='TABEL KONVERSI'!$B$6,'ENTRY DATA'!AH31&lt;='TABEL KONVERSI'!$C$6),4,"")))),"-")</f>
        <v>-</v>
      </c>
      <c r="AK31" s="38" t="str">
        <f>IF(AI31&lt;&gt;"",IF(AND(AI31&gt;='TABEL KONVERSI'!$B$3,'ENTRY DATA'!AI31&lt;='TABEL KONVERSI'!$C$3),1,IF(AND(AI31&gt;='TABEL KONVERSI'!$B$4,'ENTRY DATA'!AI31&lt;='TABEL KONVERSI'!$C$4),2,IF(AND(AI31&gt;='TABEL KONVERSI'!$B$5,'ENTRY DATA'!AI31&lt;='TABEL KONVERSI'!$C$5),3,IF(AND(AI31&gt;='TABEL KONVERSI'!$B$6,'ENTRY DATA'!AI31&lt;='TABEL KONVERSI'!$C$6),4,"")))),"-")</f>
        <v>-</v>
      </c>
      <c r="AL31" s="38" t="str">
        <f t="shared" si="44"/>
        <v>-</v>
      </c>
      <c r="AM31" s="38" t="str">
        <f>VLOOKUP(AJ31,'TABEL KONVERSI'!$A$3:$D$7,4)</f>
        <v>-</v>
      </c>
      <c r="AN31" s="38" t="str">
        <f t="shared" si="45"/>
        <v>-</v>
      </c>
      <c r="AO31" s="38" t="str">
        <f>VLOOKUP(AK31,'TABEL KONVERSI'!$A$3:$D$7,4)</f>
        <v>-</v>
      </c>
      <c r="AP31" s="42"/>
      <c r="AQ31" s="37"/>
      <c r="AR31" s="73"/>
      <c r="AS31" s="73"/>
      <c r="AT31" s="38" t="str">
        <f t="shared" si="46"/>
        <v/>
      </c>
      <c r="AU31" s="38" t="str">
        <f t="shared" si="47"/>
        <v/>
      </c>
      <c r="AV31" s="38" t="str">
        <f>IF(AT31&lt;&gt;"",IF(AND(AT31&gt;='TABEL KONVERSI'!$B$3,'ENTRY DATA'!AT31&lt;='TABEL KONVERSI'!$C$3),1,IF(AND(AT31&gt;='TABEL KONVERSI'!$B$4,'ENTRY DATA'!AT31&lt;='TABEL KONVERSI'!$C$4),2,IF(AND(AT31&gt;='TABEL KONVERSI'!$B$5,'ENTRY DATA'!AT31&lt;='TABEL KONVERSI'!$C$5),3,IF(AND(AT31&gt;='TABEL KONVERSI'!$B$6,'ENTRY DATA'!AT31&lt;='TABEL KONVERSI'!$C$6),4,"")))),"-")</f>
        <v>-</v>
      </c>
      <c r="AW31" s="38" t="str">
        <f>IF(AU31&lt;&gt;"",IF(AND(AU31&gt;='TABEL KONVERSI'!$B$3,'ENTRY DATA'!AU31&lt;='TABEL KONVERSI'!$C$3),1,IF(AND(AU31&gt;='TABEL KONVERSI'!$B$4,'ENTRY DATA'!AU31&lt;='TABEL KONVERSI'!$C$4),2,IF(AND(AU31&gt;='TABEL KONVERSI'!$B$5,'ENTRY DATA'!AU31&lt;='TABEL KONVERSI'!$C$5),3,IF(AND(AU31&gt;='TABEL KONVERSI'!$B$6,'ENTRY DATA'!AU31&lt;='TABEL KONVERSI'!$C$6),4,"")))),"-")</f>
        <v>-</v>
      </c>
      <c r="AX31" s="38" t="str">
        <f t="shared" si="48"/>
        <v>-</v>
      </c>
      <c r="AY31" s="38" t="str">
        <f>VLOOKUP(AV31,'TABEL KONVERSI'!$A$3:$D$7,4)</f>
        <v>-</v>
      </c>
      <c r="AZ31" s="38" t="str">
        <f t="shared" si="49"/>
        <v>-</v>
      </c>
      <c r="BA31" s="38" t="str">
        <f>VLOOKUP(AW31,'TABEL KONVERSI'!$A$3:$D$7,4)</f>
        <v>-</v>
      </c>
      <c r="BB31" s="42"/>
      <c r="BC31" s="37"/>
      <c r="BD31" s="73"/>
      <c r="BE31" s="73"/>
      <c r="BF31" s="38" t="str">
        <f t="shared" si="50"/>
        <v/>
      </c>
      <c r="BG31" s="38" t="str">
        <f t="shared" si="51"/>
        <v/>
      </c>
      <c r="BH31" s="38" t="str">
        <f>IF(BF31&lt;&gt;"",IF(AND(BF31&gt;='TABEL KONVERSI'!$B$3,'ENTRY DATA'!BF31&lt;='TABEL KONVERSI'!$C$3),1,IF(AND(BF31&gt;='TABEL KONVERSI'!$B$4,'ENTRY DATA'!BF31&lt;='TABEL KONVERSI'!$C$4),2,IF(AND(BF31&gt;='TABEL KONVERSI'!$B$5,'ENTRY DATA'!BF31&lt;='TABEL KONVERSI'!$C$5),3,IF(AND(BF31&gt;='TABEL KONVERSI'!$B$6,'ENTRY DATA'!BF31&lt;='TABEL KONVERSI'!$C$6),4,"")))),"-")</f>
        <v>-</v>
      </c>
      <c r="BI31" s="38" t="str">
        <f>IF(BG31&lt;&gt;"",IF(AND(BG31&gt;='TABEL KONVERSI'!$B$3,'ENTRY DATA'!BG31&lt;='TABEL KONVERSI'!$C$3),1,IF(AND(BG31&gt;='TABEL KONVERSI'!$B$4,'ENTRY DATA'!BG31&lt;='TABEL KONVERSI'!$C$4),2,IF(AND(BG31&gt;='TABEL KONVERSI'!$B$5,'ENTRY DATA'!BG31&lt;='TABEL KONVERSI'!$C$5),3,IF(AND(BG31&gt;='TABEL KONVERSI'!$B$6,'ENTRY DATA'!BG31&lt;='TABEL KONVERSI'!$C$6),4,"")))),"-")</f>
        <v>-</v>
      </c>
      <c r="BJ31" s="38" t="str">
        <f t="shared" si="52"/>
        <v>-</v>
      </c>
      <c r="BK31" s="38" t="str">
        <f>VLOOKUP(BH31,'TABEL KONVERSI'!$A$3:$D$7,4)</f>
        <v>-</v>
      </c>
      <c r="BL31" s="38" t="str">
        <f t="shared" si="53"/>
        <v>-</v>
      </c>
      <c r="BM31" s="38" t="str">
        <f>VLOOKUP(BI31,'TABEL KONVERSI'!$A$3:$D$7,4)</f>
        <v>-</v>
      </c>
      <c r="BN31" s="42"/>
      <c r="BO31" s="37"/>
      <c r="BP31" s="73"/>
      <c r="BQ31" s="73"/>
      <c r="BR31" s="38" t="str">
        <f t="shared" si="54"/>
        <v/>
      </c>
      <c r="BS31" s="38" t="str">
        <f t="shared" si="55"/>
        <v/>
      </c>
      <c r="BT31" s="38" t="str">
        <f>IF(BR31&lt;&gt;"",IF(AND(BR31&gt;='TABEL KONVERSI'!$B$3,'ENTRY DATA'!BR31&lt;='TABEL KONVERSI'!$C$3),1,IF(AND(BR31&gt;='TABEL KONVERSI'!$B$4,'ENTRY DATA'!BR31&lt;='TABEL KONVERSI'!$C$4),2,IF(AND(BR31&gt;='TABEL KONVERSI'!$B$5,'ENTRY DATA'!BR31&lt;='TABEL KONVERSI'!$C$5),3,IF(AND(BR31&gt;='TABEL KONVERSI'!$B$6,'ENTRY DATA'!BR31&lt;='TABEL KONVERSI'!$C$6),4,"")))),"-")</f>
        <v>-</v>
      </c>
      <c r="BU31" s="38" t="str">
        <f>IF(BS31&lt;&gt;"",IF(AND(BS31&gt;='TABEL KONVERSI'!$B$3,'ENTRY DATA'!BS31&lt;='TABEL KONVERSI'!$C$3),1,IF(AND(BS31&gt;='TABEL KONVERSI'!$B$4,'ENTRY DATA'!BS31&lt;='TABEL KONVERSI'!$C$4),2,IF(AND(BS31&gt;='TABEL KONVERSI'!$B$5,'ENTRY DATA'!BS31&lt;='TABEL KONVERSI'!$C$5),3,IF(AND(BS31&gt;='TABEL KONVERSI'!$B$6,'ENTRY DATA'!BS31&lt;='TABEL KONVERSI'!$C$6),4,"")))),"-")</f>
        <v>-</v>
      </c>
      <c r="BV31" s="38" t="str">
        <f t="shared" si="56"/>
        <v>-</v>
      </c>
      <c r="BW31" s="38" t="str">
        <f>VLOOKUP(BT31,'TABEL KONVERSI'!$A$3:$D$7,4)</f>
        <v>-</v>
      </c>
      <c r="BX31" s="38" t="str">
        <f t="shared" si="57"/>
        <v>-</v>
      </c>
      <c r="BY31" s="38" t="str">
        <f>VLOOKUP(BU31,'TABEL KONVERSI'!$A$3:$D$7,4)</f>
        <v>-</v>
      </c>
      <c r="BZ31" s="42"/>
      <c r="CA31" s="37"/>
      <c r="CB31" s="73"/>
      <c r="CC31" s="73"/>
      <c r="CD31" s="38" t="str">
        <f t="shared" si="58"/>
        <v/>
      </c>
      <c r="CE31" s="38" t="str">
        <f t="shared" si="59"/>
        <v/>
      </c>
      <c r="CF31" s="38" t="str">
        <f>IF(CD31&lt;&gt;"",IF(AND(CD31&gt;='TABEL KONVERSI'!$B$3,'ENTRY DATA'!CD31&lt;='TABEL KONVERSI'!$C$3),1,IF(AND(CD31&gt;='TABEL KONVERSI'!$B$4,'ENTRY DATA'!CD31&lt;='TABEL KONVERSI'!$C$4),2,IF(AND(CD31&gt;='TABEL KONVERSI'!$B$5,'ENTRY DATA'!CD31&lt;='TABEL KONVERSI'!$C$5),3,IF(AND(CD31&gt;='TABEL KONVERSI'!$B$6,'ENTRY DATA'!CD31&lt;='TABEL KONVERSI'!$C$6),4,"")))),"-")</f>
        <v>-</v>
      </c>
      <c r="CG31" s="38" t="str">
        <f>IF(CE31&lt;&gt;"",IF(AND(CE31&gt;='TABEL KONVERSI'!$B$3,'ENTRY DATA'!CE31&lt;='TABEL KONVERSI'!$C$3),1,IF(AND(CE31&gt;='TABEL KONVERSI'!$B$4,'ENTRY DATA'!CE31&lt;='TABEL KONVERSI'!$C$4),2,IF(AND(CE31&gt;='TABEL KONVERSI'!$B$5,'ENTRY DATA'!CE31&lt;='TABEL KONVERSI'!$C$5),3,IF(AND(CE31&gt;='TABEL KONVERSI'!$B$6,'ENTRY DATA'!CE31&lt;='TABEL KONVERSI'!$C$6),4,"")))),"-")</f>
        <v>-</v>
      </c>
      <c r="CH31" s="38" t="str">
        <f t="shared" si="60"/>
        <v>-</v>
      </c>
      <c r="CI31" s="38" t="str">
        <f>VLOOKUP(CF31,'TABEL KONVERSI'!$A$3:$D$7,4)</f>
        <v>-</v>
      </c>
      <c r="CJ31" s="38" t="str">
        <f t="shared" si="61"/>
        <v>-</v>
      </c>
      <c r="CK31" s="38" t="str">
        <f>VLOOKUP(CG31,'TABEL KONVERSI'!$A$3:$D$7,4)</f>
        <v>-</v>
      </c>
      <c r="CL31" s="42"/>
      <c r="CM31" s="37"/>
      <c r="CN31" s="73"/>
      <c r="CO31" s="73"/>
      <c r="CP31" s="38" t="str">
        <f t="shared" si="62"/>
        <v/>
      </c>
      <c r="CQ31" s="38" t="str">
        <f t="shared" si="63"/>
        <v/>
      </c>
      <c r="CR31" s="38" t="str">
        <f>IF(CP31&lt;&gt;"",IF(AND(CP31&gt;='TABEL KONVERSI'!$B$3,'ENTRY DATA'!CP31&lt;='TABEL KONVERSI'!$C$3),1,IF(AND(CP31&gt;='TABEL KONVERSI'!$B$4,'ENTRY DATA'!CP31&lt;='TABEL KONVERSI'!$C$4),2,IF(AND(CP31&gt;='TABEL KONVERSI'!$B$5,'ENTRY DATA'!CP31&lt;='TABEL KONVERSI'!$C$5),3,IF(AND(CP31&gt;='TABEL KONVERSI'!$B$6,'ENTRY DATA'!CP31&lt;='TABEL KONVERSI'!$C$6),4,"")))),"-")</f>
        <v>-</v>
      </c>
      <c r="CS31" s="38" t="str">
        <f>IF(CQ31&lt;&gt;"",IF(AND(CQ31&gt;='TABEL KONVERSI'!$B$3,'ENTRY DATA'!CQ31&lt;='TABEL KONVERSI'!$C$3),1,IF(AND(CQ31&gt;='TABEL KONVERSI'!$B$4,'ENTRY DATA'!CQ31&lt;='TABEL KONVERSI'!$C$4),2,IF(AND(CQ31&gt;='TABEL KONVERSI'!$B$5,'ENTRY DATA'!CQ31&lt;='TABEL KONVERSI'!$C$5),3,IF(AND(CQ31&gt;='TABEL KONVERSI'!$B$6,'ENTRY DATA'!CQ31&lt;='TABEL KONVERSI'!$C$6),4,"")))),"-")</f>
        <v>-</v>
      </c>
      <c r="CT31" s="38" t="str">
        <f t="shared" si="64"/>
        <v>-</v>
      </c>
      <c r="CU31" s="38" t="str">
        <f>VLOOKUP(CR31,'TABEL KONVERSI'!$A$3:$D$7,4)</f>
        <v>-</v>
      </c>
      <c r="CV31" s="38" t="str">
        <f t="shared" si="65"/>
        <v>-</v>
      </c>
      <c r="CW31" s="38" t="str">
        <f>VLOOKUP(CS31,'TABEL KONVERSI'!$A$3:$D$7,4)</f>
        <v>-</v>
      </c>
      <c r="CX31" s="42"/>
      <c r="CY31" s="37"/>
      <c r="CZ31" s="73"/>
      <c r="DA31" s="73"/>
      <c r="DB31" s="38" t="str">
        <f t="shared" si="66"/>
        <v/>
      </c>
      <c r="DC31" s="38" t="str">
        <f t="shared" si="67"/>
        <v/>
      </c>
      <c r="DD31" s="38" t="str">
        <f>IF(DB31&lt;&gt;"",IF(AND(DB31&gt;='TABEL KONVERSI'!$B$3,'ENTRY DATA'!DB31&lt;='TABEL KONVERSI'!$C$3),1,IF(AND(DB31&gt;='TABEL KONVERSI'!$B$4,'ENTRY DATA'!DB31&lt;='TABEL KONVERSI'!$C$4),2,IF(AND(DB31&gt;='TABEL KONVERSI'!$B$5,'ENTRY DATA'!DB31&lt;='TABEL KONVERSI'!$C$5),3,IF(AND(DB31&gt;='TABEL KONVERSI'!$B$6,'ENTRY DATA'!DB31&lt;='TABEL KONVERSI'!$C$6),4,"")))),"-")</f>
        <v>-</v>
      </c>
      <c r="DE31" s="38" t="str">
        <f>IF(DC31&lt;&gt;"",IF(AND(DC31&gt;='TABEL KONVERSI'!$B$3,'ENTRY DATA'!DC31&lt;='TABEL KONVERSI'!$C$3),1,IF(AND(DC31&gt;='TABEL KONVERSI'!$B$4,'ENTRY DATA'!DC31&lt;='TABEL KONVERSI'!$C$4),2,IF(AND(DC31&gt;='TABEL KONVERSI'!$B$5,'ENTRY DATA'!DC31&lt;='TABEL KONVERSI'!$C$5),3,IF(AND(DC31&gt;='TABEL KONVERSI'!$B$6,'ENTRY DATA'!DC31&lt;='TABEL KONVERSI'!$C$6),4,"")))),"-")</f>
        <v>-</v>
      </c>
      <c r="DF31" s="38" t="str">
        <f t="shared" si="68"/>
        <v>-</v>
      </c>
      <c r="DG31" s="38" t="str">
        <f>VLOOKUP(DD31,'TABEL KONVERSI'!$A$3:$D$7,4)</f>
        <v>-</v>
      </c>
      <c r="DH31" s="38" t="str">
        <f t="shared" si="69"/>
        <v>-</v>
      </c>
      <c r="DI31" s="38" t="str">
        <f>VLOOKUP(DE31,'TABEL KONVERSI'!$A$3:$D$7,4)</f>
        <v>-</v>
      </c>
      <c r="DJ31" s="42"/>
      <c r="DK31" s="37"/>
      <c r="DL31" s="73"/>
      <c r="DM31" s="73"/>
      <c r="DN31" s="38" t="str">
        <f t="shared" si="70"/>
        <v/>
      </c>
      <c r="DO31" s="38" t="str">
        <f t="shared" si="71"/>
        <v/>
      </c>
      <c r="DP31" s="38" t="str">
        <f>IF(DN31&lt;&gt;"",IF(AND(DN31&gt;='TABEL KONVERSI'!$B$3,'ENTRY DATA'!DN31&lt;='TABEL KONVERSI'!$C$3),1,IF(AND(DN31&gt;='TABEL KONVERSI'!$B$4,'ENTRY DATA'!DN31&lt;='TABEL KONVERSI'!$C$4),2,IF(AND(DN31&gt;='TABEL KONVERSI'!$B$5,'ENTRY DATA'!DN31&lt;='TABEL KONVERSI'!$C$5),3,IF(AND(DN31&gt;='TABEL KONVERSI'!$B$6,'ENTRY DATA'!DN31&lt;='TABEL KONVERSI'!$C$6),4,"")))),"-")</f>
        <v>-</v>
      </c>
      <c r="DQ31" s="38" t="str">
        <f>IF(DO31&lt;&gt;"",IF(AND(DO31&gt;='TABEL KONVERSI'!$B$3,'ENTRY DATA'!DO31&lt;='TABEL KONVERSI'!$C$3),1,IF(AND(DO31&gt;='TABEL KONVERSI'!$B$4,'ENTRY DATA'!DO31&lt;='TABEL KONVERSI'!$C$4),2,IF(AND(DO31&gt;='TABEL KONVERSI'!$B$5,'ENTRY DATA'!DO31&lt;='TABEL KONVERSI'!$C$5),3,IF(AND(DO31&gt;='TABEL KONVERSI'!$B$6,'ENTRY DATA'!DO31&lt;='TABEL KONVERSI'!$C$6),4,"")))),"-")</f>
        <v>-</v>
      </c>
      <c r="DR31" s="38" t="str">
        <f t="shared" si="72"/>
        <v>-</v>
      </c>
      <c r="DS31" s="38" t="str">
        <f>VLOOKUP(DP31,'TABEL KONVERSI'!$A$3:$D$7,4)</f>
        <v>-</v>
      </c>
      <c r="DT31" s="38" t="str">
        <f t="shared" si="73"/>
        <v>-</v>
      </c>
      <c r="DU31" s="38" t="str">
        <f>VLOOKUP(DQ31,'TABEL KONVERSI'!$A$3:$D$7,4)</f>
        <v>-</v>
      </c>
      <c r="DV31" s="42"/>
      <c r="DW31" s="37"/>
      <c r="DX31" s="73"/>
      <c r="DY31" s="73"/>
      <c r="DZ31" s="38" t="str">
        <f t="shared" si="74"/>
        <v/>
      </c>
      <c r="EA31" s="38" t="str">
        <f t="shared" si="75"/>
        <v/>
      </c>
      <c r="EB31" s="38" t="str">
        <f>IF(DZ31&lt;&gt;"",IF(AND(DZ31&gt;='TABEL KONVERSI'!$B$3,'ENTRY DATA'!DZ31&lt;='TABEL KONVERSI'!$C$3),1,IF(AND(DZ31&gt;='TABEL KONVERSI'!$B$4,'ENTRY DATA'!DZ31&lt;='TABEL KONVERSI'!$C$4),2,IF(AND(DZ31&gt;='TABEL KONVERSI'!$B$5,'ENTRY DATA'!DZ31&lt;='TABEL KONVERSI'!$C$5),3,IF(AND(DZ31&gt;='TABEL KONVERSI'!$B$6,'ENTRY DATA'!DZ31&lt;='TABEL KONVERSI'!$C$6),4,"")))),"-")</f>
        <v>-</v>
      </c>
      <c r="EC31" s="38" t="str">
        <f>IF(EA31&lt;&gt;"",IF(AND(EA31&gt;='TABEL KONVERSI'!$B$3,'ENTRY DATA'!EA31&lt;='TABEL KONVERSI'!$C$3),1,IF(AND(EA31&gt;='TABEL KONVERSI'!$B$4,'ENTRY DATA'!EA31&lt;='TABEL KONVERSI'!$C$4),2,IF(AND(EA31&gt;='TABEL KONVERSI'!$B$5,'ENTRY DATA'!EA31&lt;='TABEL KONVERSI'!$C$5),3,IF(AND(EA31&gt;='TABEL KONVERSI'!$B$6,'ENTRY DATA'!EA31&lt;='TABEL KONVERSI'!$C$6),4,"")))),"-")</f>
        <v>-</v>
      </c>
      <c r="ED31" s="38" t="str">
        <f t="shared" si="76"/>
        <v>-</v>
      </c>
      <c r="EE31" s="38" t="str">
        <f>VLOOKUP(EB31,'TABEL KONVERSI'!$A$3:$D$7,4)</f>
        <v>-</v>
      </c>
      <c r="EF31" s="38" t="str">
        <f t="shared" si="77"/>
        <v>-</v>
      </c>
      <c r="EG31" s="38" t="str">
        <f>VLOOKUP(EC31,'TABEL KONVERSI'!$A$3:$D$7,4)</f>
        <v>-</v>
      </c>
      <c r="EH31" s="42"/>
      <c r="EI31" s="37"/>
      <c r="EJ31" s="73"/>
      <c r="EK31" s="73"/>
      <c r="EL31" s="38" t="str">
        <f t="shared" si="78"/>
        <v/>
      </c>
      <c r="EM31" s="38" t="str">
        <f t="shared" si="79"/>
        <v/>
      </c>
      <c r="EN31" s="38" t="str">
        <f>IF(EL31&lt;&gt;"",IF(AND(EL31&gt;='TABEL KONVERSI'!$B$3,'ENTRY DATA'!EL31&lt;='TABEL KONVERSI'!$C$3),1,IF(AND(EL31&gt;='TABEL KONVERSI'!$B$4,'ENTRY DATA'!EL31&lt;='TABEL KONVERSI'!$C$4),2,IF(AND(EL31&gt;='TABEL KONVERSI'!$B$5,'ENTRY DATA'!EL31&lt;='TABEL KONVERSI'!$C$5),3,IF(AND(EL31&gt;='TABEL KONVERSI'!$B$6,'ENTRY DATA'!EL31&lt;='TABEL KONVERSI'!$C$6),4,"")))),"-")</f>
        <v>-</v>
      </c>
      <c r="EO31" s="38" t="str">
        <f>IF(EM31&lt;&gt;"",IF(AND(EM31&gt;='TABEL KONVERSI'!$B$3,'ENTRY DATA'!EM31&lt;='TABEL KONVERSI'!$C$3),1,IF(AND(EM31&gt;='TABEL KONVERSI'!$B$4,'ENTRY DATA'!EM31&lt;='TABEL KONVERSI'!$C$4),2,IF(AND(EM31&gt;='TABEL KONVERSI'!$B$5,'ENTRY DATA'!EM31&lt;='TABEL KONVERSI'!$C$5),3,IF(AND(EM31&gt;='TABEL KONVERSI'!$B$6,'ENTRY DATA'!EM31&lt;='TABEL KONVERSI'!$C$6),4,"")))),"-")</f>
        <v>-</v>
      </c>
      <c r="EP31" s="38" t="str">
        <f t="shared" si="80"/>
        <v>-</v>
      </c>
      <c r="EQ31" s="38" t="str">
        <f>VLOOKUP(EN31,'TABEL KONVERSI'!$A$3:$D$7,4)</f>
        <v>-</v>
      </c>
      <c r="ER31" s="38" t="str">
        <f t="shared" si="81"/>
        <v>-</v>
      </c>
      <c r="ES31" s="38" t="str">
        <f>VLOOKUP(EO31,'TABEL KONVERSI'!$A$3:$D$7,4)</f>
        <v>-</v>
      </c>
      <c r="ET31" s="42"/>
      <c r="EU31" s="37"/>
      <c r="EV31" s="73"/>
      <c r="EW31" s="73"/>
      <c r="EX31" s="38" t="str">
        <f t="shared" si="82"/>
        <v/>
      </c>
      <c r="EY31" s="38" t="str">
        <f t="shared" si="83"/>
        <v/>
      </c>
      <c r="EZ31" s="38" t="str">
        <f>IF(EX31&lt;&gt;"",IF(AND(EX31&gt;='TABEL KONVERSI'!$B$3,'ENTRY DATA'!EX31&lt;='TABEL KONVERSI'!$C$3),1,IF(AND(EX31&gt;='TABEL KONVERSI'!$B$4,'ENTRY DATA'!EX31&lt;='TABEL KONVERSI'!$C$4),2,IF(AND(EX31&gt;='TABEL KONVERSI'!$B$5,'ENTRY DATA'!EX31&lt;='TABEL KONVERSI'!$C$5),3,IF(AND(EX31&gt;='TABEL KONVERSI'!$B$6,'ENTRY DATA'!EX31&lt;='TABEL KONVERSI'!$C$6),4,"")))),"-")</f>
        <v>-</v>
      </c>
      <c r="FA31" s="38" t="str">
        <f>IF(EY31&lt;&gt;"",IF(AND(EY31&gt;='TABEL KONVERSI'!$B$3,'ENTRY DATA'!EY31&lt;='TABEL KONVERSI'!$C$3),1,IF(AND(EY31&gt;='TABEL KONVERSI'!$B$4,'ENTRY DATA'!EY31&lt;='TABEL KONVERSI'!$C$4),2,IF(AND(EY31&gt;='TABEL KONVERSI'!$B$5,'ENTRY DATA'!EY31&lt;='TABEL KONVERSI'!$C$5),3,IF(AND(EY31&gt;='TABEL KONVERSI'!$B$6,'ENTRY DATA'!EY31&lt;='TABEL KONVERSI'!$C$6),4,"")))),"-")</f>
        <v>-</v>
      </c>
      <c r="FB31" s="38" t="str">
        <f t="shared" si="84"/>
        <v>-</v>
      </c>
      <c r="FC31" s="38" t="str">
        <f>VLOOKUP(EZ31,'TABEL KONVERSI'!$A$3:$D$7,4)</f>
        <v>-</v>
      </c>
      <c r="FD31" s="38" t="str">
        <f t="shared" si="85"/>
        <v>-</v>
      </c>
      <c r="FE31" s="38" t="str">
        <f>VLOOKUP(FA31,'TABEL KONVERSI'!$A$3:$D$7,4)</f>
        <v>-</v>
      </c>
      <c r="FF31" s="42"/>
      <c r="FG31" s="37"/>
      <c r="FH31" s="73"/>
      <c r="FI31" s="73"/>
      <c r="FJ31" s="38" t="str">
        <f t="shared" si="86"/>
        <v/>
      </c>
      <c r="FK31" s="38" t="str">
        <f t="shared" si="87"/>
        <v/>
      </c>
      <c r="FL31" s="38" t="str">
        <f>IF(FJ31&lt;&gt;"",IF(AND(FJ31&gt;='TABEL KONVERSI'!$B$3,'ENTRY DATA'!FJ31&lt;='TABEL KONVERSI'!$C$3),1,IF(AND(FJ31&gt;='TABEL KONVERSI'!$B$4,'ENTRY DATA'!FJ31&lt;='TABEL KONVERSI'!$C$4),2,IF(AND(FJ31&gt;='TABEL KONVERSI'!$B$5,'ENTRY DATA'!FJ31&lt;='TABEL KONVERSI'!$C$5),3,IF(AND(FJ31&gt;='TABEL KONVERSI'!$B$6,'ENTRY DATA'!FJ31&lt;='TABEL KONVERSI'!$C$6),4,"")))),"-")</f>
        <v>-</v>
      </c>
      <c r="FM31" s="38" t="str">
        <f>IF(FK31&lt;&gt;"",IF(AND(FK31&gt;='TABEL KONVERSI'!$B$3,'ENTRY DATA'!FK31&lt;='TABEL KONVERSI'!$C$3),1,IF(AND(FK31&gt;='TABEL KONVERSI'!$B$4,'ENTRY DATA'!FK31&lt;='TABEL KONVERSI'!$C$4),2,IF(AND(FK31&gt;='TABEL KONVERSI'!$B$5,'ENTRY DATA'!FK31&lt;='TABEL KONVERSI'!$C$5),3,IF(AND(FK31&gt;='TABEL KONVERSI'!$B$6,'ENTRY DATA'!FK31&lt;='TABEL KONVERSI'!$C$6),4,"")))),"-")</f>
        <v>-</v>
      </c>
      <c r="FN31" s="38" t="str">
        <f t="shared" si="88"/>
        <v>-</v>
      </c>
      <c r="FO31" s="38" t="str">
        <f>VLOOKUP(FL31,'TABEL KONVERSI'!$A$3:$D$7,4)</f>
        <v>-</v>
      </c>
      <c r="FP31" s="38" t="str">
        <f t="shared" si="89"/>
        <v>-</v>
      </c>
      <c r="FQ31" s="38" t="str">
        <f>VLOOKUP(FM31,'TABEL KONVERSI'!$A$3:$D$7,4)</f>
        <v>-</v>
      </c>
      <c r="FR31" s="42"/>
      <c r="FS31" s="37"/>
      <c r="FT31" s="73"/>
      <c r="FU31" s="73"/>
      <c r="FV31" s="38" t="str">
        <f t="shared" si="90"/>
        <v/>
      </c>
      <c r="FW31" s="38" t="str">
        <f t="shared" si="91"/>
        <v/>
      </c>
      <c r="FX31" s="38" t="str">
        <f>IF(FV31&lt;&gt;"",IF(AND(FV31&gt;='TABEL KONVERSI'!$B$3,'ENTRY DATA'!FV31&lt;='TABEL KONVERSI'!$C$3),1,IF(AND(FV31&gt;='TABEL KONVERSI'!$B$4,'ENTRY DATA'!FV31&lt;='TABEL KONVERSI'!$C$4),2,IF(AND(FV31&gt;='TABEL KONVERSI'!$B$5,'ENTRY DATA'!FV31&lt;='TABEL KONVERSI'!$C$5),3,IF(AND(FV31&gt;='TABEL KONVERSI'!$B$6,'ENTRY DATA'!FV31&lt;='TABEL KONVERSI'!$C$6),4,"")))),"-")</f>
        <v>-</v>
      </c>
      <c r="FY31" s="38" t="str">
        <f>IF(FW31&lt;&gt;"",IF(AND(FW31&gt;='TABEL KONVERSI'!$B$3,'ENTRY DATA'!FW31&lt;='TABEL KONVERSI'!$C$3),1,IF(AND(FW31&gt;='TABEL KONVERSI'!$B$4,'ENTRY DATA'!FW31&lt;='TABEL KONVERSI'!$C$4),2,IF(AND(FW31&gt;='TABEL KONVERSI'!$B$5,'ENTRY DATA'!FW31&lt;='TABEL KONVERSI'!$C$5),3,IF(AND(FW31&gt;='TABEL KONVERSI'!$B$6,'ENTRY DATA'!FW31&lt;='TABEL KONVERSI'!$C$6),4,"")))),"-")</f>
        <v>-</v>
      </c>
      <c r="FZ31" s="38" t="str">
        <f t="shared" si="92"/>
        <v>-</v>
      </c>
      <c r="GA31" s="38" t="str">
        <f>VLOOKUP(FX31,'TABEL KONVERSI'!$A$3:$D$7,4)</f>
        <v>-</v>
      </c>
      <c r="GB31" s="38" t="str">
        <f t="shared" si="93"/>
        <v>-</v>
      </c>
      <c r="GC31" s="38" t="str">
        <f>VLOOKUP(FY31,'TABEL KONVERSI'!$A$3:$D$7,4)</f>
        <v>-</v>
      </c>
      <c r="GD31" s="42"/>
      <c r="GE31" s="37"/>
      <c r="GF31" s="73"/>
      <c r="GG31" s="73"/>
      <c r="GH31" s="38" t="str">
        <f t="shared" si="94"/>
        <v/>
      </c>
      <c r="GI31" s="38" t="str">
        <f t="shared" si="95"/>
        <v/>
      </c>
      <c r="GJ31" s="38" t="str">
        <f>IF(GH31&lt;&gt;"",IF(AND(GH31&gt;='TABEL KONVERSI'!$B$3,'ENTRY DATA'!GH31&lt;='TABEL KONVERSI'!$C$3),1,IF(AND(GH31&gt;='TABEL KONVERSI'!$B$4,'ENTRY DATA'!GH31&lt;='TABEL KONVERSI'!$C$4),2,IF(AND(GH31&gt;='TABEL KONVERSI'!$B$5,'ENTRY DATA'!GH31&lt;='TABEL KONVERSI'!$C$5),3,IF(AND(GH31&gt;='TABEL KONVERSI'!$B$6,'ENTRY DATA'!GH31&lt;='TABEL KONVERSI'!$C$6),4,"")))),"-")</f>
        <v>-</v>
      </c>
      <c r="GK31" s="38" t="str">
        <f>IF(GI31&lt;&gt;"",IF(AND(GI31&gt;='TABEL KONVERSI'!$B$3,'ENTRY DATA'!GI31&lt;='TABEL KONVERSI'!$C$3),1,IF(AND(GI31&gt;='TABEL KONVERSI'!$B$4,'ENTRY DATA'!GI31&lt;='TABEL KONVERSI'!$C$4),2,IF(AND(GI31&gt;='TABEL KONVERSI'!$B$5,'ENTRY DATA'!GI31&lt;='TABEL KONVERSI'!$C$5),3,IF(AND(GI31&gt;='TABEL KONVERSI'!$B$6,'ENTRY DATA'!GI31&lt;='TABEL KONVERSI'!$C$6),4,"")))),"-")</f>
        <v>-</v>
      </c>
      <c r="GL31" s="38" t="str">
        <f t="shared" si="96"/>
        <v>-</v>
      </c>
      <c r="GM31" s="38" t="str">
        <f>VLOOKUP(GJ31,'TABEL KONVERSI'!$A$3:$D$7,4)</f>
        <v>-</v>
      </c>
      <c r="GN31" s="38" t="str">
        <f t="shared" si="97"/>
        <v>-</v>
      </c>
      <c r="GO31" s="38" t="str">
        <f>VLOOKUP(GK31,'TABEL KONVERSI'!$A$3:$D$7,4)</f>
        <v>-</v>
      </c>
      <c r="GP31" s="43">
        <f t="shared" si="0"/>
        <v>0</v>
      </c>
      <c r="GQ31" s="43">
        <f t="shared" si="1"/>
        <v>0</v>
      </c>
      <c r="GR31" s="43">
        <f t="shared" si="2"/>
        <v>0</v>
      </c>
      <c r="GS31" s="43">
        <f t="shared" si="3"/>
        <v>0</v>
      </c>
      <c r="GT31" s="43">
        <f t="shared" si="4"/>
        <v>0</v>
      </c>
      <c r="GU31" s="43">
        <f t="shared" si="5"/>
        <v>0</v>
      </c>
      <c r="GV31" s="43">
        <f t="shared" si="6"/>
        <v>0</v>
      </c>
      <c r="GW31" s="43">
        <f t="shared" si="7"/>
        <v>0</v>
      </c>
      <c r="GX31" s="43">
        <f t="shared" si="8"/>
        <v>0</v>
      </c>
      <c r="GY31" s="43">
        <f t="shared" si="9"/>
        <v>0</v>
      </c>
      <c r="GZ31" s="43">
        <f t="shared" si="10"/>
        <v>0</v>
      </c>
      <c r="HA31" s="43">
        <f t="shared" si="11"/>
        <v>0</v>
      </c>
      <c r="HB31" s="43">
        <f t="shared" si="12"/>
        <v>0</v>
      </c>
      <c r="HC31" s="43">
        <f t="shared" si="13"/>
        <v>0</v>
      </c>
      <c r="HD31" s="43">
        <f t="shared" si="14"/>
        <v>0</v>
      </c>
      <c r="HE31" s="43">
        <f t="shared" si="15"/>
        <v>0</v>
      </c>
      <c r="HF31" s="38">
        <f t="shared" si="98"/>
        <v>0</v>
      </c>
      <c r="HG31" s="38">
        <f t="shared" si="99"/>
        <v>0</v>
      </c>
      <c r="HH31" s="38">
        <f t="shared" si="100"/>
        <v>0</v>
      </c>
      <c r="HI31" s="39">
        <f t="shared" si="101"/>
        <v>0</v>
      </c>
      <c r="HJ31" s="44" t="str">
        <f t="shared" si="102"/>
        <v>-</v>
      </c>
      <c r="HK31" s="45" t="str">
        <f>VLOOKUP(HJ31,'TABEL KONVERSI'!$B$11:$D$15,2,0)</f>
        <v>-</v>
      </c>
      <c r="HL31" s="43">
        <f t="shared" si="16"/>
        <v>0</v>
      </c>
      <c r="HM31" s="43">
        <f t="shared" si="17"/>
        <v>0</v>
      </c>
      <c r="HN31" s="43">
        <f t="shared" si="18"/>
        <v>0</v>
      </c>
      <c r="HO31" s="43">
        <f t="shared" si="19"/>
        <v>0</v>
      </c>
      <c r="HP31" s="43">
        <f t="shared" si="20"/>
        <v>0</v>
      </c>
      <c r="HQ31" s="43">
        <f t="shared" si="21"/>
        <v>0</v>
      </c>
      <c r="HR31" s="43">
        <f t="shared" si="22"/>
        <v>0</v>
      </c>
      <c r="HS31" s="43">
        <f t="shared" si="23"/>
        <v>0</v>
      </c>
      <c r="HT31" s="43">
        <f t="shared" si="24"/>
        <v>0</v>
      </c>
      <c r="HU31" s="43">
        <f t="shared" si="25"/>
        <v>0</v>
      </c>
      <c r="HV31" s="43">
        <f t="shared" si="26"/>
        <v>0</v>
      </c>
      <c r="HW31" s="43">
        <f t="shared" si="27"/>
        <v>0</v>
      </c>
      <c r="HX31" s="43">
        <f t="shared" si="28"/>
        <v>0</v>
      </c>
      <c r="HY31" s="43">
        <f t="shared" si="29"/>
        <v>0</v>
      </c>
      <c r="HZ31" s="43">
        <f t="shared" si="30"/>
        <v>0</v>
      </c>
      <c r="IA31" s="43">
        <f t="shared" si="31"/>
        <v>0</v>
      </c>
      <c r="IB31" s="38">
        <f t="shared" si="103"/>
        <v>0</v>
      </c>
      <c r="IC31" s="38">
        <f t="shared" si="104"/>
        <v>0</v>
      </c>
      <c r="ID31" s="38">
        <f t="shared" si="105"/>
        <v>0</v>
      </c>
      <c r="IE31" s="38">
        <f t="shared" si="106"/>
        <v>0</v>
      </c>
      <c r="IF31" s="46" t="str">
        <f t="shared" si="107"/>
        <v>-</v>
      </c>
      <c r="IG31" s="45" t="str">
        <f>VLOOKUP(IF31,'TABEL KONVERSI'!$B$11:$D$15,3,0)</f>
        <v>-</v>
      </c>
      <c r="IH31" s="40" t="s">
        <v>223</v>
      </c>
      <c r="II31" s="41" t="s">
        <v>106</v>
      </c>
      <c r="IJ31" s="45" t="str">
        <f>IF(II31&lt;&gt;"",VLOOKUP(II31,'TABEL KONVERSI'!$A$19:$B$23,2,0),"")</f>
        <v>Aktif dalam mengikuti kegiatan</v>
      </c>
      <c r="IK31" s="47" t="s">
        <v>58</v>
      </c>
      <c r="IL31" s="50" t="s">
        <v>58</v>
      </c>
      <c r="IM31" s="45" t="str">
        <f>IF(IL31&lt;&gt;"",VLOOKUP(IL31,'TABEL KONVERSI'!$A$19:$B$23,2,0),"")</f>
        <v>-</v>
      </c>
      <c r="IN31" s="49" t="s">
        <v>58</v>
      </c>
      <c r="IO31" s="48" t="s">
        <v>58</v>
      </c>
      <c r="IP31" s="45" t="str">
        <f>IF(IO31&lt;&gt;"",VLOOKUP(IO31,'TABEL KONVERSI'!$A$19:$B$23,2,0),"")</f>
        <v>-</v>
      </c>
      <c r="IQ31" s="49" t="s">
        <v>58</v>
      </c>
      <c r="IR31" s="50" t="s">
        <v>58</v>
      </c>
      <c r="IS31" s="45" t="str">
        <f>IF(IR31&lt;&gt;"",VLOOKUP(IR31,'TABEL KONVERSI'!$A$19:$B$23,2,0),"")</f>
        <v>-</v>
      </c>
      <c r="IT31" s="49" t="s">
        <v>58</v>
      </c>
      <c r="IU31" s="50" t="s">
        <v>58</v>
      </c>
      <c r="IV31" s="45" t="str">
        <f>IF(IU31&lt;&gt;"",VLOOKUP(IU31,'TABEL KONVERSI'!$A$19:$B$23,2,0),"")</f>
        <v>-</v>
      </c>
      <c r="IW31" s="48" t="s">
        <v>58</v>
      </c>
      <c r="IX31" s="48" t="s">
        <v>58</v>
      </c>
      <c r="IY31" s="48" t="s">
        <v>58</v>
      </c>
      <c r="IZ31" s="47" t="s">
        <v>58</v>
      </c>
      <c r="JA31" s="45">
        <f t="shared" si="32"/>
        <v>0</v>
      </c>
      <c r="JB31" s="45">
        <f t="shared" si="33"/>
        <v>1</v>
      </c>
    </row>
    <row r="32" spans="1:262" x14ac:dyDescent="0.25">
      <c r="A32" s="33">
        <v>20</v>
      </c>
      <c r="B32" s="51"/>
      <c r="C32" s="51"/>
      <c r="D32" s="77"/>
      <c r="E32" s="52"/>
      <c r="F32" s="42"/>
      <c r="G32" s="37"/>
      <c r="H32" s="73"/>
      <c r="I32" s="73"/>
      <c r="J32" s="38" t="str">
        <f t="shared" si="34"/>
        <v/>
      </c>
      <c r="K32" s="38" t="str">
        <f t="shared" si="35"/>
        <v/>
      </c>
      <c r="L32" s="38" t="str">
        <f>IF(J32&lt;&gt;"",IF(AND(J32&gt;='TABEL KONVERSI'!$B$3,'ENTRY DATA'!J32&lt;='TABEL KONVERSI'!$C$3),1,IF(AND(J32&gt;='TABEL KONVERSI'!$B$4,'ENTRY DATA'!J32&lt;='TABEL KONVERSI'!$C$4),2,IF(AND(J32&gt;='TABEL KONVERSI'!$B$5,'ENTRY DATA'!J32&lt;='TABEL KONVERSI'!$C$5),3,IF(AND(J32&gt;='TABEL KONVERSI'!$B$6,'ENTRY DATA'!J32&lt;='TABEL KONVERSI'!$C$6),4,"")))),"-")</f>
        <v>-</v>
      </c>
      <c r="M32" s="38" t="str">
        <f>IF(K32&lt;&gt;"",IF(AND(K32&gt;='TABEL KONVERSI'!$B$3,'ENTRY DATA'!K32&lt;='TABEL KONVERSI'!$C$3),1,IF(AND(K32&gt;='TABEL KONVERSI'!$B$4,'ENTRY DATA'!K32&lt;='TABEL KONVERSI'!$C$4),2,IF(AND(K32&gt;='TABEL KONVERSI'!$B$5,'ENTRY DATA'!K32&lt;='TABEL KONVERSI'!$C$5),3,IF(AND(K32&gt;='TABEL KONVERSI'!$B$6,'ENTRY DATA'!K32&lt;='TABEL KONVERSI'!$C$6),4,"")))),"-")</f>
        <v>-</v>
      </c>
      <c r="N32" s="38" t="str">
        <f t="shared" si="36"/>
        <v>-</v>
      </c>
      <c r="O32" s="38" t="str">
        <f>VLOOKUP(L32,'TABEL KONVERSI'!$A$3:$D$7,4)</f>
        <v>-</v>
      </c>
      <c r="P32" s="38" t="str">
        <f t="shared" si="37"/>
        <v>-</v>
      </c>
      <c r="Q32" s="38" t="str">
        <f>VLOOKUP(M32,'TABEL KONVERSI'!$A$3:$D$7,4)</f>
        <v>-</v>
      </c>
      <c r="R32" s="42"/>
      <c r="S32" s="37"/>
      <c r="T32" s="73"/>
      <c r="U32" s="73"/>
      <c r="V32" s="38" t="str">
        <f t="shared" si="38"/>
        <v/>
      </c>
      <c r="W32" s="38" t="str">
        <f t="shared" si="39"/>
        <v/>
      </c>
      <c r="X32" s="38" t="str">
        <f>IF(V32&lt;&gt;"",IF(AND(V32&gt;='TABEL KONVERSI'!$B$3,'ENTRY DATA'!V32&lt;='TABEL KONVERSI'!$C$3),1,IF(AND(V32&gt;='TABEL KONVERSI'!$B$4,'ENTRY DATA'!V32&lt;='TABEL KONVERSI'!$C$4),2,IF(AND(V32&gt;='TABEL KONVERSI'!$B$5,'ENTRY DATA'!V32&lt;='TABEL KONVERSI'!$C$5),3,IF(AND(V32&gt;='TABEL KONVERSI'!$B$6,'ENTRY DATA'!V32&lt;='TABEL KONVERSI'!$C$6),4,"")))),"-")</f>
        <v>-</v>
      </c>
      <c r="Y32" s="38" t="str">
        <f>IF(W32&lt;&gt;"",IF(AND(W32&gt;='TABEL KONVERSI'!$B$3,'ENTRY DATA'!W32&lt;='TABEL KONVERSI'!$C$3),1,IF(AND(W32&gt;='TABEL KONVERSI'!$B$4,'ENTRY DATA'!W32&lt;='TABEL KONVERSI'!$C$4),2,IF(AND(W32&gt;='TABEL KONVERSI'!$B$5,'ENTRY DATA'!W32&lt;='TABEL KONVERSI'!$C$5),3,IF(AND(W32&gt;='TABEL KONVERSI'!$B$6,'ENTRY DATA'!W32&lt;='TABEL KONVERSI'!$C$6),4,"")))),"-")</f>
        <v>-</v>
      </c>
      <c r="Z32" s="38" t="str">
        <f t="shared" si="40"/>
        <v>-</v>
      </c>
      <c r="AA32" s="38" t="str">
        <f>VLOOKUP(X32,'TABEL KONVERSI'!$A$3:$D$7,4)</f>
        <v>-</v>
      </c>
      <c r="AB32" s="38" t="str">
        <f t="shared" si="41"/>
        <v>-</v>
      </c>
      <c r="AC32" s="38" t="str">
        <f>VLOOKUP(Y32,'TABEL KONVERSI'!$A$3:$D$7,4)</f>
        <v>-</v>
      </c>
      <c r="AD32" s="42"/>
      <c r="AE32" s="37"/>
      <c r="AF32" s="73"/>
      <c r="AG32" s="73"/>
      <c r="AH32" s="38" t="str">
        <f t="shared" si="42"/>
        <v/>
      </c>
      <c r="AI32" s="38" t="str">
        <f t="shared" si="43"/>
        <v/>
      </c>
      <c r="AJ32" s="38" t="str">
        <f>IF(AH32&lt;&gt;"",IF(AND(AH32&gt;='TABEL KONVERSI'!$B$3,'ENTRY DATA'!AH32&lt;='TABEL KONVERSI'!$C$3),1,IF(AND(AH32&gt;='TABEL KONVERSI'!$B$4,'ENTRY DATA'!AH32&lt;='TABEL KONVERSI'!$C$4),2,IF(AND(AH32&gt;='TABEL KONVERSI'!$B$5,'ENTRY DATA'!AH32&lt;='TABEL KONVERSI'!$C$5),3,IF(AND(AH32&gt;='TABEL KONVERSI'!$B$6,'ENTRY DATA'!AH32&lt;='TABEL KONVERSI'!$C$6),4,"")))),"-")</f>
        <v>-</v>
      </c>
      <c r="AK32" s="38" t="str">
        <f>IF(AI32&lt;&gt;"",IF(AND(AI32&gt;='TABEL KONVERSI'!$B$3,'ENTRY DATA'!AI32&lt;='TABEL KONVERSI'!$C$3),1,IF(AND(AI32&gt;='TABEL KONVERSI'!$B$4,'ENTRY DATA'!AI32&lt;='TABEL KONVERSI'!$C$4),2,IF(AND(AI32&gt;='TABEL KONVERSI'!$B$5,'ENTRY DATA'!AI32&lt;='TABEL KONVERSI'!$C$5),3,IF(AND(AI32&gt;='TABEL KONVERSI'!$B$6,'ENTRY DATA'!AI32&lt;='TABEL KONVERSI'!$C$6),4,"")))),"-")</f>
        <v>-</v>
      </c>
      <c r="AL32" s="38" t="str">
        <f t="shared" si="44"/>
        <v>-</v>
      </c>
      <c r="AM32" s="38" t="str">
        <f>VLOOKUP(AJ32,'TABEL KONVERSI'!$A$3:$D$7,4)</f>
        <v>-</v>
      </c>
      <c r="AN32" s="38" t="str">
        <f t="shared" si="45"/>
        <v>-</v>
      </c>
      <c r="AO32" s="38" t="str">
        <f>VLOOKUP(AK32,'TABEL KONVERSI'!$A$3:$D$7,4)</f>
        <v>-</v>
      </c>
      <c r="AP32" s="42"/>
      <c r="AQ32" s="37"/>
      <c r="AR32" s="73"/>
      <c r="AS32" s="73"/>
      <c r="AT32" s="38" t="str">
        <f t="shared" si="46"/>
        <v/>
      </c>
      <c r="AU32" s="38" t="str">
        <f t="shared" si="47"/>
        <v/>
      </c>
      <c r="AV32" s="38" t="str">
        <f>IF(AT32&lt;&gt;"",IF(AND(AT32&gt;='TABEL KONVERSI'!$B$3,'ENTRY DATA'!AT32&lt;='TABEL KONVERSI'!$C$3),1,IF(AND(AT32&gt;='TABEL KONVERSI'!$B$4,'ENTRY DATA'!AT32&lt;='TABEL KONVERSI'!$C$4),2,IF(AND(AT32&gt;='TABEL KONVERSI'!$B$5,'ENTRY DATA'!AT32&lt;='TABEL KONVERSI'!$C$5),3,IF(AND(AT32&gt;='TABEL KONVERSI'!$B$6,'ENTRY DATA'!AT32&lt;='TABEL KONVERSI'!$C$6),4,"")))),"-")</f>
        <v>-</v>
      </c>
      <c r="AW32" s="38" t="str">
        <f>IF(AU32&lt;&gt;"",IF(AND(AU32&gt;='TABEL KONVERSI'!$B$3,'ENTRY DATA'!AU32&lt;='TABEL KONVERSI'!$C$3),1,IF(AND(AU32&gt;='TABEL KONVERSI'!$B$4,'ENTRY DATA'!AU32&lt;='TABEL KONVERSI'!$C$4),2,IF(AND(AU32&gt;='TABEL KONVERSI'!$B$5,'ENTRY DATA'!AU32&lt;='TABEL KONVERSI'!$C$5),3,IF(AND(AU32&gt;='TABEL KONVERSI'!$B$6,'ENTRY DATA'!AU32&lt;='TABEL KONVERSI'!$C$6),4,"")))),"-")</f>
        <v>-</v>
      </c>
      <c r="AX32" s="38" t="str">
        <f t="shared" si="48"/>
        <v>-</v>
      </c>
      <c r="AY32" s="38" t="str">
        <f>VLOOKUP(AV32,'TABEL KONVERSI'!$A$3:$D$7,4)</f>
        <v>-</v>
      </c>
      <c r="AZ32" s="38" t="str">
        <f t="shared" si="49"/>
        <v>-</v>
      </c>
      <c r="BA32" s="38" t="str">
        <f>VLOOKUP(AW32,'TABEL KONVERSI'!$A$3:$D$7,4)</f>
        <v>-</v>
      </c>
      <c r="BB32" s="42"/>
      <c r="BC32" s="37"/>
      <c r="BD32" s="73"/>
      <c r="BE32" s="73"/>
      <c r="BF32" s="38" t="str">
        <f t="shared" si="50"/>
        <v/>
      </c>
      <c r="BG32" s="38" t="str">
        <f t="shared" si="51"/>
        <v/>
      </c>
      <c r="BH32" s="38" t="str">
        <f>IF(BF32&lt;&gt;"",IF(AND(BF32&gt;='TABEL KONVERSI'!$B$3,'ENTRY DATA'!BF32&lt;='TABEL KONVERSI'!$C$3),1,IF(AND(BF32&gt;='TABEL KONVERSI'!$B$4,'ENTRY DATA'!BF32&lt;='TABEL KONVERSI'!$C$4),2,IF(AND(BF32&gt;='TABEL KONVERSI'!$B$5,'ENTRY DATA'!BF32&lt;='TABEL KONVERSI'!$C$5),3,IF(AND(BF32&gt;='TABEL KONVERSI'!$B$6,'ENTRY DATA'!BF32&lt;='TABEL KONVERSI'!$C$6),4,"")))),"-")</f>
        <v>-</v>
      </c>
      <c r="BI32" s="38" t="str">
        <f>IF(BG32&lt;&gt;"",IF(AND(BG32&gt;='TABEL KONVERSI'!$B$3,'ENTRY DATA'!BG32&lt;='TABEL KONVERSI'!$C$3),1,IF(AND(BG32&gt;='TABEL KONVERSI'!$B$4,'ENTRY DATA'!BG32&lt;='TABEL KONVERSI'!$C$4),2,IF(AND(BG32&gt;='TABEL KONVERSI'!$B$5,'ENTRY DATA'!BG32&lt;='TABEL KONVERSI'!$C$5),3,IF(AND(BG32&gt;='TABEL KONVERSI'!$B$6,'ENTRY DATA'!BG32&lt;='TABEL KONVERSI'!$C$6),4,"")))),"-")</f>
        <v>-</v>
      </c>
      <c r="BJ32" s="38" t="str">
        <f t="shared" si="52"/>
        <v>-</v>
      </c>
      <c r="BK32" s="38" t="str">
        <f>VLOOKUP(BH32,'TABEL KONVERSI'!$A$3:$D$7,4)</f>
        <v>-</v>
      </c>
      <c r="BL32" s="38" t="str">
        <f t="shared" si="53"/>
        <v>-</v>
      </c>
      <c r="BM32" s="38" t="str">
        <f>VLOOKUP(BI32,'TABEL KONVERSI'!$A$3:$D$7,4)</f>
        <v>-</v>
      </c>
      <c r="BN32" s="42"/>
      <c r="BO32" s="37"/>
      <c r="BP32" s="73"/>
      <c r="BQ32" s="73"/>
      <c r="BR32" s="38" t="str">
        <f t="shared" si="54"/>
        <v/>
      </c>
      <c r="BS32" s="38" t="str">
        <f t="shared" si="55"/>
        <v/>
      </c>
      <c r="BT32" s="38" t="str">
        <f>IF(BR32&lt;&gt;"",IF(AND(BR32&gt;='TABEL KONVERSI'!$B$3,'ENTRY DATA'!BR32&lt;='TABEL KONVERSI'!$C$3),1,IF(AND(BR32&gt;='TABEL KONVERSI'!$B$4,'ENTRY DATA'!BR32&lt;='TABEL KONVERSI'!$C$4),2,IF(AND(BR32&gt;='TABEL KONVERSI'!$B$5,'ENTRY DATA'!BR32&lt;='TABEL KONVERSI'!$C$5),3,IF(AND(BR32&gt;='TABEL KONVERSI'!$B$6,'ENTRY DATA'!BR32&lt;='TABEL KONVERSI'!$C$6),4,"")))),"-")</f>
        <v>-</v>
      </c>
      <c r="BU32" s="38" t="str">
        <f>IF(BS32&lt;&gt;"",IF(AND(BS32&gt;='TABEL KONVERSI'!$B$3,'ENTRY DATA'!BS32&lt;='TABEL KONVERSI'!$C$3),1,IF(AND(BS32&gt;='TABEL KONVERSI'!$B$4,'ENTRY DATA'!BS32&lt;='TABEL KONVERSI'!$C$4),2,IF(AND(BS32&gt;='TABEL KONVERSI'!$B$5,'ENTRY DATA'!BS32&lt;='TABEL KONVERSI'!$C$5),3,IF(AND(BS32&gt;='TABEL KONVERSI'!$B$6,'ENTRY DATA'!BS32&lt;='TABEL KONVERSI'!$C$6),4,"")))),"-")</f>
        <v>-</v>
      </c>
      <c r="BV32" s="38" t="str">
        <f t="shared" si="56"/>
        <v>-</v>
      </c>
      <c r="BW32" s="38" t="str">
        <f>VLOOKUP(BT32,'TABEL KONVERSI'!$A$3:$D$7,4)</f>
        <v>-</v>
      </c>
      <c r="BX32" s="38" t="str">
        <f t="shared" si="57"/>
        <v>-</v>
      </c>
      <c r="BY32" s="38" t="str">
        <f>VLOOKUP(BU32,'TABEL KONVERSI'!$A$3:$D$7,4)</f>
        <v>-</v>
      </c>
      <c r="BZ32" s="42"/>
      <c r="CA32" s="37"/>
      <c r="CB32" s="73"/>
      <c r="CC32" s="73"/>
      <c r="CD32" s="38" t="str">
        <f t="shared" si="58"/>
        <v/>
      </c>
      <c r="CE32" s="38" t="str">
        <f t="shared" si="59"/>
        <v/>
      </c>
      <c r="CF32" s="38" t="str">
        <f>IF(CD32&lt;&gt;"",IF(AND(CD32&gt;='TABEL KONVERSI'!$B$3,'ENTRY DATA'!CD32&lt;='TABEL KONVERSI'!$C$3),1,IF(AND(CD32&gt;='TABEL KONVERSI'!$B$4,'ENTRY DATA'!CD32&lt;='TABEL KONVERSI'!$C$4),2,IF(AND(CD32&gt;='TABEL KONVERSI'!$B$5,'ENTRY DATA'!CD32&lt;='TABEL KONVERSI'!$C$5),3,IF(AND(CD32&gt;='TABEL KONVERSI'!$B$6,'ENTRY DATA'!CD32&lt;='TABEL KONVERSI'!$C$6),4,"")))),"-")</f>
        <v>-</v>
      </c>
      <c r="CG32" s="38" t="str">
        <f>IF(CE32&lt;&gt;"",IF(AND(CE32&gt;='TABEL KONVERSI'!$B$3,'ENTRY DATA'!CE32&lt;='TABEL KONVERSI'!$C$3),1,IF(AND(CE32&gt;='TABEL KONVERSI'!$B$4,'ENTRY DATA'!CE32&lt;='TABEL KONVERSI'!$C$4),2,IF(AND(CE32&gt;='TABEL KONVERSI'!$B$5,'ENTRY DATA'!CE32&lt;='TABEL KONVERSI'!$C$5),3,IF(AND(CE32&gt;='TABEL KONVERSI'!$B$6,'ENTRY DATA'!CE32&lt;='TABEL KONVERSI'!$C$6),4,"")))),"-")</f>
        <v>-</v>
      </c>
      <c r="CH32" s="38" t="str">
        <f t="shared" si="60"/>
        <v>-</v>
      </c>
      <c r="CI32" s="38" t="str">
        <f>VLOOKUP(CF32,'TABEL KONVERSI'!$A$3:$D$7,4)</f>
        <v>-</v>
      </c>
      <c r="CJ32" s="38" t="str">
        <f t="shared" si="61"/>
        <v>-</v>
      </c>
      <c r="CK32" s="38" t="str">
        <f>VLOOKUP(CG32,'TABEL KONVERSI'!$A$3:$D$7,4)</f>
        <v>-</v>
      </c>
      <c r="CL32" s="42"/>
      <c r="CM32" s="37"/>
      <c r="CN32" s="73"/>
      <c r="CO32" s="73"/>
      <c r="CP32" s="38" t="str">
        <f t="shared" si="62"/>
        <v/>
      </c>
      <c r="CQ32" s="38" t="str">
        <f t="shared" si="63"/>
        <v/>
      </c>
      <c r="CR32" s="38" t="str">
        <f>IF(CP32&lt;&gt;"",IF(AND(CP32&gt;='TABEL KONVERSI'!$B$3,'ENTRY DATA'!CP32&lt;='TABEL KONVERSI'!$C$3),1,IF(AND(CP32&gt;='TABEL KONVERSI'!$B$4,'ENTRY DATA'!CP32&lt;='TABEL KONVERSI'!$C$4),2,IF(AND(CP32&gt;='TABEL KONVERSI'!$B$5,'ENTRY DATA'!CP32&lt;='TABEL KONVERSI'!$C$5),3,IF(AND(CP32&gt;='TABEL KONVERSI'!$B$6,'ENTRY DATA'!CP32&lt;='TABEL KONVERSI'!$C$6),4,"")))),"-")</f>
        <v>-</v>
      </c>
      <c r="CS32" s="38" t="str">
        <f>IF(CQ32&lt;&gt;"",IF(AND(CQ32&gt;='TABEL KONVERSI'!$B$3,'ENTRY DATA'!CQ32&lt;='TABEL KONVERSI'!$C$3),1,IF(AND(CQ32&gt;='TABEL KONVERSI'!$B$4,'ENTRY DATA'!CQ32&lt;='TABEL KONVERSI'!$C$4),2,IF(AND(CQ32&gt;='TABEL KONVERSI'!$B$5,'ENTRY DATA'!CQ32&lt;='TABEL KONVERSI'!$C$5),3,IF(AND(CQ32&gt;='TABEL KONVERSI'!$B$6,'ENTRY DATA'!CQ32&lt;='TABEL KONVERSI'!$C$6),4,"")))),"-")</f>
        <v>-</v>
      </c>
      <c r="CT32" s="38" t="str">
        <f t="shared" si="64"/>
        <v>-</v>
      </c>
      <c r="CU32" s="38" t="str">
        <f>VLOOKUP(CR32,'TABEL KONVERSI'!$A$3:$D$7,4)</f>
        <v>-</v>
      </c>
      <c r="CV32" s="38" t="str">
        <f t="shared" si="65"/>
        <v>-</v>
      </c>
      <c r="CW32" s="38" t="str">
        <f>VLOOKUP(CS32,'TABEL KONVERSI'!$A$3:$D$7,4)</f>
        <v>-</v>
      </c>
      <c r="CX32" s="42"/>
      <c r="CY32" s="37"/>
      <c r="CZ32" s="73"/>
      <c r="DA32" s="73"/>
      <c r="DB32" s="38" t="str">
        <f t="shared" si="66"/>
        <v/>
      </c>
      <c r="DC32" s="38" t="str">
        <f t="shared" si="67"/>
        <v/>
      </c>
      <c r="DD32" s="38" t="str">
        <f>IF(DB32&lt;&gt;"",IF(AND(DB32&gt;='TABEL KONVERSI'!$B$3,'ENTRY DATA'!DB32&lt;='TABEL KONVERSI'!$C$3),1,IF(AND(DB32&gt;='TABEL KONVERSI'!$B$4,'ENTRY DATA'!DB32&lt;='TABEL KONVERSI'!$C$4),2,IF(AND(DB32&gt;='TABEL KONVERSI'!$B$5,'ENTRY DATA'!DB32&lt;='TABEL KONVERSI'!$C$5),3,IF(AND(DB32&gt;='TABEL KONVERSI'!$B$6,'ENTRY DATA'!DB32&lt;='TABEL KONVERSI'!$C$6),4,"")))),"-")</f>
        <v>-</v>
      </c>
      <c r="DE32" s="38" t="str">
        <f>IF(DC32&lt;&gt;"",IF(AND(DC32&gt;='TABEL KONVERSI'!$B$3,'ENTRY DATA'!DC32&lt;='TABEL KONVERSI'!$C$3),1,IF(AND(DC32&gt;='TABEL KONVERSI'!$B$4,'ENTRY DATA'!DC32&lt;='TABEL KONVERSI'!$C$4),2,IF(AND(DC32&gt;='TABEL KONVERSI'!$B$5,'ENTRY DATA'!DC32&lt;='TABEL KONVERSI'!$C$5),3,IF(AND(DC32&gt;='TABEL KONVERSI'!$B$6,'ENTRY DATA'!DC32&lt;='TABEL KONVERSI'!$C$6),4,"")))),"-")</f>
        <v>-</v>
      </c>
      <c r="DF32" s="38" t="str">
        <f t="shared" si="68"/>
        <v>-</v>
      </c>
      <c r="DG32" s="38" t="str">
        <f>VLOOKUP(DD32,'TABEL KONVERSI'!$A$3:$D$7,4)</f>
        <v>-</v>
      </c>
      <c r="DH32" s="38" t="str">
        <f t="shared" si="69"/>
        <v>-</v>
      </c>
      <c r="DI32" s="38" t="str">
        <f>VLOOKUP(DE32,'TABEL KONVERSI'!$A$3:$D$7,4)</f>
        <v>-</v>
      </c>
      <c r="DJ32" s="42"/>
      <c r="DK32" s="37"/>
      <c r="DL32" s="73"/>
      <c r="DM32" s="73"/>
      <c r="DN32" s="38" t="str">
        <f t="shared" si="70"/>
        <v/>
      </c>
      <c r="DO32" s="38" t="str">
        <f t="shared" si="71"/>
        <v/>
      </c>
      <c r="DP32" s="38" t="str">
        <f>IF(DN32&lt;&gt;"",IF(AND(DN32&gt;='TABEL KONVERSI'!$B$3,'ENTRY DATA'!DN32&lt;='TABEL KONVERSI'!$C$3),1,IF(AND(DN32&gt;='TABEL KONVERSI'!$B$4,'ENTRY DATA'!DN32&lt;='TABEL KONVERSI'!$C$4),2,IF(AND(DN32&gt;='TABEL KONVERSI'!$B$5,'ENTRY DATA'!DN32&lt;='TABEL KONVERSI'!$C$5),3,IF(AND(DN32&gt;='TABEL KONVERSI'!$B$6,'ENTRY DATA'!DN32&lt;='TABEL KONVERSI'!$C$6),4,"")))),"-")</f>
        <v>-</v>
      </c>
      <c r="DQ32" s="38" t="str">
        <f>IF(DO32&lt;&gt;"",IF(AND(DO32&gt;='TABEL KONVERSI'!$B$3,'ENTRY DATA'!DO32&lt;='TABEL KONVERSI'!$C$3),1,IF(AND(DO32&gt;='TABEL KONVERSI'!$B$4,'ENTRY DATA'!DO32&lt;='TABEL KONVERSI'!$C$4),2,IF(AND(DO32&gt;='TABEL KONVERSI'!$B$5,'ENTRY DATA'!DO32&lt;='TABEL KONVERSI'!$C$5),3,IF(AND(DO32&gt;='TABEL KONVERSI'!$B$6,'ENTRY DATA'!DO32&lt;='TABEL KONVERSI'!$C$6),4,"")))),"-")</f>
        <v>-</v>
      </c>
      <c r="DR32" s="38" t="str">
        <f t="shared" si="72"/>
        <v>-</v>
      </c>
      <c r="DS32" s="38" t="str">
        <f>VLOOKUP(DP32,'TABEL KONVERSI'!$A$3:$D$7,4)</f>
        <v>-</v>
      </c>
      <c r="DT32" s="38" t="str">
        <f t="shared" si="73"/>
        <v>-</v>
      </c>
      <c r="DU32" s="38" t="str">
        <f>VLOOKUP(DQ32,'TABEL KONVERSI'!$A$3:$D$7,4)</f>
        <v>-</v>
      </c>
      <c r="DV32" s="42"/>
      <c r="DW32" s="37"/>
      <c r="DX32" s="73"/>
      <c r="DY32" s="73"/>
      <c r="DZ32" s="38" t="str">
        <f t="shared" si="74"/>
        <v/>
      </c>
      <c r="EA32" s="38" t="str">
        <f t="shared" si="75"/>
        <v/>
      </c>
      <c r="EB32" s="38" t="str">
        <f>IF(DZ32&lt;&gt;"",IF(AND(DZ32&gt;='TABEL KONVERSI'!$B$3,'ENTRY DATA'!DZ32&lt;='TABEL KONVERSI'!$C$3),1,IF(AND(DZ32&gt;='TABEL KONVERSI'!$B$4,'ENTRY DATA'!DZ32&lt;='TABEL KONVERSI'!$C$4),2,IF(AND(DZ32&gt;='TABEL KONVERSI'!$B$5,'ENTRY DATA'!DZ32&lt;='TABEL KONVERSI'!$C$5),3,IF(AND(DZ32&gt;='TABEL KONVERSI'!$B$6,'ENTRY DATA'!DZ32&lt;='TABEL KONVERSI'!$C$6),4,"")))),"-")</f>
        <v>-</v>
      </c>
      <c r="EC32" s="38" t="str">
        <f>IF(EA32&lt;&gt;"",IF(AND(EA32&gt;='TABEL KONVERSI'!$B$3,'ENTRY DATA'!EA32&lt;='TABEL KONVERSI'!$C$3),1,IF(AND(EA32&gt;='TABEL KONVERSI'!$B$4,'ENTRY DATA'!EA32&lt;='TABEL KONVERSI'!$C$4),2,IF(AND(EA32&gt;='TABEL KONVERSI'!$B$5,'ENTRY DATA'!EA32&lt;='TABEL KONVERSI'!$C$5),3,IF(AND(EA32&gt;='TABEL KONVERSI'!$B$6,'ENTRY DATA'!EA32&lt;='TABEL KONVERSI'!$C$6),4,"")))),"-")</f>
        <v>-</v>
      </c>
      <c r="ED32" s="38" t="str">
        <f t="shared" si="76"/>
        <v>-</v>
      </c>
      <c r="EE32" s="38" t="str">
        <f>VLOOKUP(EB32,'TABEL KONVERSI'!$A$3:$D$7,4)</f>
        <v>-</v>
      </c>
      <c r="EF32" s="38" t="str">
        <f t="shared" si="77"/>
        <v>-</v>
      </c>
      <c r="EG32" s="38" t="str">
        <f>VLOOKUP(EC32,'TABEL KONVERSI'!$A$3:$D$7,4)</f>
        <v>-</v>
      </c>
      <c r="EH32" s="42"/>
      <c r="EI32" s="37"/>
      <c r="EJ32" s="73"/>
      <c r="EK32" s="73"/>
      <c r="EL32" s="38" t="str">
        <f t="shared" si="78"/>
        <v/>
      </c>
      <c r="EM32" s="38" t="str">
        <f t="shared" si="79"/>
        <v/>
      </c>
      <c r="EN32" s="38" t="str">
        <f>IF(EL32&lt;&gt;"",IF(AND(EL32&gt;='TABEL KONVERSI'!$B$3,'ENTRY DATA'!EL32&lt;='TABEL KONVERSI'!$C$3),1,IF(AND(EL32&gt;='TABEL KONVERSI'!$B$4,'ENTRY DATA'!EL32&lt;='TABEL KONVERSI'!$C$4),2,IF(AND(EL32&gt;='TABEL KONVERSI'!$B$5,'ENTRY DATA'!EL32&lt;='TABEL KONVERSI'!$C$5),3,IF(AND(EL32&gt;='TABEL KONVERSI'!$B$6,'ENTRY DATA'!EL32&lt;='TABEL KONVERSI'!$C$6),4,"")))),"-")</f>
        <v>-</v>
      </c>
      <c r="EO32" s="38" t="str">
        <f>IF(EM32&lt;&gt;"",IF(AND(EM32&gt;='TABEL KONVERSI'!$B$3,'ENTRY DATA'!EM32&lt;='TABEL KONVERSI'!$C$3),1,IF(AND(EM32&gt;='TABEL KONVERSI'!$B$4,'ENTRY DATA'!EM32&lt;='TABEL KONVERSI'!$C$4),2,IF(AND(EM32&gt;='TABEL KONVERSI'!$B$5,'ENTRY DATA'!EM32&lt;='TABEL KONVERSI'!$C$5),3,IF(AND(EM32&gt;='TABEL KONVERSI'!$B$6,'ENTRY DATA'!EM32&lt;='TABEL KONVERSI'!$C$6),4,"")))),"-")</f>
        <v>-</v>
      </c>
      <c r="EP32" s="38" t="str">
        <f t="shared" si="80"/>
        <v>-</v>
      </c>
      <c r="EQ32" s="38" t="str">
        <f>VLOOKUP(EN32,'TABEL KONVERSI'!$A$3:$D$7,4)</f>
        <v>-</v>
      </c>
      <c r="ER32" s="38" t="str">
        <f t="shared" si="81"/>
        <v>-</v>
      </c>
      <c r="ES32" s="38" t="str">
        <f>VLOOKUP(EO32,'TABEL KONVERSI'!$A$3:$D$7,4)</f>
        <v>-</v>
      </c>
      <c r="ET32" s="42"/>
      <c r="EU32" s="37"/>
      <c r="EV32" s="73"/>
      <c r="EW32" s="73"/>
      <c r="EX32" s="38" t="str">
        <f t="shared" si="82"/>
        <v/>
      </c>
      <c r="EY32" s="38" t="str">
        <f t="shared" si="83"/>
        <v/>
      </c>
      <c r="EZ32" s="38" t="str">
        <f>IF(EX32&lt;&gt;"",IF(AND(EX32&gt;='TABEL KONVERSI'!$B$3,'ENTRY DATA'!EX32&lt;='TABEL KONVERSI'!$C$3),1,IF(AND(EX32&gt;='TABEL KONVERSI'!$B$4,'ENTRY DATA'!EX32&lt;='TABEL KONVERSI'!$C$4),2,IF(AND(EX32&gt;='TABEL KONVERSI'!$B$5,'ENTRY DATA'!EX32&lt;='TABEL KONVERSI'!$C$5),3,IF(AND(EX32&gt;='TABEL KONVERSI'!$B$6,'ENTRY DATA'!EX32&lt;='TABEL KONVERSI'!$C$6),4,"")))),"-")</f>
        <v>-</v>
      </c>
      <c r="FA32" s="38" t="str">
        <f>IF(EY32&lt;&gt;"",IF(AND(EY32&gt;='TABEL KONVERSI'!$B$3,'ENTRY DATA'!EY32&lt;='TABEL KONVERSI'!$C$3),1,IF(AND(EY32&gt;='TABEL KONVERSI'!$B$4,'ENTRY DATA'!EY32&lt;='TABEL KONVERSI'!$C$4),2,IF(AND(EY32&gt;='TABEL KONVERSI'!$B$5,'ENTRY DATA'!EY32&lt;='TABEL KONVERSI'!$C$5),3,IF(AND(EY32&gt;='TABEL KONVERSI'!$B$6,'ENTRY DATA'!EY32&lt;='TABEL KONVERSI'!$C$6),4,"")))),"-")</f>
        <v>-</v>
      </c>
      <c r="FB32" s="38" t="str">
        <f t="shared" si="84"/>
        <v>-</v>
      </c>
      <c r="FC32" s="38" t="str">
        <f>VLOOKUP(EZ32,'TABEL KONVERSI'!$A$3:$D$7,4)</f>
        <v>-</v>
      </c>
      <c r="FD32" s="38" t="str">
        <f t="shared" si="85"/>
        <v>-</v>
      </c>
      <c r="FE32" s="38" t="str">
        <f>VLOOKUP(FA32,'TABEL KONVERSI'!$A$3:$D$7,4)</f>
        <v>-</v>
      </c>
      <c r="FF32" s="42"/>
      <c r="FG32" s="37"/>
      <c r="FH32" s="73"/>
      <c r="FI32" s="73"/>
      <c r="FJ32" s="38" t="str">
        <f t="shared" si="86"/>
        <v/>
      </c>
      <c r="FK32" s="38" t="str">
        <f t="shared" si="87"/>
        <v/>
      </c>
      <c r="FL32" s="38" t="str">
        <f>IF(FJ32&lt;&gt;"",IF(AND(FJ32&gt;='TABEL KONVERSI'!$B$3,'ENTRY DATA'!FJ32&lt;='TABEL KONVERSI'!$C$3),1,IF(AND(FJ32&gt;='TABEL KONVERSI'!$B$4,'ENTRY DATA'!FJ32&lt;='TABEL KONVERSI'!$C$4),2,IF(AND(FJ32&gt;='TABEL KONVERSI'!$B$5,'ENTRY DATA'!FJ32&lt;='TABEL KONVERSI'!$C$5),3,IF(AND(FJ32&gt;='TABEL KONVERSI'!$B$6,'ENTRY DATA'!FJ32&lt;='TABEL KONVERSI'!$C$6),4,"")))),"-")</f>
        <v>-</v>
      </c>
      <c r="FM32" s="38" t="str">
        <f>IF(FK32&lt;&gt;"",IF(AND(FK32&gt;='TABEL KONVERSI'!$B$3,'ENTRY DATA'!FK32&lt;='TABEL KONVERSI'!$C$3),1,IF(AND(FK32&gt;='TABEL KONVERSI'!$B$4,'ENTRY DATA'!FK32&lt;='TABEL KONVERSI'!$C$4),2,IF(AND(FK32&gt;='TABEL KONVERSI'!$B$5,'ENTRY DATA'!FK32&lt;='TABEL KONVERSI'!$C$5),3,IF(AND(FK32&gt;='TABEL KONVERSI'!$B$6,'ENTRY DATA'!FK32&lt;='TABEL KONVERSI'!$C$6),4,"")))),"-")</f>
        <v>-</v>
      </c>
      <c r="FN32" s="38" t="str">
        <f t="shared" si="88"/>
        <v>-</v>
      </c>
      <c r="FO32" s="38" t="str">
        <f>VLOOKUP(FL32,'TABEL KONVERSI'!$A$3:$D$7,4)</f>
        <v>-</v>
      </c>
      <c r="FP32" s="38" t="str">
        <f t="shared" si="89"/>
        <v>-</v>
      </c>
      <c r="FQ32" s="38" t="str">
        <f>VLOOKUP(FM32,'TABEL KONVERSI'!$A$3:$D$7,4)</f>
        <v>-</v>
      </c>
      <c r="FR32" s="42"/>
      <c r="FS32" s="37"/>
      <c r="FT32" s="73"/>
      <c r="FU32" s="73"/>
      <c r="FV32" s="38" t="str">
        <f t="shared" si="90"/>
        <v/>
      </c>
      <c r="FW32" s="38" t="str">
        <f t="shared" si="91"/>
        <v/>
      </c>
      <c r="FX32" s="38" t="str">
        <f>IF(FV32&lt;&gt;"",IF(AND(FV32&gt;='TABEL KONVERSI'!$B$3,'ENTRY DATA'!FV32&lt;='TABEL KONVERSI'!$C$3),1,IF(AND(FV32&gt;='TABEL KONVERSI'!$B$4,'ENTRY DATA'!FV32&lt;='TABEL KONVERSI'!$C$4),2,IF(AND(FV32&gt;='TABEL KONVERSI'!$B$5,'ENTRY DATA'!FV32&lt;='TABEL KONVERSI'!$C$5),3,IF(AND(FV32&gt;='TABEL KONVERSI'!$B$6,'ENTRY DATA'!FV32&lt;='TABEL KONVERSI'!$C$6),4,"")))),"-")</f>
        <v>-</v>
      </c>
      <c r="FY32" s="38" t="str">
        <f>IF(FW32&lt;&gt;"",IF(AND(FW32&gt;='TABEL KONVERSI'!$B$3,'ENTRY DATA'!FW32&lt;='TABEL KONVERSI'!$C$3),1,IF(AND(FW32&gt;='TABEL KONVERSI'!$B$4,'ENTRY DATA'!FW32&lt;='TABEL KONVERSI'!$C$4),2,IF(AND(FW32&gt;='TABEL KONVERSI'!$B$5,'ENTRY DATA'!FW32&lt;='TABEL KONVERSI'!$C$5),3,IF(AND(FW32&gt;='TABEL KONVERSI'!$B$6,'ENTRY DATA'!FW32&lt;='TABEL KONVERSI'!$C$6),4,"")))),"-")</f>
        <v>-</v>
      </c>
      <c r="FZ32" s="38" t="str">
        <f t="shared" si="92"/>
        <v>-</v>
      </c>
      <c r="GA32" s="38" t="str">
        <f>VLOOKUP(FX32,'TABEL KONVERSI'!$A$3:$D$7,4)</f>
        <v>-</v>
      </c>
      <c r="GB32" s="38" t="str">
        <f t="shared" si="93"/>
        <v>-</v>
      </c>
      <c r="GC32" s="38" t="str">
        <f>VLOOKUP(FY32,'TABEL KONVERSI'!$A$3:$D$7,4)</f>
        <v>-</v>
      </c>
      <c r="GD32" s="42"/>
      <c r="GE32" s="37"/>
      <c r="GF32" s="73"/>
      <c r="GG32" s="73"/>
      <c r="GH32" s="38" t="str">
        <f t="shared" si="94"/>
        <v/>
      </c>
      <c r="GI32" s="38" t="str">
        <f t="shared" si="95"/>
        <v/>
      </c>
      <c r="GJ32" s="38" t="str">
        <f>IF(GH32&lt;&gt;"",IF(AND(GH32&gt;='TABEL KONVERSI'!$B$3,'ENTRY DATA'!GH32&lt;='TABEL KONVERSI'!$C$3),1,IF(AND(GH32&gt;='TABEL KONVERSI'!$B$4,'ENTRY DATA'!GH32&lt;='TABEL KONVERSI'!$C$4),2,IF(AND(GH32&gt;='TABEL KONVERSI'!$B$5,'ENTRY DATA'!GH32&lt;='TABEL KONVERSI'!$C$5),3,IF(AND(GH32&gt;='TABEL KONVERSI'!$B$6,'ENTRY DATA'!GH32&lt;='TABEL KONVERSI'!$C$6),4,"")))),"-")</f>
        <v>-</v>
      </c>
      <c r="GK32" s="38" t="str">
        <f>IF(GI32&lt;&gt;"",IF(AND(GI32&gt;='TABEL KONVERSI'!$B$3,'ENTRY DATA'!GI32&lt;='TABEL KONVERSI'!$C$3),1,IF(AND(GI32&gt;='TABEL KONVERSI'!$B$4,'ENTRY DATA'!GI32&lt;='TABEL KONVERSI'!$C$4),2,IF(AND(GI32&gt;='TABEL KONVERSI'!$B$5,'ENTRY DATA'!GI32&lt;='TABEL KONVERSI'!$C$5),3,IF(AND(GI32&gt;='TABEL KONVERSI'!$B$6,'ENTRY DATA'!GI32&lt;='TABEL KONVERSI'!$C$6),4,"")))),"-")</f>
        <v>-</v>
      </c>
      <c r="GL32" s="38" t="str">
        <f t="shared" si="96"/>
        <v>-</v>
      </c>
      <c r="GM32" s="38" t="str">
        <f>VLOOKUP(GJ32,'TABEL KONVERSI'!$A$3:$D$7,4)</f>
        <v>-</v>
      </c>
      <c r="GN32" s="38" t="str">
        <f t="shared" si="97"/>
        <v>-</v>
      </c>
      <c r="GO32" s="38" t="str">
        <f>VLOOKUP(GK32,'TABEL KONVERSI'!$A$3:$D$7,4)</f>
        <v>-</v>
      </c>
      <c r="GP32" s="43">
        <f t="shared" si="0"/>
        <v>0</v>
      </c>
      <c r="GQ32" s="43">
        <f t="shared" si="1"/>
        <v>0</v>
      </c>
      <c r="GR32" s="43">
        <f t="shared" si="2"/>
        <v>0</v>
      </c>
      <c r="GS32" s="43">
        <f t="shared" si="3"/>
        <v>0</v>
      </c>
      <c r="GT32" s="43">
        <f t="shared" si="4"/>
        <v>0</v>
      </c>
      <c r="GU32" s="43">
        <f t="shared" si="5"/>
        <v>0</v>
      </c>
      <c r="GV32" s="43">
        <f t="shared" si="6"/>
        <v>0</v>
      </c>
      <c r="GW32" s="43">
        <f t="shared" si="7"/>
        <v>0</v>
      </c>
      <c r="GX32" s="43">
        <f t="shared" si="8"/>
        <v>0</v>
      </c>
      <c r="GY32" s="43">
        <f t="shared" si="9"/>
        <v>0</v>
      </c>
      <c r="GZ32" s="43">
        <f t="shared" si="10"/>
        <v>0</v>
      </c>
      <c r="HA32" s="43">
        <f t="shared" si="11"/>
        <v>0</v>
      </c>
      <c r="HB32" s="43">
        <f t="shared" si="12"/>
        <v>0</v>
      </c>
      <c r="HC32" s="43">
        <f t="shared" si="13"/>
        <v>0</v>
      </c>
      <c r="HD32" s="43">
        <f t="shared" si="14"/>
        <v>0</v>
      </c>
      <c r="HE32" s="43">
        <f t="shared" si="15"/>
        <v>0</v>
      </c>
      <c r="HF32" s="38">
        <f t="shared" si="98"/>
        <v>0</v>
      </c>
      <c r="HG32" s="38">
        <f t="shared" si="99"/>
        <v>0</v>
      </c>
      <c r="HH32" s="38">
        <f t="shared" si="100"/>
        <v>0</v>
      </c>
      <c r="HI32" s="39">
        <f t="shared" si="101"/>
        <v>0</v>
      </c>
      <c r="HJ32" s="44" t="str">
        <f t="shared" si="102"/>
        <v>-</v>
      </c>
      <c r="HK32" s="45" t="str">
        <f>VLOOKUP(HJ32,'TABEL KONVERSI'!$B$11:$D$15,2,0)</f>
        <v>-</v>
      </c>
      <c r="HL32" s="43">
        <f t="shared" si="16"/>
        <v>0</v>
      </c>
      <c r="HM32" s="43">
        <f t="shared" si="17"/>
        <v>0</v>
      </c>
      <c r="HN32" s="43">
        <f t="shared" si="18"/>
        <v>0</v>
      </c>
      <c r="HO32" s="43">
        <f t="shared" si="19"/>
        <v>0</v>
      </c>
      <c r="HP32" s="43">
        <f t="shared" si="20"/>
        <v>0</v>
      </c>
      <c r="HQ32" s="43">
        <f t="shared" si="21"/>
        <v>0</v>
      </c>
      <c r="HR32" s="43">
        <f t="shared" si="22"/>
        <v>0</v>
      </c>
      <c r="HS32" s="43">
        <f t="shared" si="23"/>
        <v>0</v>
      </c>
      <c r="HT32" s="43">
        <f t="shared" si="24"/>
        <v>0</v>
      </c>
      <c r="HU32" s="43">
        <f t="shared" si="25"/>
        <v>0</v>
      </c>
      <c r="HV32" s="43">
        <f t="shared" si="26"/>
        <v>0</v>
      </c>
      <c r="HW32" s="43">
        <f t="shared" si="27"/>
        <v>0</v>
      </c>
      <c r="HX32" s="43">
        <f t="shared" si="28"/>
        <v>0</v>
      </c>
      <c r="HY32" s="43">
        <f t="shared" si="29"/>
        <v>0</v>
      </c>
      <c r="HZ32" s="43">
        <f t="shared" si="30"/>
        <v>0</v>
      </c>
      <c r="IA32" s="43">
        <f t="shared" si="31"/>
        <v>0</v>
      </c>
      <c r="IB32" s="38">
        <f t="shared" si="103"/>
        <v>0</v>
      </c>
      <c r="IC32" s="38">
        <f t="shared" si="104"/>
        <v>0</v>
      </c>
      <c r="ID32" s="38">
        <f t="shared" si="105"/>
        <v>0</v>
      </c>
      <c r="IE32" s="38">
        <f t="shared" si="106"/>
        <v>0</v>
      </c>
      <c r="IF32" s="46" t="str">
        <f t="shared" si="107"/>
        <v>-</v>
      </c>
      <c r="IG32" s="45" t="str">
        <f>VLOOKUP(IF32,'TABEL KONVERSI'!$B$11:$D$15,3,0)</f>
        <v>-</v>
      </c>
      <c r="IH32" s="40" t="s">
        <v>223</v>
      </c>
      <c r="II32" s="41" t="s">
        <v>106</v>
      </c>
      <c r="IJ32" s="45" t="str">
        <f>IF(II32&lt;&gt;"",VLOOKUP(II32,'TABEL KONVERSI'!$A$19:$B$23,2,0),"")</f>
        <v>Aktif dalam mengikuti kegiatan</v>
      </c>
      <c r="IK32" s="47" t="s">
        <v>58</v>
      </c>
      <c r="IL32" s="50" t="s">
        <v>58</v>
      </c>
      <c r="IM32" s="45" t="str">
        <f>IF(IL32&lt;&gt;"",VLOOKUP(IL32,'TABEL KONVERSI'!$A$19:$B$23,2,0),"")</f>
        <v>-</v>
      </c>
      <c r="IN32" s="49" t="s">
        <v>58</v>
      </c>
      <c r="IO32" s="48" t="s">
        <v>58</v>
      </c>
      <c r="IP32" s="45" t="str">
        <f>IF(IO32&lt;&gt;"",VLOOKUP(IO32,'TABEL KONVERSI'!$A$19:$B$23,2,0),"")</f>
        <v>-</v>
      </c>
      <c r="IQ32" s="49" t="s">
        <v>58</v>
      </c>
      <c r="IR32" s="50" t="s">
        <v>58</v>
      </c>
      <c r="IS32" s="45" t="str">
        <f>IF(IR32&lt;&gt;"",VLOOKUP(IR32,'TABEL KONVERSI'!$A$19:$B$23,2,0),"")</f>
        <v>-</v>
      </c>
      <c r="IT32" s="49" t="s">
        <v>58</v>
      </c>
      <c r="IU32" s="50" t="s">
        <v>58</v>
      </c>
      <c r="IV32" s="45" t="str">
        <f>IF(IU32&lt;&gt;"",VLOOKUP(IU32,'TABEL KONVERSI'!$A$19:$B$23,2,0),"")</f>
        <v>-</v>
      </c>
      <c r="IW32" s="48" t="s">
        <v>58</v>
      </c>
      <c r="IX32" s="48" t="s">
        <v>58</v>
      </c>
      <c r="IY32" s="48" t="s">
        <v>58</v>
      </c>
      <c r="IZ32" s="47" t="s">
        <v>58</v>
      </c>
      <c r="JA32" s="45">
        <f t="shared" si="32"/>
        <v>0</v>
      </c>
      <c r="JB32" s="45">
        <f t="shared" si="33"/>
        <v>1</v>
      </c>
    </row>
    <row r="33" spans="1:262" x14ac:dyDescent="0.25">
      <c r="A33" s="33">
        <v>21</v>
      </c>
      <c r="B33" s="51"/>
      <c r="C33" s="51"/>
      <c r="D33" s="77"/>
      <c r="E33" s="52"/>
      <c r="F33" s="42"/>
      <c r="G33" s="37"/>
      <c r="H33" s="73"/>
      <c r="I33" s="73"/>
      <c r="J33" s="38" t="str">
        <f t="shared" si="34"/>
        <v/>
      </c>
      <c r="K33" s="38" t="str">
        <f t="shared" si="35"/>
        <v/>
      </c>
      <c r="L33" s="38" t="str">
        <f>IF(J33&lt;&gt;"",IF(AND(J33&gt;='TABEL KONVERSI'!$B$3,'ENTRY DATA'!J33&lt;='TABEL KONVERSI'!$C$3),1,IF(AND(J33&gt;='TABEL KONVERSI'!$B$4,'ENTRY DATA'!J33&lt;='TABEL KONVERSI'!$C$4),2,IF(AND(J33&gt;='TABEL KONVERSI'!$B$5,'ENTRY DATA'!J33&lt;='TABEL KONVERSI'!$C$5),3,IF(AND(J33&gt;='TABEL KONVERSI'!$B$6,'ENTRY DATA'!J33&lt;='TABEL KONVERSI'!$C$6),4,"")))),"-")</f>
        <v>-</v>
      </c>
      <c r="M33" s="38" t="str">
        <f>IF(K33&lt;&gt;"",IF(AND(K33&gt;='TABEL KONVERSI'!$B$3,'ENTRY DATA'!K33&lt;='TABEL KONVERSI'!$C$3),1,IF(AND(K33&gt;='TABEL KONVERSI'!$B$4,'ENTRY DATA'!K33&lt;='TABEL KONVERSI'!$C$4),2,IF(AND(K33&gt;='TABEL KONVERSI'!$B$5,'ENTRY DATA'!K33&lt;='TABEL KONVERSI'!$C$5),3,IF(AND(K33&gt;='TABEL KONVERSI'!$B$6,'ENTRY DATA'!K33&lt;='TABEL KONVERSI'!$C$6),4,"")))),"-")</f>
        <v>-</v>
      </c>
      <c r="N33" s="38" t="str">
        <f t="shared" si="36"/>
        <v>-</v>
      </c>
      <c r="O33" s="38" t="str">
        <f>VLOOKUP(L33,'TABEL KONVERSI'!$A$3:$D$7,4)</f>
        <v>-</v>
      </c>
      <c r="P33" s="38" t="str">
        <f t="shared" si="37"/>
        <v>-</v>
      </c>
      <c r="Q33" s="38" t="str">
        <f>VLOOKUP(M33,'TABEL KONVERSI'!$A$3:$D$7,4)</f>
        <v>-</v>
      </c>
      <c r="R33" s="42"/>
      <c r="S33" s="37"/>
      <c r="T33" s="73"/>
      <c r="U33" s="73"/>
      <c r="V33" s="38" t="str">
        <f t="shared" si="38"/>
        <v/>
      </c>
      <c r="W33" s="38" t="str">
        <f t="shared" si="39"/>
        <v/>
      </c>
      <c r="X33" s="38" t="str">
        <f>IF(V33&lt;&gt;"",IF(AND(V33&gt;='TABEL KONVERSI'!$B$3,'ENTRY DATA'!V33&lt;='TABEL KONVERSI'!$C$3),1,IF(AND(V33&gt;='TABEL KONVERSI'!$B$4,'ENTRY DATA'!V33&lt;='TABEL KONVERSI'!$C$4),2,IF(AND(V33&gt;='TABEL KONVERSI'!$B$5,'ENTRY DATA'!V33&lt;='TABEL KONVERSI'!$C$5),3,IF(AND(V33&gt;='TABEL KONVERSI'!$B$6,'ENTRY DATA'!V33&lt;='TABEL KONVERSI'!$C$6),4,"")))),"-")</f>
        <v>-</v>
      </c>
      <c r="Y33" s="38" t="str">
        <f>IF(W33&lt;&gt;"",IF(AND(W33&gt;='TABEL KONVERSI'!$B$3,'ENTRY DATA'!W33&lt;='TABEL KONVERSI'!$C$3),1,IF(AND(W33&gt;='TABEL KONVERSI'!$B$4,'ENTRY DATA'!W33&lt;='TABEL KONVERSI'!$C$4),2,IF(AND(W33&gt;='TABEL KONVERSI'!$B$5,'ENTRY DATA'!W33&lt;='TABEL KONVERSI'!$C$5),3,IF(AND(W33&gt;='TABEL KONVERSI'!$B$6,'ENTRY DATA'!W33&lt;='TABEL KONVERSI'!$C$6),4,"")))),"-")</f>
        <v>-</v>
      </c>
      <c r="Z33" s="38" t="str">
        <f t="shared" si="40"/>
        <v>-</v>
      </c>
      <c r="AA33" s="38" t="str">
        <f>VLOOKUP(X33,'TABEL KONVERSI'!$A$3:$D$7,4)</f>
        <v>-</v>
      </c>
      <c r="AB33" s="38" t="str">
        <f t="shared" si="41"/>
        <v>-</v>
      </c>
      <c r="AC33" s="38" t="str">
        <f>VLOOKUP(Y33,'TABEL KONVERSI'!$A$3:$D$7,4)</f>
        <v>-</v>
      </c>
      <c r="AD33" s="42"/>
      <c r="AE33" s="37"/>
      <c r="AF33" s="73"/>
      <c r="AG33" s="73"/>
      <c r="AH33" s="38" t="str">
        <f t="shared" si="42"/>
        <v/>
      </c>
      <c r="AI33" s="38" t="str">
        <f t="shared" si="43"/>
        <v/>
      </c>
      <c r="AJ33" s="38" t="str">
        <f>IF(AH33&lt;&gt;"",IF(AND(AH33&gt;='TABEL KONVERSI'!$B$3,'ENTRY DATA'!AH33&lt;='TABEL KONVERSI'!$C$3),1,IF(AND(AH33&gt;='TABEL KONVERSI'!$B$4,'ENTRY DATA'!AH33&lt;='TABEL KONVERSI'!$C$4),2,IF(AND(AH33&gt;='TABEL KONVERSI'!$B$5,'ENTRY DATA'!AH33&lt;='TABEL KONVERSI'!$C$5),3,IF(AND(AH33&gt;='TABEL KONVERSI'!$B$6,'ENTRY DATA'!AH33&lt;='TABEL KONVERSI'!$C$6),4,"")))),"-")</f>
        <v>-</v>
      </c>
      <c r="AK33" s="38" t="str">
        <f>IF(AI33&lt;&gt;"",IF(AND(AI33&gt;='TABEL KONVERSI'!$B$3,'ENTRY DATA'!AI33&lt;='TABEL KONVERSI'!$C$3),1,IF(AND(AI33&gt;='TABEL KONVERSI'!$B$4,'ENTRY DATA'!AI33&lt;='TABEL KONVERSI'!$C$4),2,IF(AND(AI33&gt;='TABEL KONVERSI'!$B$5,'ENTRY DATA'!AI33&lt;='TABEL KONVERSI'!$C$5),3,IF(AND(AI33&gt;='TABEL KONVERSI'!$B$6,'ENTRY DATA'!AI33&lt;='TABEL KONVERSI'!$C$6),4,"")))),"-")</f>
        <v>-</v>
      </c>
      <c r="AL33" s="38" t="str">
        <f t="shared" si="44"/>
        <v>-</v>
      </c>
      <c r="AM33" s="38" t="str">
        <f>VLOOKUP(AJ33,'TABEL KONVERSI'!$A$3:$D$7,4)</f>
        <v>-</v>
      </c>
      <c r="AN33" s="38" t="str">
        <f t="shared" si="45"/>
        <v>-</v>
      </c>
      <c r="AO33" s="38" t="str">
        <f>VLOOKUP(AK33,'TABEL KONVERSI'!$A$3:$D$7,4)</f>
        <v>-</v>
      </c>
      <c r="AP33" s="42"/>
      <c r="AQ33" s="37"/>
      <c r="AR33" s="73"/>
      <c r="AS33" s="73"/>
      <c r="AT33" s="38" t="str">
        <f t="shared" si="46"/>
        <v/>
      </c>
      <c r="AU33" s="38" t="str">
        <f t="shared" si="47"/>
        <v/>
      </c>
      <c r="AV33" s="38" t="str">
        <f>IF(AT33&lt;&gt;"",IF(AND(AT33&gt;='TABEL KONVERSI'!$B$3,'ENTRY DATA'!AT33&lt;='TABEL KONVERSI'!$C$3),1,IF(AND(AT33&gt;='TABEL KONVERSI'!$B$4,'ENTRY DATA'!AT33&lt;='TABEL KONVERSI'!$C$4),2,IF(AND(AT33&gt;='TABEL KONVERSI'!$B$5,'ENTRY DATA'!AT33&lt;='TABEL KONVERSI'!$C$5),3,IF(AND(AT33&gt;='TABEL KONVERSI'!$B$6,'ENTRY DATA'!AT33&lt;='TABEL KONVERSI'!$C$6),4,"")))),"-")</f>
        <v>-</v>
      </c>
      <c r="AW33" s="38" t="str">
        <f>IF(AU33&lt;&gt;"",IF(AND(AU33&gt;='TABEL KONVERSI'!$B$3,'ENTRY DATA'!AU33&lt;='TABEL KONVERSI'!$C$3),1,IF(AND(AU33&gt;='TABEL KONVERSI'!$B$4,'ENTRY DATA'!AU33&lt;='TABEL KONVERSI'!$C$4),2,IF(AND(AU33&gt;='TABEL KONVERSI'!$B$5,'ENTRY DATA'!AU33&lt;='TABEL KONVERSI'!$C$5),3,IF(AND(AU33&gt;='TABEL KONVERSI'!$B$6,'ENTRY DATA'!AU33&lt;='TABEL KONVERSI'!$C$6),4,"")))),"-")</f>
        <v>-</v>
      </c>
      <c r="AX33" s="38" t="str">
        <f t="shared" si="48"/>
        <v>-</v>
      </c>
      <c r="AY33" s="38" t="str">
        <f>VLOOKUP(AV33,'TABEL KONVERSI'!$A$3:$D$7,4)</f>
        <v>-</v>
      </c>
      <c r="AZ33" s="38" t="str">
        <f t="shared" si="49"/>
        <v>-</v>
      </c>
      <c r="BA33" s="38" t="str">
        <f>VLOOKUP(AW33,'TABEL KONVERSI'!$A$3:$D$7,4)</f>
        <v>-</v>
      </c>
      <c r="BB33" s="42"/>
      <c r="BC33" s="37"/>
      <c r="BD33" s="73"/>
      <c r="BE33" s="73"/>
      <c r="BF33" s="38" t="str">
        <f t="shared" si="50"/>
        <v/>
      </c>
      <c r="BG33" s="38" t="str">
        <f t="shared" si="51"/>
        <v/>
      </c>
      <c r="BH33" s="38" t="str">
        <f>IF(BF33&lt;&gt;"",IF(AND(BF33&gt;='TABEL KONVERSI'!$B$3,'ENTRY DATA'!BF33&lt;='TABEL KONVERSI'!$C$3),1,IF(AND(BF33&gt;='TABEL KONVERSI'!$B$4,'ENTRY DATA'!BF33&lt;='TABEL KONVERSI'!$C$4),2,IF(AND(BF33&gt;='TABEL KONVERSI'!$B$5,'ENTRY DATA'!BF33&lt;='TABEL KONVERSI'!$C$5),3,IF(AND(BF33&gt;='TABEL KONVERSI'!$B$6,'ENTRY DATA'!BF33&lt;='TABEL KONVERSI'!$C$6),4,"")))),"-")</f>
        <v>-</v>
      </c>
      <c r="BI33" s="38" t="str">
        <f>IF(BG33&lt;&gt;"",IF(AND(BG33&gt;='TABEL KONVERSI'!$B$3,'ENTRY DATA'!BG33&lt;='TABEL KONVERSI'!$C$3),1,IF(AND(BG33&gt;='TABEL KONVERSI'!$B$4,'ENTRY DATA'!BG33&lt;='TABEL KONVERSI'!$C$4),2,IF(AND(BG33&gt;='TABEL KONVERSI'!$B$5,'ENTRY DATA'!BG33&lt;='TABEL KONVERSI'!$C$5),3,IF(AND(BG33&gt;='TABEL KONVERSI'!$B$6,'ENTRY DATA'!BG33&lt;='TABEL KONVERSI'!$C$6),4,"")))),"-")</f>
        <v>-</v>
      </c>
      <c r="BJ33" s="38" t="str">
        <f t="shared" si="52"/>
        <v>-</v>
      </c>
      <c r="BK33" s="38" t="str">
        <f>VLOOKUP(BH33,'TABEL KONVERSI'!$A$3:$D$7,4)</f>
        <v>-</v>
      </c>
      <c r="BL33" s="38" t="str">
        <f t="shared" si="53"/>
        <v>-</v>
      </c>
      <c r="BM33" s="38" t="str">
        <f>VLOOKUP(BI33,'TABEL KONVERSI'!$A$3:$D$7,4)</f>
        <v>-</v>
      </c>
      <c r="BN33" s="42"/>
      <c r="BO33" s="37"/>
      <c r="BP33" s="73"/>
      <c r="BQ33" s="73"/>
      <c r="BR33" s="38" t="str">
        <f t="shared" si="54"/>
        <v/>
      </c>
      <c r="BS33" s="38" t="str">
        <f t="shared" si="55"/>
        <v/>
      </c>
      <c r="BT33" s="38" t="str">
        <f>IF(BR33&lt;&gt;"",IF(AND(BR33&gt;='TABEL KONVERSI'!$B$3,'ENTRY DATA'!BR33&lt;='TABEL KONVERSI'!$C$3),1,IF(AND(BR33&gt;='TABEL KONVERSI'!$B$4,'ENTRY DATA'!BR33&lt;='TABEL KONVERSI'!$C$4),2,IF(AND(BR33&gt;='TABEL KONVERSI'!$B$5,'ENTRY DATA'!BR33&lt;='TABEL KONVERSI'!$C$5),3,IF(AND(BR33&gt;='TABEL KONVERSI'!$B$6,'ENTRY DATA'!BR33&lt;='TABEL KONVERSI'!$C$6),4,"")))),"-")</f>
        <v>-</v>
      </c>
      <c r="BU33" s="38" t="str">
        <f>IF(BS33&lt;&gt;"",IF(AND(BS33&gt;='TABEL KONVERSI'!$B$3,'ENTRY DATA'!BS33&lt;='TABEL KONVERSI'!$C$3),1,IF(AND(BS33&gt;='TABEL KONVERSI'!$B$4,'ENTRY DATA'!BS33&lt;='TABEL KONVERSI'!$C$4),2,IF(AND(BS33&gt;='TABEL KONVERSI'!$B$5,'ENTRY DATA'!BS33&lt;='TABEL KONVERSI'!$C$5),3,IF(AND(BS33&gt;='TABEL KONVERSI'!$B$6,'ENTRY DATA'!BS33&lt;='TABEL KONVERSI'!$C$6),4,"")))),"-")</f>
        <v>-</v>
      </c>
      <c r="BV33" s="38" t="str">
        <f t="shared" si="56"/>
        <v>-</v>
      </c>
      <c r="BW33" s="38" t="str">
        <f>VLOOKUP(BT33,'TABEL KONVERSI'!$A$3:$D$7,4)</f>
        <v>-</v>
      </c>
      <c r="BX33" s="38" t="str">
        <f t="shared" si="57"/>
        <v>-</v>
      </c>
      <c r="BY33" s="38" t="str">
        <f>VLOOKUP(BU33,'TABEL KONVERSI'!$A$3:$D$7,4)</f>
        <v>-</v>
      </c>
      <c r="BZ33" s="42"/>
      <c r="CA33" s="37"/>
      <c r="CB33" s="73"/>
      <c r="CC33" s="73"/>
      <c r="CD33" s="38" t="str">
        <f t="shared" si="58"/>
        <v/>
      </c>
      <c r="CE33" s="38" t="str">
        <f t="shared" si="59"/>
        <v/>
      </c>
      <c r="CF33" s="38" t="str">
        <f>IF(CD33&lt;&gt;"",IF(AND(CD33&gt;='TABEL KONVERSI'!$B$3,'ENTRY DATA'!CD33&lt;='TABEL KONVERSI'!$C$3),1,IF(AND(CD33&gt;='TABEL KONVERSI'!$B$4,'ENTRY DATA'!CD33&lt;='TABEL KONVERSI'!$C$4),2,IF(AND(CD33&gt;='TABEL KONVERSI'!$B$5,'ENTRY DATA'!CD33&lt;='TABEL KONVERSI'!$C$5),3,IF(AND(CD33&gt;='TABEL KONVERSI'!$B$6,'ENTRY DATA'!CD33&lt;='TABEL KONVERSI'!$C$6),4,"")))),"-")</f>
        <v>-</v>
      </c>
      <c r="CG33" s="38" t="str">
        <f>IF(CE33&lt;&gt;"",IF(AND(CE33&gt;='TABEL KONVERSI'!$B$3,'ENTRY DATA'!CE33&lt;='TABEL KONVERSI'!$C$3),1,IF(AND(CE33&gt;='TABEL KONVERSI'!$B$4,'ENTRY DATA'!CE33&lt;='TABEL KONVERSI'!$C$4),2,IF(AND(CE33&gt;='TABEL KONVERSI'!$B$5,'ENTRY DATA'!CE33&lt;='TABEL KONVERSI'!$C$5),3,IF(AND(CE33&gt;='TABEL KONVERSI'!$B$6,'ENTRY DATA'!CE33&lt;='TABEL KONVERSI'!$C$6),4,"")))),"-")</f>
        <v>-</v>
      </c>
      <c r="CH33" s="38" t="str">
        <f t="shared" si="60"/>
        <v>-</v>
      </c>
      <c r="CI33" s="38" t="str">
        <f>VLOOKUP(CF33,'TABEL KONVERSI'!$A$3:$D$7,4)</f>
        <v>-</v>
      </c>
      <c r="CJ33" s="38" t="str">
        <f t="shared" si="61"/>
        <v>-</v>
      </c>
      <c r="CK33" s="38" t="str">
        <f>VLOOKUP(CG33,'TABEL KONVERSI'!$A$3:$D$7,4)</f>
        <v>-</v>
      </c>
      <c r="CL33" s="42"/>
      <c r="CM33" s="37"/>
      <c r="CN33" s="73"/>
      <c r="CO33" s="73"/>
      <c r="CP33" s="38" t="str">
        <f t="shared" si="62"/>
        <v/>
      </c>
      <c r="CQ33" s="38" t="str">
        <f t="shared" si="63"/>
        <v/>
      </c>
      <c r="CR33" s="38" t="str">
        <f>IF(CP33&lt;&gt;"",IF(AND(CP33&gt;='TABEL KONVERSI'!$B$3,'ENTRY DATA'!CP33&lt;='TABEL KONVERSI'!$C$3),1,IF(AND(CP33&gt;='TABEL KONVERSI'!$B$4,'ENTRY DATA'!CP33&lt;='TABEL KONVERSI'!$C$4),2,IF(AND(CP33&gt;='TABEL KONVERSI'!$B$5,'ENTRY DATA'!CP33&lt;='TABEL KONVERSI'!$C$5),3,IF(AND(CP33&gt;='TABEL KONVERSI'!$B$6,'ENTRY DATA'!CP33&lt;='TABEL KONVERSI'!$C$6),4,"")))),"-")</f>
        <v>-</v>
      </c>
      <c r="CS33" s="38" t="str">
        <f>IF(CQ33&lt;&gt;"",IF(AND(CQ33&gt;='TABEL KONVERSI'!$B$3,'ENTRY DATA'!CQ33&lt;='TABEL KONVERSI'!$C$3),1,IF(AND(CQ33&gt;='TABEL KONVERSI'!$B$4,'ENTRY DATA'!CQ33&lt;='TABEL KONVERSI'!$C$4),2,IF(AND(CQ33&gt;='TABEL KONVERSI'!$B$5,'ENTRY DATA'!CQ33&lt;='TABEL KONVERSI'!$C$5),3,IF(AND(CQ33&gt;='TABEL KONVERSI'!$B$6,'ENTRY DATA'!CQ33&lt;='TABEL KONVERSI'!$C$6),4,"")))),"-")</f>
        <v>-</v>
      </c>
      <c r="CT33" s="38" t="str">
        <f t="shared" si="64"/>
        <v>-</v>
      </c>
      <c r="CU33" s="38" t="str">
        <f>VLOOKUP(CR33,'TABEL KONVERSI'!$A$3:$D$7,4)</f>
        <v>-</v>
      </c>
      <c r="CV33" s="38" t="str">
        <f t="shared" si="65"/>
        <v>-</v>
      </c>
      <c r="CW33" s="38" t="str">
        <f>VLOOKUP(CS33,'TABEL KONVERSI'!$A$3:$D$7,4)</f>
        <v>-</v>
      </c>
      <c r="CX33" s="42"/>
      <c r="CY33" s="37"/>
      <c r="CZ33" s="73"/>
      <c r="DA33" s="73"/>
      <c r="DB33" s="38" t="str">
        <f t="shared" si="66"/>
        <v/>
      </c>
      <c r="DC33" s="38" t="str">
        <f t="shared" si="67"/>
        <v/>
      </c>
      <c r="DD33" s="38" t="str">
        <f>IF(DB33&lt;&gt;"",IF(AND(DB33&gt;='TABEL KONVERSI'!$B$3,'ENTRY DATA'!DB33&lt;='TABEL KONVERSI'!$C$3),1,IF(AND(DB33&gt;='TABEL KONVERSI'!$B$4,'ENTRY DATA'!DB33&lt;='TABEL KONVERSI'!$C$4),2,IF(AND(DB33&gt;='TABEL KONVERSI'!$B$5,'ENTRY DATA'!DB33&lt;='TABEL KONVERSI'!$C$5),3,IF(AND(DB33&gt;='TABEL KONVERSI'!$B$6,'ENTRY DATA'!DB33&lt;='TABEL KONVERSI'!$C$6),4,"")))),"-")</f>
        <v>-</v>
      </c>
      <c r="DE33" s="38" t="str">
        <f>IF(DC33&lt;&gt;"",IF(AND(DC33&gt;='TABEL KONVERSI'!$B$3,'ENTRY DATA'!DC33&lt;='TABEL KONVERSI'!$C$3),1,IF(AND(DC33&gt;='TABEL KONVERSI'!$B$4,'ENTRY DATA'!DC33&lt;='TABEL KONVERSI'!$C$4),2,IF(AND(DC33&gt;='TABEL KONVERSI'!$B$5,'ENTRY DATA'!DC33&lt;='TABEL KONVERSI'!$C$5),3,IF(AND(DC33&gt;='TABEL KONVERSI'!$B$6,'ENTRY DATA'!DC33&lt;='TABEL KONVERSI'!$C$6),4,"")))),"-")</f>
        <v>-</v>
      </c>
      <c r="DF33" s="38" t="str">
        <f t="shared" si="68"/>
        <v>-</v>
      </c>
      <c r="DG33" s="38" t="str">
        <f>VLOOKUP(DD33,'TABEL KONVERSI'!$A$3:$D$7,4)</f>
        <v>-</v>
      </c>
      <c r="DH33" s="38" t="str">
        <f t="shared" si="69"/>
        <v>-</v>
      </c>
      <c r="DI33" s="38" t="str">
        <f>VLOOKUP(DE33,'TABEL KONVERSI'!$A$3:$D$7,4)</f>
        <v>-</v>
      </c>
      <c r="DJ33" s="42"/>
      <c r="DK33" s="37"/>
      <c r="DL33" s="73"/>
      <c r="DM33" s="73"/>
      <c r="DN33" s="38" t="str">
        <f t="shared" si="70"/>
        <v/>
      </c>
      <c r="DO33" s="38" t="str">
        <f t="shared" si="71"/>
        <v/>
      </c>
      <c r="DP33" s="38" t="str">
        <f>IF(DN33&lt;&gt;"",IF(AND(DN33&gt;='TABEL KONVERSI'!$B$3,'ENTRY DATA'!DN33&lt;='TABEL KONVERSI'!$C$3),1,IF(AND(DN33&gt;='TABEL KONVERSI'!$B$4,'ENTRY DATA'!DN33&lt;='TABEL KONVERSI'!$C$4),2,IF(AND(DN33&gt;='TABEL KONVERSI'!$B$5,'ENTRY DATA'!DN33&lt;='TABEL KONVERSI'!$C$5),3,IF(AND(DN33&gt;='TABEL KONVERSI'!$B$6,'ENTRY DATA'!DN33&lt;='TABEL KONVERSI'!$C$6),4,"")))),"-")</f>
        <v>-</v>
      </c>
      <c r="DQ33" s="38" t="str">
        <f>IF(DO33&lt;&gt;"",IF(AND(DO33&gt;='TABEL KONVERSI'!$B$3,'ENTRY DATA'!DO33&lt;='TABEL KONVERSI'!$C$3),1,IF(AND(DO33&gt;='TABEL KONVERSI'!$B$4,'ENTRY DATA'!DO33&lt;='TABEL KONVERSI'!$C$4),2,IF(AND(DO33&gt;='TABEL KONVERSI'!$B$5,'ENTRY DATA'!DO33&lt;='TABEL KONVERSI'!$C$5),3,IF(AND(DO33&gt;='TABEL KONVERSI'!$B$6,'ENTRY DATA'!DO33&lt;='TABEL KONVERSI'!$C$6),4,"")))),"-")</f>
        <v>-</v>
      </c>
      <c r="DR33" s="38" t="str">
        <f t="shared" si="72"/>
        <v>-</v>
      </c>
      <c r="DS33" s="38" t="str">
        <f>VLOOKUP(DP33,'TABEL KONVERSI'!$A$3:$D$7,4)</f>
        <v>-</v>
      </c>
      <c r="DT33" s="38" t="str">
        <f t="shared" si="73"/>
        <v>-</v>
      </c>
      <c r="DU33" s="38" t="str">
        <f>VLOOKUP(DQ33,'TABEL KONVERSI'!$A$3:$D$7,4)</f>
        <v>-</v>
      </c>
      <c r="DV33" s="42"/>
      <c r="DW33" s="37"/>
      <c r="DX33" s="73"/>
      <c r="DY33" s="73"/>
      <c r="DZ33" s="38" t="str">
        <f t="shared" si="74"/>
        <v/>
      </c>
      <c r="EA33" s="38" t="str">
        <f t="shared" si="75"/>
        <v/>
      </c>
      <c r="EB33" s="38" t="str">
        <f>IF(DZ33&lt;&gt;"",IF(AND(DZ33&gt;='TABEL KONVERSI'!$B$3,'ENTRY DATA'!DZ33&lt;='TABEL KONVERSI'!$C$3),1,IF(AND(DZ33&gt;='TABEL KONVERSI'!$B$4,'ENTRY DATA'!DZ33&lt;='TABEL KONVERSI'!$C$4),2,IF(AND(DZ33&gt;='TABEL KONVERSI'!$B$5,'ENTRY DATA'!DZ33&lt;='TABEL KONVERSI'!$C$5),3,IF(AND(DZ33&gt;='TABEL KONVERSI'!$B$6,'ENTRY DATA'!DZ33&lt;='TABEL KONVERSI'!$C$6),4,"")))),"-")</f>
        <v>-</v>
      </c>
      <c r="EC33" s="38" t="str">
        <f>IF(EA33&lt;&gt;"",IF(AND(EA33&gt;='TABEL KONVERSI'!$B$3,'ENTRY DATA'!EA33&lt;='TABEL KONVERSI'!$C$3),1,IF(AND(EA33&gt;='TABEL KONVERSI'!$B$4,'ENTRY DATA'!EA33&lt;='TABEL KONVERSI'!$C$4),2,IF(AND(EA33&gt;='TABEL KONVERSI'!$B$5,'ENTRY DATA'!EA33&lt;='TABEL KONVERSI'!$C$5),3,IF(AND(EA33&gt;='TABEL KONVERSI'!$B$6,'ENTRY DATA'!EA33&lt;='TABEL KONVERSI'!$C$6),4,"")))),"-")</f>
        <v>-</v>
      </c>
      <c r="ED33" s="38" t="str">
        <f t="shared" si="76"/>
        <v>-</v>
      </c>
      <c r="EE33" s="38" t="str">
        <f>VLOOKUP(EB33,'TABEL KONVERSI'!$A$3:$D$7,4)</f>
        <v>-</v>
      </c>
      <c r="EF33" s="38" t="str">
        <f t="shared" si="77"/>
        <v>-</v>
      </c>
      <c r="EG33" s="38" t="str">
        <f>VLOOKUP(EC33,'TABEL KONVERSI'!$A$3:$D$7,4)</f>
        <v>-</v>
      </c>
      <c r="EH33" s="42"/>
      <c r="EI33" s="37"/>
      <c r="EJ33" s="73"/>
      <c r="EK33" s="73"/>
      <c r="EL33" s="38" t="str">
        <f t="shared" si="78"/>
        <v/>
      </c>
      <c r="EM33" s="38" t="str">
        <f t="shared" si="79"/>
        <v/>
      </c>
      <c r="EN33" s="38" t="str">
        <f>IF(EL33&lt;&gt;"",IF(AND(EL33&gt;='TABEL KONVERSI'!$B$3,'ENTRY DATA'!EL33&lt;='TABEL KONVERSI'!$C$3),1,IF(AND(EL33&gt;='TABEL KONVERSI'!$B$4,'ENTRY DATA'!EL33&lt;='TABEL KONVERSI'!$C$4),2,IF(AND(EL33&gt;='TABEL KONVERSI'!$B$5,'ENTRY DATA'!EL33&lt;='TABEL KONVERSI'!$C$5),3,IF(AND(EL33&gt;='TABEL KONVERSI'!$B$6,'ENTRY DATA'!EL33&lt;='TABEL KONVERSI'!$C$6),4,"")))),"-")</f>
        <v>-</v>
      </c>
      <c r="EO33" s="38" t="str">
        <f>IF(EM33&lt;&gt;"",IF(AND(EM33&gt;='TABEL KONVERSI'!$B$3,'ENTRY DATA'!EM33&lt;='TABEL KONVERSI'!$C$3),1,IF(AND(EM33&gt;='TABEL KONVERSI'!$B$4,'ENTRY DATA'!EM33&lt;='TABEL KONVERSI'!$C$4),2,IF(AND(EM33&gt;='TABEL KONVERSI'!$B$5,'ENTRY DATA'!EM33&lt;='TABEL KONVERSI'!$C$5),3,IF(AND(EM33&gt;='TABEL KONVERSI'!$B$6,'ENTRY DATA'!EM33&lt;='TABEL KONVERSI'!$C$6),4,"")))),"-")</f>
        <v>-</v>
      </c>
      <c r="EP33" s="38" t="str">
        <f t="shared" si="80"/>
        <v>-</v>
      </c>
      <c r="EQ33" s="38" t="str">
        <f>VLOOKUP(EN33,'TABEL KONVERSI'!$A$3:$D$7,4)</f>
        <v>-</v>
      </c>
      <c r="ER33" s="38" t="str">
        <f t="shared" si="81"/>
        <v>-</v>
      </c>
      <c r="ES33" s="38" t="str">
        <f>VLOOKUP(EO33,'TABEL KONVERSI'!$A$3:$D$7,4)</f>
        <v>-</v>
      </c>
      <c r="ET33" s="42"/>
      <c r="EU33" s="37"/>
      <c r="EV33" s="73"/>
      <c r="EW33" s="73"/>
      <c r="EX33" s="38" t="str">
        <f t="shared" si="82"/>
        <v/>
      </c>
      <c r="EY33" s="38" t="str">
        <f t="shared" si="83"/>
        <v/>
      </c>
      <c r="EZ33" s="38" t="str">
        <f>IF(EX33&lt;&gt;"",IF(AND(EX33&gt;='TABEL KONVERSI'!$B$3,'ENTRY DATA'!EX33&lt;='TABEL KONVERSI'!$C$3),1,IF(AND(EX33&gt;='TABEL KONVERSI'!$B$4,'ENTRY DATA'!EX33&lt;='TABEL KONVERSI'!$C$4),2,IF(AND(EX33&gt;='TABEL KONVERSI'!$B$5,'ENTRY DATA'!EX33&lt;='TABEL KONVERSI'!$C$5),3,IF(AND(EX33&gt;='TABEL KONVERSI'!$B$6,'ENTRY DATA'!EX33&lt;='TABEL KONVERSI'!$C$6),4,"")))),"-")</f>
        <v>-</v>
      </c>
      <c r="FA33" s="38" t="str">
        <f>IF(EY33&lt;&gt;"",IF(AND(EY33&gt;='TABEL KONVERSI'!$B$3,'ENTRY DATA'!EY33&lt;='TABEL KONVERSI'!$C$3),1,IF(AND(EY33&gt;='TABEL KONVERSI'!$B$4,'ENTRY DATA'!EY33&lt;='TABEL KONVERSI'!$C$4),2,IF(AND(EY33&gt;='TABEL KONVERSI'!$B$5,'ENTRY DATA'!EY33&lt;='TABEL KONVERSI'!$C$5),3,IF(AND(EY33&gt;='TABEL KONVERSI'!$B$6,'ENTRY DATA'!EY33&lt;='TABEL KONVERSI'!$C$6),4,"")))),"-")</f>
        <v>-</v>
      </c>
      <c r="FB33" s="38" t="str">
        <f t="shared" si="84"/>
        <v>-</v>
      </c>
      <c r="FC33" s="38" t="str">
        <f>VLOOKUP(EZ33,'TABEL KONVERSI'!$A$3:$D$7,4)</f>
        <v>-</v>
      </c>
      <c r="FD33" s="38" t="str">
        <f t="shared" si="85"/>
        <v>-</v>
      </c>
      <c r="FE33" s="38" t="str">
        <f>VLOOKUP(FA33,'TABEL KONVERSI'!$A$3:$D$7,4)</f>
        <v>-</v>
      </c>
      <c r="FF33" s="42"/>
      <c r="FG33" s="37"/>
      <c r="FH33" s="73"/>
      <c r="FI33" s="73"/>
      <c r="FJ33" s="38" t="str">
        <f t="shared" si="86"/>
        <v/>
      </c>
      <c r="FK33" s="38" t="str">
        <f t="shared" si="87"/>
        <v/>
      </c>
      <c r="FL33" s="38" t="str">
        <f>IF(FJ33&lt;&gt;"",IF(AND(FJ33&gt;='TABEL KONVERSI'!$B$3,'ENTRY DATA'!FJ33&lt;='TABEL KONVERSI'!$C$3),1,IF(AND(FJ33&gt;='TABEL KONVERSI'!$B$4,'ENTRY DATA'!FJ33&lt;='TABEL KONVERSI'!$C$4),2,IF(AND(FJ33&gt;='TABEL KONVERSI'!$B$5,'ENTRY DATA'!FJ33&lt;='TABEL KONVERSI'!$C$5),3,IF(AND(FJ33&gt;='TABEL KONVERSI'!$B$6,'ENTRY DATA'!FJ33&lt;='TABEL KONVERSI'!$C$6),4,"")))),"-")</f>
        <v>-</v>
      </c>
      <c r="FM33" s="38" t="str">
        <f>IF(FK33&lt;&gt;"",IF(AND(FK33&gt;='TABEL KONVERSI'!$B$3,'ENTRY DATA'!FK33&lt;='TABEL KONVERSI'!$C$3),1,IF(AND(FK33&gt;='TABEL KONVERSI'!$B$4,'ENTRY DATA'!FK33&lt;='TABEL KONVERSI'!$C$4),2,IF(AND(FK33&gt;='TABEL KONVERSI'!$B$5,'ENTRY DATA'!FK33&lt;='TABEL KONVERSI'!$C$5),3,IF(AND(FK33&gt;='TABEL KONVERSI'!$B$6,'ENTRY DATA'!FK33&lt;='TABEL KONVERSI'!$C$6),4,"")))),"-")</f>
        <v>-</v>
      </c>
      <c r="FN33" s="38" t="str">
        <f t="shared" si="88"/>
        <v>-</v>
      </c>
      <c r="FO33" s="38" t="str">
        <f>VLOOKUP(FL33,'TABEL KONVERSI'!$A$3:$D$7,4)</f>
        <v>-</v>
      </c>
      <c r="FP33" s="38" t="str">
        <f t="shared" si="89"/>
        <v>-</v>
      </c>
      <c r="FQ33" s="38" t="str">
        <f>VLOOKUP(FM33,'TABEL KONVERSI'!$A$3:$D$7,4)</f>
        <v>-</v>
      </c>
      <c r="FR33" s="42"/>
      <c r="FS33" s="37"/>
      <c r="FT33" s="73"/>
      <c r="FU33" s="73"/>
      <c r="FV33" s="38" t="str">
        <f t="shared" si="90"/>
        <v/>
      </c>
      <c r="FW33" s="38" t="str">
        <f t="shared" si="91"/>
        <v/>
      </c>
      <c r="FX33" s="38" t="str">
        <f>IF(FV33&lt;&gt;"",IF(AND(FV33&gt;='TABEL KONVERSI'!$B$3,'ENTRY DATA'!FV33&lt;='TABEL KONVERSI'!$C$3),1,IF(AND(FV33&gt;='TABEL KONVERSI'!$B$4,'ENTRY DATA'!FV33&lt;='TABEL KONVERSI'!$C$4),2,IF(AND(FV33&gt;='TABEL KONVERSI'!$B$5,'ENTRY DATA'!FV33&lt;='TABEL KONVERSI'!$C$5),3,IF(AND(FV33&gt;='TABEL KONVERSI'!$B$6,'ENTRY DATA'!FV33&lt;='TABEL KONVERSI'!$C$6),4,"")))),"-")</f>
        <v>-</v>
      </c>
      <c r="FY33" s="38" t="str">
        <f>IF(FW33&lt;&gt;"",IF(AND(FW33&gt;='TABEL KONVERSI'!$B$3,'ENTRY DATA'!FW33&lt;='TABEL KONVERSI'!$C$3),1,IF(AND(FW33&gt;='TABEL KONVERSI'!$B$4,'ENTRY DATA'!FW33&lt;='TABEL KONVERSI'!$C$4),2,IF(AND(FW33&gt;='TABEL KONVERSI'!$B$5,'ENTRY DATA'!FW33&lt;='TABEL KONVERSI'!$C$5),3,IF(AND(FW33&gt;='TABEL KONVERSI'!$B$6,'ENTRY DATA'!FW33&lt;='TABEL KONVERSI'!$C$6),4,"")))),"-")</f>
        <v>-</v>
      </c>
      <c r="FZ33" s="38" t="str">
        <f t="shared" si="92"/>
        <v>-</v>
      </c>
      <c r="GA33" s="38" t="str">
        <f>VLOOKUP(FX33,'TABEL KONVERSI'!$A$3:$D$7,4)</f>
        <v>-</v>
      </c>
      <c r="GB33" s="38" t="str">
        <f t="shared" si="93"/>
        <v>-</v>
      </c>
      <c r="GC33" s="38" t="str">
        <f>VLOOKUP(FY33,'TABEL KONVERSI'!$A$3:$D$7,4)</f>
        <v>-</v>
      </c>
      <c r="GD33" s="42"/>
      <c r="GE33" s="37"/>
      <c r="GF33" s="73"/>
      <c r="GG33" s="73"/>
      <c r="GH33" s="38" t="str">
        <f t="shared" si="94"/>
        <v/>
      </c>
      <c r="GI33" s="38" t="str">
        <f t="shared" si="95"/>
        <v/>
      </c>
      <c r="GJ33" s="38" t="str">
        <f>IF(GH33&lt;&gt;"",IF(AND(GH33&gt;='TABEL KONVERSI'!$B$3,'ENTRY DATA'!GH33&lt;='TABEL KONVERSI'!$C$3),1,IF(AND(GH33&gt;='TABEL KONVERSI'!$B$4,'ENTRY DATA'!GH33&lt;='TABEL KONVERSI'!$C$4),2,IF(AND(GH33&gt;='TABEL KONVERSI'!$B$5,'ENTRY DATA'!GH33&lt;='TABEL KONVERSI'!$C$5),3,IF(AND(GH33&gt;='TABEL KONVERSI'!$B$6,'ENTRY DATA'!GH33&lt;='TABEL KONVERSI'!$C$6),4,"")))),"-")</f>
        <v>-</v>
      </c>
      <c r="GK33" s="38" t="str">
        <f>IF(GI33&lt;&gt;"",IF(AND(GI33&gt;='TABEL KONVERSI'!$B$3,'ENTRY DATA'!GI33&lt;='TABEL KONVERSI'!$C$3),1,IF(AND(GI33&gt;='TABEL KONVERSI'!$B$4,'ENTRY DATA'!GI33&lt;='TABEL KONVERSI'!$C$4),2,IF(AND(GI33&gt;='TABEL KONVERSI'!$B$5,'ENTRY DATA'!GI33&lt;='TABEL KONVERSI'!$C$5),3,IF(AND(GI33&gt;='TABEL KONVERSI'!$B$6,'ENTRY DATA'!GI33&lt;='TABEL KONVERSI'!$C$6),4,"")))),"-")</f>
        <v>-</v>
      </c>
      <c r="GL33" s="38" t="str">
        <f t="shared" si="96"/>
        <v>-</v>
      </c>
      <c r="GM33" s="38" t="str">
        <f>VLOOKUP(GJ33,'TABEL KONVERSI'!$A$3:$D$7,4)</f>
        <v>-</v>
      </c>
      <c r="GN33" s="38" t="str">
        <f t="shared" si="97"/>
        <v>-</v>
      </c>
      <c r="GO33" s="38" t="str">
        <f>VLOOKUP(GK33,'TABEL KONVERSI'!$A$3:$D$7,4)</f>
        <v>-</v>
      </c>
      <c r="GP33" s="43">
        <f t="shared" si="0"/>
        <v>0</v>
      </c>
      <c r="GQ33" s="43">
        <f t="shared" si="1"/>
        <v>0</v>
      </c>
      <c r="GR33" s="43">
        <f t="shared" si="2"/>
        <v>0</v>
      </c>
      <c r="GS33" s="43">
        <f t="shared" si="3"/>
        <v>0</v>
      </c>
      <c r="GT33" s="43">
        <f t="shared" si="4"/>
        <v>0</v>
      </c>
      <c r="GU33" s="43">
        <f t="shared" si="5"/>
        <v>0</v>
      </c>
      <c r="GV33" s="43">
        <f t="shared" si="6"/>
        <v>0</v>
      </c>
      <c r="GW33" s="43">
        <f t="shared" si="7"/>
        <v>0</v>
      </c>
      <c r="GX33" s="43">
        <f t="shared" si="8"/>
        <v>0</v>
      </c>
      <c r="GY33" s="43">
        <f t="shared" si="9"/>
        <v>0</v>
      </c>
      <c r="GZ33" s="43">
        <f t="shared" si="10"/>
        <v>0</v>
      </c>
      <c r="HA33" s="43">
        <f t="shared" si="11"/>
        <v>0</v>
      </c>
      <c r="HB33" s="43">
        <f t="shared" si="12"/>
        <v>0</v>
      </c>
      <c r="HC33" s="43">
        <f t="shared" si="13"/>
        <v>0</v>
      </c>
      <c r="HD33" s="43">
        <f t="shared" si="14"/>
        <v>0</v>
      </c>
      <c r="HE33" s="43">
        <f t="shared" si="15"/>
        <v>0</v>
      </c>
      <c r="HF33" s="38">
        <f t="shared" si="98"/>
        <v>0</v>
      </c>
      <c r="HG33" s="38">
        <f t="shared" si="99"/>
        <v>0</v>
      </c>
      <c r="HH33" s="38">
        <f t="shared" si="100"/>
        <v>0</v>
      </c>
      <c r="HI33" s="39">
        <f t="shared" si="101"/>
        <v>0</v>
      </c>
      <c r="HJ33" s="44" t="str">
        <f t="shared" si="102"/>
        <v>-</v>
      </c>
      <c r="HK33" s="45" t="str">
        <f>VLOOKUP(HJ33,'TABEL KONVERSI'!$B$11:$D$15,2,0)</f>
        <v>-</v>
      </c>
      <c r="HL33" s="43">
        <f t="shared" si="16"/>
        <v>0</v>
      </c>
      <c r="HM33" s="43">
        <f t="shared" si="17"/>
        <v>0</v>
      </c>
      <c r="HN33" s="43">
        <f t="shared" si="18"/>
        <v>0</v>
      </c>
      <c r="HO33" s="43">
        <f t="shared" si="19"/>
        <v>0</v>
      </c>
      <c r="HP33" s="43">
        <f t="shared" si="20"/>
        <v>0</v>
      </c>
      <c r="HQ33" s="43">
        <f t="shared" si="21"/>
        <v>0</v>
      </c>
      <c r="HR33" s="43">
        <f t="shared" si="22"/>
        <v>0</v>
      </c>
      <c r="HS33" s="43">
        <f t="shared" si="23"/>
        <v>0</v>
      </c>
      <c r="HT33" s="43">
        <f t="shared" si="24"/>
        <v>0</v>
      </c>
      <c r="HU33" s="43">
        <f t="shared" si="25"/>
        <v>0</v>
      </c>
      <c r="HV33" s="43">
        <f t="shared" si="26"/>
        <v>0</v>
      </c>
      <c r="HW33" s="43">
        <f t="shared" si="27"/>
        <v>0</v>
      </c>
      <c r="HX33" s="43">
        <f t="shared" si="28"/>
        <v>0</v>
      </c>
      <c r="HY33" s="43">
        <f t="shared" si="29"/>
        <v>0</v>
      </c>
      <c r="HZ33" s="43">
        <f t="shared" si="30"/>
        <v>0</v>
      </c>
      <c r="IA33" s="43">
        <f t="shared" si="31"/>
        <v>0</v>
      </c>
      <c r="IB33" s="38">
        <f t="shared" si="103"/>
        <v>0</v>
      </c>
      <c r="IC33" s="38">
        <f t="shared" si="104"/>
        <v>0</v>
      </c>
      <c r="ID33" s="38">
        <f t="shared" si="105"/>
        <v>0</v>
      </c>
      <c r="IE33" s="38">
        <f t="shared" si="106"/>
        <v>0</v>
      </c>
      <c r="IF33" s="46" t="str">
        <f t="shared" si="107"/>
        <v>-</v>
      </c>
      <c r="IG33" s="45" t="str">
        <f>VLOOKUP(IF33,'TABEL KONVERSI'!$B$11:$D$15,3,0)</f>
        <v>-</v>
      </c>
      <c r="IH33" s="40" t="s">
        <v>223</v>
      </c>
      <c r="II33" s="41" t="s">
        <v>106</v>
      </c>
      <c r="IJ33" s="45" t="str">
        <f>IF(II33&lt;&gt;"",VLOOKUP(II33,'TABEL KONVERSI'!$A$19:$B$23,2,0),"")</f>
        <v>Aktif dalam mengikuti kegiatan</v>
      </c>
      <c r="IK33" s="47" t="s">
        <v>58</v>
      </c>
      <c r="IL33" s="50" t="s">
        <v>58</v>
      </c>
      <c r="IM33" s="45" t="str">
        <f>IF(IL33&lt;&gt;"",VLOOKUP(IL33,'TABEL KONVERSI'!$A$19:$B$23,2,0),"")</f>
        <v>-</v>
      </c>
      <c r="IN33" s="49" t="s">
        <v>58</v>
      </c>
      <c r="IO33" s="48" t="s">
        <v>58</v>
      </c>
      <c r="IP33" s="45" t="str">
        <f>IF(IO33&lt;&gt;"",VLOOKUP(IO33,'TABEL KONVERSI'!$A$19:$B$23,2,0),"")</f>
        <v>-</v>
      </c>
      <c r="IQ33" s="49" t="s">
        <v>58</v>
      </c>
      <c r="IR33" s="50" t="s">
        <v>58</v>
      </c>
      <c r="IS33" s="45" t="str">
        <f>IF(IR33&lt;&gt;"",VLOOKUP(IR33,'TABEL KONVERSI'!$A$19:$B$23,2,0),"")</f>
        <v>-</v>
      </c>
      <c r="IT33" s="49" t="s">
        <v>58</v>
      </c>
      <c r="IU33" s="50" t="s">
        <v>58</v>
      </c>
      <c r="IV33" s="45" t="str">
        <f>IF(IU33&lt;&gt;"",VLOOKUP(IU33,'TABEL KONVERSI'!$A$19:$B$23,2,0),"")</f>
        <v>-</v>
      </c>
      <c r="IW33" s="48" t="s">
        <v>58</v>
      </c>
      <c r="IX33" s="48" t="s">
        <v>58</v>
      </c>
      <c r="IY33" s="48" t="s">
        <v>58</v>
      </c>
      <c r="IZ33" s="47" t="s">
        <v>58</v>
      </c>
      <c r="JA33" s="45">
        <f t="shared" si="32"/>
        <v>0</v>
      </c>
      <c r="JB33" s="45">
        <f t="shared" si="33"/>
        <v>1</v>
      </c>
    </row>
    <row r="34" spans="1:262" x14ac:dyDescent="0.25">
      <c r="A34" s="33">
        <v>22</v>
      </c>
      <c r="B34" s="51"/>
      <c r="C34" s="51"/>
      <c r="D34" s="77"/>
      <c r="E34" s="52"/>
      <c r="F34" s="42"/>
      <c r="G34" s="37"/>
      <c r="H34" s="73"/>
      <c r="I34" s="73"/>
      <c r="J34" s="38" t="str">
        <f t="shared" si="34"/>
        <v/>
      </c>
      <c r="K34" s="38" t="str">
        <f t="shared" si="35"/>
        <v/>
      </c>
      <c r="L34" s="38" t="str">
        <f>IF(J34&lt;&gt;"",IF(AND(J34&gt;='TABEL KONVERSI'!$B$3,'ENTRY DATA'!J34&lt;='TABEL KONVERSI'!$C$3),1,IF(AND(J34&gt;='TABEL KONVERSI'!$B$4,'ENTRY DATA'!J34&lt;='TABEL KONVERSI'!$C$4),2,IF(AND(J34&gt;='TABEL KONVERSI'!$B$5,'ENTRY DATA'!J34&lt;='TABEL KONVERSI'!$C$5),3,IF(AND(J34&gt;='TABEL KONVERSI'!$B$6,'ENTRY DATA'!J34&lt;='TABEL KONVERSI'!$C$6),4,"")))),"-")</f>
        <v>-</v>
      </c>
      <c r="M34" s="38" t="str">
        <f>IF(K34&lt;&gt;"",IF(AND(K34&gt;='TABEL KONVERSI'!$B$3,'ENTRY DATA'!K34&lt;='TABEL KONVERSI'!$C$3),1,IF(AND(K34&gt;='TABEL KONVERSI'!$B$4,'ENTRY DATA'!K34&lt;='TABEL KONVERSI'!$C$4),2,IF(AND(K34&gt;='TABEL KONVERSI'!$B$5,'ENTRY DATA'!K34&lt;='TABEL KONVERSI'!$C$5),3,IF(AND(K34&gt;='TABEL KONVERSI'!$B$6,'ENTRY DATA'!K34&lt;='TABEL KONVERSI'!$C$6),4,"")))),"-")</f>
        <v>-</v>
      </c>
      <c r="N34" s="38" t="str">
        <f t="shared" si="36"/>
        <v>-</v>
      </c>
      <c r="O34" s="38" t="str">
        <f>VLOOKUP(L34,'TABEL KONVERSI'!$A$3:$D$7,4)</f>
        <v>-</v>
      </c>
      <c r="P34" s="38" t="str">
        <f t="shared" si="37"/>
        <v>-</v>
      </c>
      <c r="Q34" s="38" t="str">
        <f>VLOOKUP(M34,'TABEL KONVERSI'!$A$3:$D$7,4)</f>
        <v>-</v>
      </c>
      <c r="R34" s="42"/>
      <c r="S34" s="37"/>
      <c r="T34" s="73"/>
      <c r="U34" s="73"/>
      <c r="V34" s="38" t="str">
        <f t="shared" si="38"/>
        <v/>
      </c>
      <c r="W34" s="38" t="str">
        <f t="shared" si="39"/>
        <v/>
      </c>
      <c r="X34" s="38" t="str">
        <f>IF(V34&lt;&gt;"",IF(AND(V34&gt;='TABEL KONVERSI'!$B$3,'ENTRY DATA'!V34&lt;='TABEL KONVERSI'!$C$3),1,IF(AND(V34&gt;='TABEL KONVERSI'!$B$4,'ENTRY DATA'!V34&lt;='TABEL KONVERSI'!$C$4),2,IF(AND(V34&gt;='TABEL KONVERSI'!$B$5,'ENTRY DATA'!V34&lt;='TABEL KONVERSI'!$C$5),3,IF(AND(V34&gt;='TABEL KONVERSI'!$B$6,'ENTRY DATA'!V34&lt;='TABEL KONVERSI'!$C$6),4,"")))),"-")</f>
        <v>-</v>
      </c>
      <c r="Y34" s="38" t="str">
        <f>IF(W34&lt;&gt;"",IF(AND(W34&gt;='TABEL KONVERSI'!$B$3,'ENTRY DATA'!W34&lt;='TABEL KONVERSI'!$C$3),1,IF(AND(W34&gt;='TABEL KONVERSI'!$B$4,'ENTRY DATA'!W34&lt;='TABEL KONVERSI'!$C$4),2,IF(AND(W34&gt;='TABEL KONVERSI'!$B$5,'ENTRY DATA'!W34&lt;='TABEL KONVERSI'!$C$5),3,IF(AND(W34&gt;='TABEL KONVERSI'!$B$6,'ENTRY DATA'!W34&lt;='TABEL KONVERSI'!$C$6),4,"")))),"-")</f>
        <v>-</v>
      </c>
      <c r="Z34" s="38" t="str">
        <f t="shared" si="40"/>
        <v>-</v>
      </c>
      <c r="AA34" s="38" t="str">
        <f>VLOOKUP(X34,'TABEL KONVERSI'!$A$3:$D$7,4)</f>
        <v>-</v>
      </c>
      <c r="AB34" s="38" t="str">
        <f t="shared" si="41"/>
        <v>-</v>
      </c>
      <c r="AC34" s="38" t="str">
        <f>VLOOKUP(Y34,'TABEL KONVERSI'!$A$3:$D$7,4)</f>
        <v>-</v>
      </c>
      <c r="AD34" s="42"/>
      <c r="AE34" s="37"/>
      <c r="AF34" s="73"/>
      <c r="AG34" s="73"/>
      <c r="AH34" s="38" t="str">
        <f t="shared" si="42"/>
        <v/>
      </c>
      <c r="AI34" s="38" t="str">
        <f t="shared" si="43"/>
        <v/>
      </c>
      <c r="AJ34" s="38" t="str">
        <f>IF(AH34&lt;&gt;"",IF(AND(AH34&gt;='TABEL KONVERSI'!$B$3,'ENTRY DATA'!AH34&lt;='TABEL KONVERSI'!$C$3),1,IF(AND(AH34&gt;='TABEL KONVERSI'!$B$4,'ENTRY DATA'!AH34&lt;='TABEL KONVERSI'!$C$4),2,IF(AND(AH34&gt;='TABEL KONVERSI'!$B$5,'ENTRY DATA'!AH34&lt;='TABEL KONVERSI'!$C$5),3,IF(AND(AH34&gt;='TABEL KONVERSI'!$B$6,'ENTRY DATA'!AH34&lt;='TABEL KONVERSI'!$C$6),4,"")))),"-")</f>
        <v>-</v>
      </c>
      <c r="AK34" s="38" t="str">
        <f>IF(AI34&lt;&gt;"",IF(AND(AI34&gt;='TABEL KONVERSI'!$B$3,'ENTRY DATA'!AI34&lt;='TABEL KONVERSI'!$C$3),1,IF(AND(AI34&gt;='TABEL KONVERSI'!$B$4,'ENTRY DATA'!AI34&lt;='TABEL KONVERSI'!$C$4),2,IF(AND(AI34&gt;='TABEL KONVERSI'!$B$5,'ENTRY DATA'!AI34&lt;='TABEL KONVERSI'!$C$5),3,IF(AND(AI34&gt;='TABEL KONVERSI'!$B$6,'ENTRY DATA'!AI34&lt;='TABEL KONVERSI'!$C$6),4,"")))),"-")</f>
        <v>-</v>
      </c>
      <c r="AL34" s="38" t="str">
        <f t="shared" si="44"/>
        <v>-</v>
      </c>
      <c r="AM34" s="38" t="str">
        <f>VLOOKUP(AJ34,'TABEL KONVERSI'!$A$3:$D$7,4)</f>
        <v>-</v>
      </c>
      <c r="AN34" s="38" t="str">
        <f t="shared" si="45"/>
        <v>-</v>
      </c>
      <c r="AO34" s="38" t="str">
        <f>VLOOKUP(AK34,'TABEL KONVERSI'!$A$3:$D$7,4)</f>
        <v>-</v>
      </c>
      <c r="AP34" s="42"/>
      <c r="AQ34" s="37"/>
      <c r="AR34" s="73"/>
      <c r="AS34" s="73"/>
      <c r="AT34" s="38" t="str">
        <f t="shared" si="46"/>
        <v/>
      </c>
      <c r="AU34" s="38" t="str">
        <f t="shared" si="47"/>
        <v/>
      </c>
      <c r="AV34" s="38" t="str">
        <f>IF(AT34&lt;&gt;"",IF(AND(AT34&gt;='TABEL KONVERSI'!$B$3,'ENTRY DATA'!AT34&lt;='TABEL KONVERSI'!$C$3),1,IF(AND(AT34&gt;='TABEL KONVERSI'!$B$4,'ENTRY DATA'!AT34&lt;='TABEL KONVERSI'!$C$4),2,IF(AND(AT34&gt;='TABEL KONVERSI'!$B$5,'ENTRY DATA'!AT34&lt;='TABEL KONVERSI'!$C$5),3,IF(AND(AT34&gt;='TABEL KONVERSI'!$B$6,'ENTRY DATA'!AT34&lt;='TABEL KONVERSI'!$C$6),4,"")))),"-")</f>
        <v>-</v>
      </c>
      <c r="AW34" s="38" t="str">
        <f>IF(AU34&lt;&gt;"",IF(AND(AU34&gt;='TABEL KONVERSI'!$B$3,'ENTRY DATA'!AU34&lt;='TABEL KONVERSI'!$C$3),1,IF(AND(AU34&gt;='TABEL KONVERSI'!$B$4,'ENTRY DATA'!AU34&lt;='TABEL KONVERSI'!$C$4),2,IF(AND(AU34&gt;='TABEL KONVERSI'!$B$5,'ENTRY DATA'!AU34&lt;='TABEL KONVERSI'!$C$5),3,IF(AND(AU34&gt;='TABEL KONVERSI'!$B$6,'ENTRY DATA'!AU34&lt;='TABEL KONVERSI'!$C$6),4,"")))),"-")</f>
        <v>-</v>
      </c>
      <c r="AX34" s="38" t="str">
        <f t="shared" si="48"/>
        <v>-</v>
      </c>
      <c r="AY34" s="38" t="str">
        <f>VLOOKUP(AV34,'TABEL KONVERSI'!$A$3:$D$7,4)</f>
        <v>-</v>
      </c>
      <c r="AZ34" s="38" t="str">
        <f t="shared" si="49"/>
        <v>-</v>
      </c>
      <c r="BA34" s="38" t="str">
        <f>VLOOKUP(AW34,'TABEL KONVERSI'!$A$3:$D$7,4)</f>
        <v>-</v>
      </c>
      <c r="BB34" s="42"/>
      <c r="BC34" s="37"/>
      <c r="BD34" s="73"/>
      <c r="BE34" s="73"/>
      <c r="BF34" s="38" t="str">
        <f t="shared" si="50"/>
        <v/>
      </c>
      <c r="BG34" s="38" t="str">
        <f t="shared" si="51"/>
        <v/>
      </c>
      <c r="BH34" s="38" t="str">
        <f>IF(BF34&lt;&gt;"",IF(AND(BF34&gt;='TABEL KONVERSI'!$B$3,'ENTRY DATA'!BF34&lt;='TABEL KONVERSI'!$C$3),1,IF(AND(BF34&gt;='TABEL KONVERSI'!$B$4,'ENTRY DATA'!BF34&lt;='TABEL KONVERSI'!$C$4),2,IF(AND(BF34&gt;='TABEL KONVERSI'!$B$5,'ENTRY DATA'!BF34&lt;='TABEL KONVERSI'!$C$5),3,IF(AND(BF34&gt;='TABEL KONVERSI'!$B$6,'ENTRY DATA'!BF34&lt;='TABEL KONVERSI'!$C$6),4,"")))),"-")</f>
        <v>-</v>
      </c>
      <c r="BI34" s="38" t="str">
        <f>IF(BG34&lt;&gt;"",IF(AND(BG34&gt;='TABEL KONVERSI'!$B$3,'ENTRY DATA'!BG34&lt;='TABEL KONVERSI'!$C$3),1,IF(AND(BG34&gt;='TABEL KONVERSI'!$B$4,'ENTRY DATA'!BG34&lt;='TABEL KONVERSI'!$C$4),2,IF(AND(BG34&gt;='TABEL KONVERSI'!$B$5,'ENTRY DATA'!BG34&lt;='TABEL KONVERSI'!$C$5),3,IF(AND(BG34&gt;='TABEL KONVERSI'!$B$6,'ENTRY DATA'!BG34&lt;='TABEL KONVERSI'!$C$6),4,"")))),"-")</f>
        <v>-</v>
      </c>
      <c r="BJ34" s="38" t="str">
        <f t="shared" si="52"/>
        <v>-</v>
      </c>
      <c r="BK34" s="38" t="str">
        <f>VLOOKUP(BH34,'TABEL KONVERSI'!$A$3:$D$7,4)</f>
        <v>-</v>
      </c>
      <c r="BL34" s="38" t="str">
        <f t="shared" si="53"/>
        <v>-</v>
      </c>
      <c r="BM34" s="38" t="str">
        <f>VLOOKUP(BI34,'TABEL KONVERSI'!$A$3:$D$7,4)</f>
        <v>-</v>
      </c>
      <c r="BN34" s="42"/>
      <c r="BO34" s="37"/>
      <c r="BP34" s="73"/>
      <c r="BQ34" s="73"/>
      <c r="BR34" s="38" t="str">
        <f t="shared" si="54"/>
        <v/>
      </c>
      <c r="BS34" s="38" t="str">
        <f t="shared" si="55"/>
        <v/>
      </c>
      <c r="BT34" s="38" t="str">
        <f>IF(BR34&lt;&gt;"",IF(AND(BR34&gt;='TABEL KONVERSI'!$B$3,'ENTRY DATA'!BR34&lt;='TABEL KONVERSI'!$C$3),1,IF(AND(BR34&gt;='TABEL KONVERSI'!$B$4,'ENTRY DATA'!BR34&lt;='TABEL KONVERSI'!$C$4),2,IF(AND(BR34&gt;='TABEL KONVERSI'!$B$5,'ENTRY DATA'!BR34&lt;='TABEL KONVERSI'!$C$5),3,IF(AND(BR34&gt;='TABEL KONVERSI'!$B$6,'ENTRY DATA'!BR34&lt;='TABEL KONVERSI'!$C$6),4,"")))),"-")</f>
        <v>-</v>
      </c>
      <c r="BU34" s="38" t="str">
        <f>IF(BS34&lt;&gt;"",IF(AND(BS34&gt;='TABEL KONVERSI'!$B$3,'ENTRY DATA'!BS34&lt;='TABEL KONVERSI'!$C$3),1,IF(AND(BS34&gt;='TABEL KONVERSI'!$B$4,'ENTRY DATA'!BS34&lt;='TABEL KONVERSI'!$C$4),2,IF(AND(BS34&gt;='TABEL KONVERSI'!$B$5,'ENTRY DATA'!BS34&lt;='TABEL KONVERSI'!$C$5),3,IF(AND(BS34&gt;='TABEL KONVERSI'!$B$6,'ENTRY DATA'!BS34&lt;='TABEL KONVERSI'!$C$6),4,"")))),"-")</f>
        <v>-</v>
      </c>
      <c r="BV34" s="38" t="str">
        <f t="shared" si="56"/>
        <v>-</v>
      </c>
      <c r="BW34" s="38" t="str">
        <f>VLOOKUP(BT34,'TABEL KONVERSI'!$A$3:$D$7,4)</f>
        <v>-</v>
      </c>
      <c r="BX34" s="38" t="str">
        <f t="shared" si="57"/>
        <v>-</v>
      </c>
      <c r="BY34" s="38" t="str">
        <f>VLOOKUP(BU34,'TABEL KONVERSI'!$A$3:$D$7,4)</f>
        <v>-</v>
      </c>
      <c r="BZ34" s="42"/>
      <c r="CA34" s="37"/>
      <c r="CB34" s="73"/>
      <c r="CC34" s="73"/>
      <c r="CD34" s="38" t="str">
        <f t="shared" si="58"/>
        <v/>
      </c>
      <c r="CE34" s="38" t="str">
        <f t="shared" si="59"/>
        <v/>
      </c>
      <c r="CF34" s="38" t="str">
        <f>IF(CD34&lt;&gt;"",IF(AND(CD34&gt;='TABEL KONVERSI'!$B$3,'ENTRY DATA'!CD34&lt;='TABEL KONVERSI'!$C$3),1,IF(AND(CD34&gt;='TABEL KONVERSI'!$B$4,'ENTRY DATA'!CD34&lt;='TABEL KONVERSI'!$C$4),2,IF(AND(CD34&gt;='TABEL KONVERSI'!$B$5,'ENTRY DATA'!CD34&lt;='TABEL KONVERSI'!$C$5),3,IF(AND(CD34&gt;='TABEL KONVERSI'!$B$6,'ENTRY DATA'!CD34&lt;='TABEL KONVERSI'!$C$6),4,"")))),"-")</f>
        <v>-</v>
      </c>
      <c r="CG34" s="38" t="str">
        <f>IF(CE34&lt;&gt;"",IF(AND(CE34&gt;='TABEL KONVERSI'!$B$3,'ENTRY DATA'!CE34&lt;='TABEL KONVERSI'!$C$3),1,IF(AND(CE34&gt;='TABEL KONVERSI'!$B$4,'ENTRY DATA'!CE34&lt;='TABEL KONVERSI'!$C$4),2,IF(AND(CE34&gt;='TABEL KONVERSI'!$B$5,'ENTRY DATA'!CE34&lt;='TABEL KONVERSI'!$C$5),3,IF(AND(CE34&gt;='TABEL KONVERSI'!$B$6,'ENTRY DATA'!CE34&lt;='TABEL KONVERSI'!$C$6),4,"")))),"-")</f>
        <v>-</v>
      </c>
      <c r="CH34" s="38" t="str">
        <f t="shared" si="60"/>
        <v>-</v>
      </c>
      <c r="CI34" s="38" t="str">
        <f>VLOOKUP(CF34,'TABEL KONVERSI'!$A$3:$D$7,4)</f>
        <v>-</v>
      </c>
      <c r="CJ34" s="38" t="str">
        <f t="shared" si="61"/>
        <v>-</v>
      </c>
      <c r="CK34" s="38" t="str">
        <f>VLOOKUP(CG34,'TABEL KONVERSI'!$A$3:$D$7,4)</f>
        <v>-</v>
      </c>
      <c r="CL34" s="42"/>
      <c r="CM34" s="37"/>
      <c r="CN34" s="73"/>
      <c r="CO34" s="73"/>
      <c r="CP34" s="38" t="str">
        <f t="shared" si="62"/>
        <v/>
      </c>
      <c r="CQ34" s="38" t="str">
        <f t="shared" si="63"/>
        <v/>
      </c>
      <c r="CR34" s="38" t="str">
        <f>IF(CP34&lt;&gt;"",IF(AND(CP34&gt;='TABEL KONVERSI'!$B$3,'ENTRY DATA'!CP34&lt;='TABEL KONVERSI'!$C$3),1,IF(AND(CP34&gt;='TABEL KONVERSI'!$B$4,'ENTRY DATA'!CP34&lt;='TABEL KONVERSI'!$C$4),2,IF(AND(CP34&gt;='TABEL KONVERSI'!$B$5,'ENTRY DATA'!CP34&lt;='TABEL KONVERSI'!$C$5),3,IF(AND(CP34&gt;='TABEL KONVERSI'!$B$6,'ENTRY DATA'!CP34&lt;='TABEL KONVERSI'!$C$6),4,"")))),"-")</f>
        <v>-</v>
      </c>
      <c r="CS34" s="38" t="str">
        <f>IF(CQ34&lt;&gt;"",IF(AND(CQ34&gt;='TABEL KONVERSI'!$B$3,'ENTRY DATA'!CQ34&lt;='TABEL KONVERSI'!$C$3),1,IF(AND(CQ34&gt;='TABEL KONVERSI'!$B$4,'ENTRY DATA'!CQ34&lt;='TABEL KONVERSI'!$C$4),2,IF(AND(CQ34&gt;='TABEL KONVERSI'!$B$5,'ENTRY DATA'!CQ34&lt;='TABEL KONVERSI'!$C$5),3,IF(AND(CQ34&gt;='TABEL KONVERSI'!$B$6,'ENTRY DATA'!CQ34&lt;='TABEL KONVERSI'!$C$6),4,"")))),"-")</f>
        <v>-</v>
      </c>
      <c r="CT34" s="38" t="str">
        <f t="shared" si="64"/>
        <v>-</v>
      </c>
      <c r="CU34" s="38" t="str">
        <f>VLOOKUP(CR34,'TABEL KONVERSI'!$A$3:$D$7,4)</f>
        <v>-</v>
      </c>
      <c r="CV34" s="38" t="str">
        <f t="shared" si="65"/>
        <v>-</v>
      </c>
      <c r="CW34" s="38" t="str">
        <f>VLOOKUP(CS34,'TABEL KONVERSI'!$A$3:$D$7,4)</f>
        <v>-</v>
      </c>
      <c r="CX34" s="42"/>
      <c r="CY34" s="37"/>
      <c r="CZ34" s="73"/>
      <c r="DA34" s="73"/>
      <c r="DB34" s="38" t="str">
        <f t="shared" si="66"/>
        <v/>
      </c>
      <c r="DC34" s="38" t="str">
        <f t="shared" si="67"/>
        <v/>
      </c>
      <c r="DD34" s="38" t="str">
        <f>IF(DB34&lt;&gt;"",IF(AND(DB34&gt;='TABEL KONVERSI'!$B$3,'ENTRY DATA'!DB34&lt;='TABEL KONVERSI'!$C$3),1,IF(AND(DB34&gt;='TABEL KONVERSI'!$B$4,'ENTRY DATA'!DB34&lt;='TABEL KONVERSI'!$C$4),2,IF(AND(DB34&gt;='TABEL KONVERSI'!$B$5,'ENTRY DATA'!DB34&lt;='TABEL KONVERSI'!$C$5),3,IF(AND(DB34&gt;='TABEL KONVERSI'!$B$6,'ENTRY DATA'!DB34&lt;='TABEL KONVERSI'!$C$6),4,"")))),"-")</f>
        <v>-</v>
      </c>
      <c r="DE34" s="38" t="str">
        <f>IF(DC34&lt;&gt;"",IF(AND(DC34&gt;='TABEL KONVERSI'!$B$3,'ENTRY DATA'!DC34&lt;='TABEL KONVERSI'!$C$3),1,IF(AND(DC34&gt;='TABEL KONVERSI'!$B$4,'ENTRY DATA'!DC34&lt;='TABEL KONVERSI'!$C$4),2,IF(AND(DC34&gt;='TABEL KONVERSI'!$B$5,'ENTRY DATA'!DC34&lt;='TABEL KONVERSI'!$C$5),3,IF(AND(DC34&gt;='TABEL KONVERSI'!$B$6,'ENTRY DATA'!DC34&lt;='TABEL KONVERSI'!$C$6),4,"")))),"-")</f>
        <v>-</v>
      </c>
      <c r="DF34" s="38" t="str">
        <f t="shared" si="68"/>
        <v>-</v>
      </c>
      <c r="DG34" s="38" t="str">
        <f>VLOOKUP(DD34,'TABEL KONVERSI'!$A$3:$D$7,4)</f>
        <v>-</v>
      </c>
      <c r="DH34" s="38" t="str">
        <f t="shared" si="69"/>
        <v>-</v>
      </c>
      <c r="DI34" s="38" t="str">
        <f>VLOOKUP(DE34,'TABEL KONVERSI'!$A$3:$D$7,4)</f>
        <v>-</v>
      </c>
      <c r="DJ34" s="42"/>
      <c r="DK34" s="37"/>
      <c r="DL34" s="73"/>
      <c r="DM34" s="73"/>
      <c r="DN34" s="38" t="str">
        <f t="shared" si="70"/>
        <v/>
      </c>
      <c r="DO34" s="38" t="str">
        <f t="shared" si="71"/>
        <v/>
      </c>
      <c r="DP34" s="38" t="str">
        <f>IF(DN34&lt;&gt;"",IF(AND(DN34&gt;='TABEL KONVERSI'!$B$3,'ENTRY DATA'!DN34&lt;='TABEL KONVERSI'!$C$3),1,IF(AND(DN34&gt;='TABEL KONVERSI'!$B$4,'ENTRY DATA'!DN34&lt;='TABEL KONVERSI'!$C$4),2,IF(AND(DN34&gt;='TABEL KONVERSI'!$B$5,'ENTRY DATA'!DN34&lt;='TABEL KONVERSI'!$C$5),3,IF(AND(DN34&gt;='TABEL KONVERSI'!$B$6,'ENTRY DATA'!DN34&lt;='TABEL KONVERSI'!$C$6),4,"")))),"-")</f>
        <v>-</v>
      </c>
      <c r="DQ34" s="38" t="str">
        <f>IF(DO34&lt;&gt;"",IF(AND(DO34&gt;='TABEL KONVERSI'!$B$3,'ENTRY DATA'!DO34&lt;='TABEL KONVERSI'!$C$3),1,IF(AND(DO34&gt;='TABEL KONVERSI'!$B$4,'ENTRY DATA'!DO34&lt;='TABEL KONVERSI'!$C$4),2,IF(AND(DO34&gt;='TABEL KONVERSI'!$B$5,'ENTRY DATA'!DO34&lt;='TABEL KONVERSI'!$C$5),3,IF(AND(DO34&gt;='TABEL KONVERSI'!$B$6,'ENTRY DATA'!DO34&lt;='TABEL KONVERSI'!$C$6),4,"")))),"-")</f>
        <v>-</v>
      </c>
      <c r="DR34" s="38" t="str">
        <f t="shared" si="72"/>
        <v>-</v>
      </c>
      <c r="DS34" s="38" t="str">
        <f>VLOOKUP(DP34,'TABEL KONVERSI'!$A$3:$D$7,4)</f>
        <v>-</v>
      </c>
      <c r="DT34" s="38" t="str">
        <f t="shared" si="73"/>
        <v>-</v>
      </c>
      <c r="DU34" s="38" t="str">
        <f>VLOOKUP(DQ34,'TABEL KONVERSI'!$A$3:$D$7,4)</f>
        <v>-</v>
      </c>
      <c r="DV34" s="42"/>
      <c r="DW34" s="37"/>
      <c r="DX34" s="73"/>
      <c r="DY34" s="73"/>
      <c r="DZ34" s="38" t="str">
        <f t="shared" si="74"/>
        <v/>
      </c>
      <c r="EA34" s="38" t="str">
        <f t="shared" si="75"/>
        <v/>
      </c>
      <c r="EB34" s="38" t="str">
        <f>IF(DZ34&lt;&gt;"",IF(AND(DZ34&gt;='TABEL KONVERSI'!$B$3,'ENTRY DATA'!DZ34&lt;='TABEL KONVERSI'!$C$3),1,IF(AND(DZ34&gt;='TABEL KONVERSI'!$B$4,'ENTRY DATA'!DZ34&lt;='TABEL KONVERSI'!$C$4),2,IF(AND(DZ34&gt;='TABEL KONVERSI'!$B$5,'ENTRY DATA'!DZ34&lt;='TABEL KONVERSI'!$C$5),3,IF(AND(DZ34&gt;='TABEL KONVERSI'!$B$6,'ENTRY DATA'!DZ34&lt;='TABEL KONVERSI'!$C$6),4,"")))),"-")</f>
        <v>-</v>
      </c>
      <c r="EC34" s="38" t="str">
        <f>IF(EA34&lt;&gt;"",IF(AND(EA34&gt;='TABEL KONVERSI'!$B$3,'ENTRY DATA'!EA34&lt;='TABEL KONVERSI'!$C$3),1,IF(AND(EA34&gt;='TABEL KONVERSI'!$B$4,'ENTRY DATA'!EA34&lt;='TABEL KONVERSI'!$C$4),2,IF(AND(EA34&gt;='TABEL KONVERSI'!$B$5,'ENTRY DATA'!EA34&lt;='TABEL KONVERSI'!$C$5),3,IF(AND(EA34&gt;='TABEL KONVERSI'!$B$6,'ENTRY DATA'!EA34&lt;='TABEL KONVERSI'!$C$6),4,"")))),"-")</f>
        <v>-</v>
      </c>
      <c r="ED34" s="38" t="str">
        <f t="shared" si="76"/>
        <v>-</v>
      </c>
      <c r="EE34" s="38" t="str">
        <f>VLOOKUP(EB34,'TABEL KONVERSI'!$A$3:$D$7,4)</f>
        <v>-</v>
      </c>
      <c r="EF34" s="38" t="str">
        <f t="shared" si="77"/>
        <v>-</v>
      </c>
      <c r="EG34" s="38" t="str">
        <f>VLOOKUP(EC34,'TABEL KONVERSI'!$A$3:$D$7,4)</f>
        <v>-</v>
      </c>
      <c r="EH34" s="42"/>
      <c r="EI34" s="37"/>
      <c r="EJ34" s="73"/>
      <c r="EK34" s="73"/>
      <c r="EL34" s="38" t="str">
        <f t="shared" si="78"/>
        <v/>
      </c>
      <c r="EM34" s="38" t="str">
        <f t="shared" si="79"/>
        <v/>
      </c>
      <c r="EN34" s="38" t="str">
        <f>IF(EL34&lt;&gt;"",IF(AND(EL34&gt;='TABEL KONVERSI'!$B$3,'ENTRY DATA'!EL34&lt;='TABEL KONVERSI'!$C$3),1,IF(AND(EL34&gt;='TABEL KONVERSI'!$B$4,'ENTRY DATA'!EL34&lt;='TABEL KONVERSI'!$C$4),2,IF(AND(EL34&gt;='TABEL KONVERSI'!$B$5,'ENTRY DATA'!EL34&lt;='TABEL KONVERSI'!$C$5),3,IF(AND(EL34&gt;='TABEL KONVERSI'!$B$6,'ENTRY DATA'!EL34&lt;='TABEL KONVERSI'!$C$6),4,"")))),"-")</f>
        <v>-</v>
      </c>
      <c r="EO34" s="38" t="str">
        <f>IF(EM34&lt;&gt;"",IF(AND(EM34&gt;='TABEL KONVERSI'!$B$3,'ENTRY DATA'!EM34&lt;='TABEL KONVERSI'!$C$3),1,IF(AND(EM34&gt;='TABEL KONVERSI'!$B$4,'ENTRY DATA'!EM34&lt;='TABEL KONVERSI'!$C$4),2,IF(AND(EM34&gt;='TABEL KONVERSI'!$B$5,'ENTRY DATA'!EM34&lt;='TABEL KONVERSI'!$C$5),3,IF(AND(EM34&gt;='TABEL KONVERSI'!$B$6,'ENTRY DATA'!EM34&lt;='TABEL KONVERSI'!$C$6),4,"")))),"-")</f>
        <v>-</v>
      </c>
      <c r="EP34" s="38" t="str">
        <f t="shared" si="80"/>
        <v>-</v>
      </c>
      <c r="EQ34" s="38" t="str">
        <f>VLOOKUP(EN34,'TABEL KONVERSI'!$A$3:$D$7,4)</f>
        <v>-</v>
      </c>
      <c r="ER34" s="38" t="str">
        <f t="shared" si="81"/>
        <v>-</v>
      </c>
      <c r="ES34" s="38" t="str">
        <f>VLOOKUP(EO34,'TABEL KONVERSI'!$A$3:$D$7,4)</f>
        <v>-</v>
      </c>
      <c r="ET34" s="42"/>
      <c r="EU34" s="37"/>
      <c r="EV34" s="73"/>
      <c r="EW34" s="73"/>
      <c r="EX34" s="38" t="str">
        <f t="shared" si="82"/>
        <v/>
      </c>
      <c r="EY34" s="38" t="str">
        <f t="shared" si="83"/>
        <v/>
      </c>
      <c r="EZ34" s="38" t="str">
        <f>IF(EX34&lt;&gt;"",IF(AND(EX34&gt;='TABEL KONVERSI'!$B$3,'ENTRY DATA'!EX34&lt;='TABEL KONVERSI'!$C$3),1,IF(AND(EX34&gt;='TABEL KONVERSI'!$B$4,'ENTRY DATA'!EX34&lt;='TABEL KONVERSI'!$C$4),2,IF(AND(EX34&gt;='TABEL KONVERSI'!$B$5,'ENTRY DATA'!EX34&lt;='TABEL KONVERSI'!$C$5),3,IF(AND(EX34&gt;='TABEL KONVERSI'!$B$6,'ENTRY DATA'!EX34&lt;='TABEL KONVERSI'!$C$6),4,"")))),"-")</f>
        <v>-</v>
      </c>
      <c r="FA34" s="38" t="str">
        <f>IF(EY34&lt;&gt;"",IF(AND(EY34&gt;='TABEL KONVERSI'!$B$3,'ENTRY DATA'!EY34&lt;='TABEL KONVERSI'!$C$3),1,IF(AND(EY34&gt;='TABEL KONVERSI'!$B$4,'ENTRY DATA'!EY34&lt;='TABEL KONVERSI'!$C$4),2,IF(AND(EY34&gt;='TABEL KONVERSI'!$B$5,'ENTRY DATA'!EY34&lt;='TABEL KONVERSI'!$C$5),3,IF(AND(EY34&gt;='TABEL KONVERSI'!$B$6,'ENTRY DATA'!EY34&lt;='TABEL KONVERSI'!$C$6),4,"")))),"-")</f>
        <v>-</v>
      </c>
      <c r="FB34" s="38" t="str">
        <f t="shared" si="84"/>
        <v>-</v>
      </c>
      <c r="FC34" s="38" t="str">
        <f>VLOOKUP(EZ34,'TABEL KONVERSI'!$A$3:$D$7,4)</f>
        <v>-</v>
      </c>
      <c r="FD34" s="38" t="str">
        <f t="shared" si="85"/>
        <v>-</v>
      </c>
      <c r="FE34" s="38" t="str">
        <f>VLOOKUP(FA34,'TABEL KONVERSI'!$A$3:$D$7,4)</f>
        <v>-</v>
      </c>
      <c r="FF34" s="42"/>
      <c r="FG34" s="37"/>
      <c r="FH34" s="73"/>
      <c r="FI34" s="73"/>
      <c r="FJ34" s="38" t="str">
        <f t="shared" si="86"/>
        <v/>
      </c>
      <c r="FK34" s="38" t="str">
        <f t="shared" si="87"/>
        <v/>
      </c>
      <c r="FL34" s="38" t="str">
        <f>IF(FJ34&lt;&gt;"",IF(AND(FJ34&gt;='TABEL KONVERSI'!$B$3,'ENTRY DATA'!FJ34&lt;='TABEL KONVERSI'!$C$3),1,IF(AND(FJ34&gt;='TABEL KONVERSI'!$B$4,'ENTRY DATA'!FJ34&lt;='TABEL KONVERSI'!$C$4),2,IF(AND(FJ34&gt;='TABEL KONVERSI'!$B$5,'ENTRY DATA'!FJ34&lt;='TABEL KONVERSI'!$C$5),3,IF(AND(FJ34&gt;='TABEL KONVERSI'!$B$6,'ENTRY DATA'!FJ34&lt;='TABEL KONVERSI'!$C$6),4,"")))),"-")</f>
        <v>-</v>
      </c>
      <c r="FM34" s="38" t="str">
        <f>IF(FK34&lt;&gt;"",IF(AND(FK34&gt;='TABEL KONVERSI'!$B$3,'ENTRY DATA'!FK34&lt;='TABEL KONVERSI'!$C$3),1,IF(AND(FK34&gt;='TABEL KONVERSI'!$B$4,'ENTRY DATA'!FK34&lt;='TABEL KONVERSI'!$C$4),2,IF(AND(FK34&gt;='TABEL KONVERSI'!$B$5,'ENTRY DATA'!FK34&lt;='TABEL KONVERSI'!$C$5),3,IF(AND(FK34&gt;='TABEL KONVERSI'!$B$6,'ENTRY DATA'!FK34&lt;='TABEL KONVERSI'!$C$6),4,"")))),"-")</f>
        <v>-</v>
      </c>
      <c r="FN34" s="38" t="str">
        <f t="shared" si="88"/>
        <v>-</v>
      </c>
      <c r="FO34" s="38" t="str">
        <f>VLOOKUP(FL34,'TABEL KONVERSI'!$A$3:$D$7,4)</f>
        <v>-</v>
      </c>
      <c r="FP34" s="38" t="str">
        <f t="shared" si="89"/>
        <v>-</v>
      </c>
      <c r="FQ34" s="38" t="str">
        <f>VLOOKUP(FM34,'TABEL KONVERSI'!$A$3:$D$7,4)</f>
        <v>-</v>
      </c>
      <c r="FR34" s="42"/>
      <c r="FS34" s="37"/>
      <c r="FT34" s="73"/>
      <c r="FU34" s="73"/>
      <c r="FV34" s="38" t="str">
        <f t="shared" si="90"/>
        <v/>
      </c>
      <c r="FW34" s="38" t="str">
        <f t="shared" si="91"/>
        <v/>
      </c>
      <c r="FX34" s="38" t="str">
        <f>IF(FV34&lt;&gt;"",IF(AND(FV34&gt;='TABEL KONVERSI'!$B$3,'ENTRY DATA'!FV34&lt;='TABEL KONVERSI'!$C$3),1,IF(AND(FV34&gt;='TABEL KONVERSI'!$B$4,'ENTRY DATA'!FV34&lt;='TABEL KONVERSI'!$C$4),2,IF(AND(FV34&gt;='TABEL KONVERSI'!$B$5,'ENTRY DATA'!FV34&lt;='TABEL KONVERSI'!$C$5),3,IF(AND(FV34&gt;='TABEL KONVERSI'!$B$6,'ENTRY DATA'!FV34&lt;='TABEL KONVERSI'!$C$6),4,"")))),"-")</f>
        <v>-</v>
      </c>
      <c r="FY34" s="38" t="str">
        <f>IF(FW34&lt;&gt;"",IF(AND(FW34&gt;='TABEL KONVERSI'!$B$3,'ENTRY DATA'!FW34&lt;='TABEL KONVERSI'!$C$3),1,IF(AND(FW34&gt;='TABEL KONVERSI'!$B$4,'ENTRY DATA'!FW34&lt;='TABEL KONVERSI'!$C$4),2,IF(AND(FW34&gt;='TABEL KONVERSI'!$B$5,'ENTRY DATA'!FW34&lt;='TABEL KONVERSI'!$C$5),3,IF(AND(FW34&gt;='TABEL KONVERSI'!$B$6,'ENTRY DATA'!FW34&lt;='TABEL KONVERSI'!$C$6),4,"")))),"-")</f>
        <v>-</v>
      </c>
      <c r="FZ34" s="38" t="str">
        <f t="shared" si="92"/>
        <v>-</v>
      </c>
      <c r="GA34" s="38" t="str">
        <f>VLOOKUP(FX34,'TABEL KONVERSI'!$A$3:$D$7,4)</f>
        <v>-</v>
      </c>
      <c r="GB34" s="38" t="str">
        <f t="shared" si="93"/>
        <v>-</v>
      </c>
      <c r="GC34" s="38" t="str">
        <f>VLOOKUP(FY34,'TABEL KONVERSI'!$A$3:$D$7,4)</f>
        <v>-</v>
      </c>
      <c r="GD34" s="42"/>
      <c r="GE34" s="37"/>
      <c r="GF34" s="73"/>
      <c r="GG34" s="73"/>
      <c r="GH34" s="38" t="str">
        <f t="shared" si="94"/>
        <v/>
      </c>
      <c r="GI34" s="38" t="str">
        <f t="shared" si="95"/>
        <v/>
      </c>
      <c r="GJ34" s="38" t="str">
        <f>IF(GH34&lt;&gt;"",IF(AND(GH34&gt;='TABEL KONVERSI'!$B$3,'ENTRY DATA'!GH34&lt;='TABEL KONVERSI'!$C$3),1,IF(AND(GH34&gt;='TABEL KONVERSI'!$B$4,'ENTRY DATA'!GH34&lt;='TABEL KONVERSI'!$C$4),2,IF(AND(GH34&gt;='TABEL KONVERSI'!$B$5,'ENTRY DATA'!GH34&lt;='TABEL KONVERSI'!$C$5),3,IF(AND(GH34&gt;='TABEL KONVERSI'!$B$6,'ENTRY DATA'!GH34&lt;='TABEL KONVERSI'!$C$6),4,"")))),"-")</f>
        <v>-</v>
      </c>
      <c r="GK34" s="38" t="str">
        <f>IF(GI34&lt;&gt;"",IF(AND(GI34&gt;='TABEL KONVERSI'!$B$3,'ENTRY DATA'!GI34&lt;='TABEL KONVERSI'!$C$3),1,IF(AND(GI34&gt;='TABEL KONVERSI'!$B$4,'ENTRY DATA'!GI34&lt;='TABEL KONVERSI'!$C$4),2,IF(AND(GI34&gt;='TABEL KONVERSI'!$B$5,'ENTRY DATA'!GI34&lt;='TABEL KONVERSI'!$C$5),3,IF(AND(GI34&gt;='TABEL KONVERSI'!$B$6,'ENTRY DATA'!GI34&lt;='TABEL KONVERSI'!$C$6),4,"")))),"-")</f>
        <v>-</v>
      </c>
      <c r="GL34" s="38" t="str">
        <f t="shared" si="96"/>
        <v>-</v>
      </c>
      <c r="GM34" s="38" t="str">
        <f>VLOOKUP(GJ34,'TABEL KONVERSI'!$A$3:$D$7,4)</f>
        <v>-</v>
      </c>
      <c r="GN34" s="38" t="str">
        <f t="shared" si="97"/>
        <v>-</v>
      </c>
      <c r="GO34" s="38" t="str">
        <f>VLOOKUP(GK34,'TABEL KONVERSI'!$A$3:$D$7,4)</f>
        <v>-</v>
      </c>
      <c r="GP34" s="43">
        <f t="shared" si="0"/>
        <v>0</v>
      </c>
      <c r="GQ34" s="43">
        <f t="shared" si="1"/>
        <v>0</v>
      </c>
      <c r="GR34" s="43">
        <f t="shared" si="2"/>
        <v>0</v>
      </c>
      <c r="GS34" s="43">
        <f t="shared" si="3"/>
        <v>0</v>
      </c>
      <c r="GT34" s="43">
        <f t="shared" si="4"/>
        <v>0</v>
      </c>
      <c r="GU34" s="43">
        <f t="shared" si="5"/>
        <v>0</v>
      </c>
      <c r="GV34" s="43">
        <f t="shared" si="6"/>
        <v>0</v>
      </c>
      <c r="GW34" s="43">
        <f t="shared" si="7"/>
        <v>0</v>
      </c>
      <c r="GX34" s="43">
        <f t="shared" si="8"/>
        <v>0</v>
      </c>
      <c r="GY34" s="43">
        <f t="shared" si="9"/>
        <v>0</v>
      </c>
      <c r="GZ34" s="43">
        <f t="shared" si="10"/>
        <v>0</v>
      </c>
      <c r="HA34" s="43">
        <f t="shared" si="11"/>
        <v>0</v>
      </c>
      <c r="HB34" s="43">
        <f t="shared" si="12"/>
        <v>0</v>
      </c>
      <c r="HC34" s="43">
        <f t="shared" si="13"/>
        <v>0</v>
      </c>
      <c r="HD34" s="43">
        <f t="shared" si="14"/>
        <v>0</v>
      </c>
      <c r="HE34" s="43">
        <f t="shared" si="15"/>
        <v>0</v>
      </c>
      <c r="HF34" s="38">
        <f t="shared" si="98"/>
        <v>0</v>
      </c>
      <c r="HG34" s="38">
        <f t="shared" si="99"/>
        <v>0</v>
      </c>
      <c r="HH34" s="38">
        <f t="shared" si="100"/>
        <v>0</v>
      </c>
      <c r="HI34" s="39">
        <f t="shared" si="101"/>
        <v>0</v>
      </c>
      <c r="HJ34" s="44" t="str">
        <f t="shared" si="102"/>
        <v>-</v>
      </c>
      <c r="HK34" s="45" t="str">
        <f>VLOOKUP(HJ34,'TABEL KONVERSI'!$B$11:$D$15,2,0)</f>
        <v>-</v>
      </c>
      <c r="HL34" s="43">
        <f t="shared" si="16"/>
        <v>0</v>
      </c>
      <c r="HM34" s="43">
        <f t="shared" si="17"/>
        <v>0</v>
      </c>
      <c r="HN34" s="43">
        <f t="shared" si="18"/>
        <v>0</v>
      </c>
      <c r="HO34" s="43">
        <f t="shared" si="19"/>
        <v>0</v>
      </c>
      <c r="HP34" s="43">
        <f t="shared" si="20"/>
        <v>0</v>
      </c>
      <c r="HQ34" s="43">
        <f t="shared" si="21"/>
        <v>0</v>
      </c>
      <c r="HR34" s="43">
        <f t="shared" si="22"/>
        <v>0</v>
      </c>
      <c r="HS34" s="43">
        <f t="shared" si="23"/>
        <v>0</v>
      </c>
      <c r="HT34" s="43">
        <f t="shared" si="24"/>
        <v>0</v>
      </c>
      <c r="HU34" s="43">
        <f t="shared" si="25"/>
        <v>0</v>
      </c>
      <c r="HV34" s="43">
        <f t="shared" si="26"/>
        <v>0</v>
      </c>
      <c r="HW34" s="43">
        <f t="shared" si="27"/>
        <v>0</v>
      </c>
      <c r="HX34" s="43">
        <f t="shared" si="28"/>
        <v>0</v>
      </c>
      <c r="HY34" s="43">
        <f t="shared" si="29"/>
        <v>0</v>
      </c>
      <c r="HZ34" s="43">
        <f t="shared" si="30"/>
        <v>0</v>
      </c>
      <c r="IA34" s="43">
        <f t="shared" si="31"/>
        <v>0</v>
      </c>
      <c r="IB34" s="38">
        <f t="shared" si="103"/>
        <v>0</v>
      </c>
      <c r="IC34" s="38">
        <f t="shared" si="104"/>
        <v>0</v>
      </c>
      <c r="ID34" s="38">
        <f t="shared" si="105"/>
        <v>0</v>
      </c>
      <c r="IE34" s="38">
        <f t="shared" si="106"/>
        <v>0</v>
      </c>
      <c r="IF34" s="46" t="str">
        <f t="shared" si="107"/>
        <v>-</v>
      </c>
      <c r="IG34" s="45" t="str">
        <f>VLOOKUP(IF34,'TABEL KONVERSI'!$B$11:$D$15,3,0)</f>
        <v>-</v>
      </c>
      <c r="IH34" s="40" t="s">
        <v>223</v>
      </c>
      <c r="II34" s="41" t="s">
        <v>106</v>
      </c>
      <c r="IJ34" s="45" t="str">
        <f>IF(II34&lt;&gt;"",VLOOKUP(II34,'TABEL KONVERSI'!$A$19:$B$23,2,0),"")</f>
        <v>Aktif dalam mengikuti kegiatan</v>
      </c>
      <c r="IK34" s="47" t="s">
        <v>58</v>
      </c>
      <c r="IL34" s="50" t="s">
        <v>58</v>
      </c>
      <c r="IM34" s="45" t="str">
        <f>IF(IL34&lt;&gt;"",VLOOKUP(IL34,'TABEL KONVERSI'!$A$19:$B$23,2,0),"")</f>
        <v>-</v>
      </c>
      <c r="IN34" s="49" t="s">
        <v>58</v>
      </c>
      <c r="IO34" s="48" t="s">
        <v>58</v>
      </c>
      <c r="IP34" s="45" t="str">
        <f>IF(IO34&lt;&gt;"",VLOOKUP(IO34,'TABEL KONVERSI'!$A$19:$B$23,2,0),"")</f>
        <v>-</v>
      </c>
      <c r="IQ34" s="49" t="s">
        <v>58</v>
      </c>
      <c r="IR34" s="50" t="s">
        <v>58</v>
      </c>
      <c r="IS34" s="45" t="str">
        <f>IF(IR34&lt;&gt;"",VLOOKUP(IR34,'TABEL KONVERSI'!$A$19:$B$23,2,0),"")</f>
        <v>-</v>
      </c>
      <c r="IT34" s="49" t="s">
        <v>58</v>
      </c>
      <c r="IU34" s="50" t="s">
        <v>58</v>
      </c>
      <c r="IV34" s="45" t="str">
        <f>IF(IU34&lt;&gt;"",VLOOKUP(IU34,'TABEL KONVERSI'!$A$19:$B$23,2,0),"")</f>
        <v>-</v>
      </c>
      <c r="IW34" s="48" t="s">
        <v>58</v>
      </c>
      <c r="IX34" s="48" t="s">
        <v>58</v>
      </c>
      <c r="IY34" s="48" t="s">
        <v>58</v>
      </c>
      <c r="IZ34" s="47" t="s">
        <v>58</v>
      </c>
      <c r="JA34" s="45">
        <f t="shared" si="32"/>
        <v>0</v>
      </c>
      <c r="JB34" s="45">
        <f t="shared" si="33"/>
        <v>1</v>
      </c>
    </row>
    <row r="35" spans="1:262" x14ac:dyDescent="0.25">
      <c r="A35" s="33">
        <v>23</v>
      </c>
      <c r="B35" s="51"/>
      <c r="C35" s="51"/>
      <c r="D35" s="77"/>
      <c r="E35" s="52"/>
      <c r="F35" s="42"/>
      <c r="G35" s="37"/>
      <c r="H35" s="73"/>
      <c r="I35" s="73"/>
      <c r="J35" s="38" t="str">
        <f t="shared" si="34"/>
        <v/>
      </c>
      <c r="K35" s="38" t="str">
        <f t="shared" si="35"/>
        <v/>
      </c>
      <c r="L35" s="38" t="str">
        <f>IF(J35&lt;&gt;"",IF(AND(J35&gt;='TABEL KONVERSI'!$B$3,'ENTRY DATA'!J35&lt;='TABEL KONVERSI'!$C$3),1,IF(AND(J35&gt;='TABEL KONVERSI'!$B$4,'ENTRY DATA'!J35&lt;='TABEL KONVERSI'!$C$4),2,IF(AND(J35&gt;='TABEL KONVERSI'!$B$5,'ENTRY DATA'!J35&lt;='TABEL KONVERSI'!$C$5),3,IF(AND(J35&gt;='TABEL KONVERSI'!$B$6,'ENTRY DATA'!J35&lt;='TABEL KONVERSI'!$C$6),4,"")))),"-")</f>
        <v>-</v>
      </c>
      <c r="M35" s="38" t="str">
        <f>IF(K35&lt;&gt;"",IF(AND(K35&gt;='TABEL KONVERSI'!$B$3,'ENTRY DATA'!K35&lt;='TABEL KONVERSI'!$C$3),1,IF(AND(K35&gt;='TABEL KONVERSI'!$B$4,'ENTRY DATA'!K35&lt;='TABEL KONVERSI'!$C$4),2,IF(AND(K35&gt;='TABEL KONVERSI'!$B$5,'ENTRY DATA'!K35&lt;='TABEL KONVERSI'!$C$5),3,IF(AND(K35&gt;='TABEL KONVERSI'!$B$6,'ENTRY DATA'!K35&lt;='TABEL KONVERSI'!$C$6),4,"")))),"-")</f>
        <v>-</v>
      </c>
      <c r="N35" s="38" t="str">
        <f t="shared" si="36"/>
        <v>-</v>
      </c>
      <c r="O35" s="38" t="str">
        <f>VLOOKUP(L35,'TABEL KONVERSI'!$A$3:$D$7,4)</f>
        <v>-</v>
      </c>
      <c r="P35" s="38" t="str">
        <f t="shared" si="37"/>
        <v>-</v>
      </c>
      <c r="Q35" s="38" t="str">
        <f>VLOOKUP(M35,'TABEL KONVERSI'!$A$3:$D$7,4)</f>
        <v>-</v>
      </c>
      <c r="R35" s="42"/>
      <c r="S35" s="37"/>
      <c r="T35" s="73"/>
      <c r="U35" s="73"/>
      <c r="V35" s="38" t="str">
        <f t="shared" si="38"/>
        <v/>
      </c>
      <c r="W35" s="38" t="str">
        <f t="shared" si="39"/>
        <v/>
      </c>
      <c r="X35" s="38" t="str">
        <f>IF(V35&lt;&gt;"",IF(AND(V35&gt;='TABEL KONVERSI'!$B$3,'ENTRY DATA'!V35&lt;='TABEL KONVERSI'!$C$3),1,IF(AND(V35&gt;='TABEL KONVERSI'!$B$4,'ENTRY DATA'!V35&lt;='TABEL KONVERSI'!$C$4),2,IF(AND(V35&gt;='TABEL KONVERSI'!$B$5,'ENTRY DATA'!V35&lt;='TABEL KONVERSI'!$C$5),3,IF(AND(V35&gt;='TABEL KONVERSI'!$B$6,'ENTRY DATA'!V35&lt;='TABEL KONVERSI'!$C$6),4,"")))),"-")</f>
        <v>-</v>
      </c>
      <c r="Y35" s="38" t="str">
        <f>IF(W35&lt;&gt;"",IF(AND(W35&gt;='TABEL KONVERSI'!$B$3,'ENTRY DATA'!W35&lt;='TABEL KONVERSI'!$C$3),1,IF(AND(W35&gt;='TABEL KONVERSI'!$B$4,'ENTRY DATA'!W35&lt;='TABEL KONVERSI'!$C$4),2,IF(AND(W35&gt;='TABEL KONVERSI'!$B$5,'ENTRY DATA'!W35&lt;='TABEL KONVERSI'!$C$5),3,IF(AND(W35&gt;='TABEL KONVERSI'!$B$6,'ENTRY DATA'!W35&lt;='TABEL KONVERSI'!$C$6),4,"")))),"-")</f>
        <v>-</v>
      </c>
      <c r="Z35" s="38" t="str">
        <f t="shared" si="40"/>
        <v>-</v>
      </c>
      <c r="AA35" s="38" t="str">
        <f>VLOOKUP(X35,'TABEL KONVERSI'!$A$3:$D$7,4)</f>
        <v>-</v>
      </c>
      <c r="AB35" s="38" t="str">
        <f t="shared" si="41"/>
        <v>-</v>
      </c>
      <c r="AC35" s="38" t="str">
        <f>VLOOKUP(Y35,'TABEL KONVERSI'!$A$3:$D$7,4)</f>
        <v>-</v>
      </c>
      <c r="AD35" s="42"/>
      <c r="AE35" s="37"/>
      <c r="AF35" s="73"/>
      <c r="AG35" s="73"/>
      <c r="AH35" s="38" t="str">
        <f t="shared" si="42"/>
        <v/>
      </c>
      <c r="AI35" s="38" t="str">
        <f t="shared" si="43"/>
        <v/>
      </c>
      <c r="AJ35" s="38" t="str">
        <f>IF(AH35&lt;&gt;"",IF(AND(AH35&gt;='TABEL KONVERSI'!$B$3,'ENTRY DATA'!AH35&lt;='TABEL KONVERSI'!$C$3),1,IF(AND(AH35&gt;='TABEL KONVERSI'!$B$4,'ENTRY DATA'!AH35&lt;='TABEL KONVERSI'!$C$4),2,IF(AND(AH35&gt;='TABEL KONVERSI'!$B$5,'ENTRY DATA'!AH35&lt;='TABEL KONVERSI'!$C$5),3,IF(AND(AH35&gt;='TABEL KONVERSI'!$B$6,'ENTRY DATA'!AH35&lt;='TABEL KONVERSI'!$C$6),4,"")))),"-")</f>
        <v>-</v>
      </c>
      <c r="AK35" s="38" t="str">
        <f>IF(AI35&lt;&gt;"",IF(AND(AI35&gt;='TABEL KONVERSI'!$B$3,'ENTRY DATA'!AI35&lt;='TABEL KONVERSI'!$C$3),1,IF(AND(AI35&gt;='TABEL KONVERSI'!$B$4,'ENTRY DATA'!AI35&lt;='TABEL KONVERSI'!$C$4),2,IF(AND(AI35&gt;='TABEL KONVERSI'!$B$5,'ENTRY DATA'!AI35&lt;='TABEL KONVERSI'!$C$5),3,IF(AND(AI35&gt;='TABEL KONVERSI'!$B$6,'ENTRY DATA'!AI35&lt;='TABEL KONVERSI'!$C$6),4,"")))),"-")</f>
        <v>-</v>
      </c>
      <c r="AL35" s="38" t="str">
        <f t="shared" si="44"/>
        <v>-</v>
      </c>
      <c r="AM35" s="38" t="str">
        <f>VLOOKUP(AJ35,'TABEL KONVERSI'!$A$3:$D$7,4)</f>
        <v>-</v>
      </c>
      <c r="AN35" s="38" t="str">
        <f t="shared" si="45"/>
        <v>-</v>
      </c>
      <c r="AO35" s="38" t="str">
        <f>VLOOKUP(AK35,'TABEL KONVERSI'!$A$3:$D$7,4)</f>
        <v>-</v>
      </c>
      <c r="AP35" s="42"/>
      <c r="AQ35" s="37"/>
      <c r="AR35" s="73"/>
      <c r="AS35" s="73"/>
      <c r="AT35" s="38" t="str">
        <f t="shared" si="46"/>
        <v/>
      </c>
      <c r="AU35" s="38" t="str">
        <f t="shared" si="47"/>
        <v/>
      </c>
      <c r="AV35" s="38" t="str">
        <f>IF(AT35&lt;&gt;"",IF(AND(AT35&gt;='TABEL KONVERSI'!$B$3,'ENTRY DATA'!AT35&lt;='TABEL KONVERSI'!$C$3),1,IF(AND(AT35&gt;='TABEL KONVERSI'!$B$4,'ENTRY DATA'!AT35&lt;='TABEL KONVERSI'!$C$4),2,IF(AND(AT35&gt;='TABEL KONVERSI'!$B$5,'ENTRY DATA'!AT35&lt;='TABEL KONVERSI'!$C$5),3,IF(AND(AT35&gt;='TABEL KONVERSI'!$B$6,'ENTRY DATA'!AT35&lt;='TABEL KONVERSI'!$C$6),4,"")))),"-")</f>
        <v>-</v>
      </c>
      <c r="AW35" s="38" t="str">
        <f>IF(AU35&lt;&gt;"",IF(AND(AU35&gt;='TABEL KONVERSI'!$B$3,'ENTRY DATA'!AU35&lt;='TABEL KONVERSI'!$C$3),1,IF(AND(AU35&gt;='TABEL KONVERSI'!$B$4,'ENTRY DATA'!AU35&lt;='TABEL KONVERSI'!$C$4),2,IF(AND(AU35&gt;='TABEL KONVERSI'!$B$5,'ENTRY DATA'!AU35&lt;='TABEL KONVERSI'!$C$5),3,IF(AND(AU35&gt;='TABEL KONVERSI'!$B$6,'ENTRY DATA'!AU35&lt;='TABEL KONVERSI'!$C$6),4,"")))),"-")</f>
        <v>-</v>
      </c>
      <c r="AX35" s="38" t="str">
        <f t="shared" si="48"/>
        <v>-</v>
      </c>
      <c r="AY35" s="38" t="str">
        <f>VLOOKUP(AV35,'TABEL KONVERSI'!$A$3:$D$7,4)</f>
        <v>-</v>
      </c>
      <c r="AZ35" s="38" t="str">
        <f t="shared" si="49"/>
        <v>-</v>
      </c>
      <c r="BA35" s="38" t="str">
        <f>VLOOKUP(AW35,'TABEL KONVERSI'!$A$3:$D$7,4)</f>
        <v>-</v>
      </c>
      <c r="BB35" s="42"/>
      <c r="BC35" s="37"/>
      <c r="BD35" s="73"/>
      <c r="BE35" s="73"/>
      <c r="BF35" s="38" t="str">
        <f t="shared" si="50"/>
        <v/>
      </c>
      <c r="BG35" s="38" t="str">
        <f t="shared" si="51"/>
        <v/>
      </c>
      <c r="BH35" s="38" t="str">
        <f>IF(BF35&lt;&gt;"",IF(AND(BF35&gt;='TABEL KONVERSI'!$B$3,'ENTRY DATA'!BF35&lt;='TABEL KONVERSI'!$C$3),1,IF(AND(BF35&gt;='TABEL KONVERSI'!$B$4,'ENTRY DATA'!BF35&lt;='TABEL KONVERSI'!$C$4),2,IF(AND(BF35&gt;='TABEL KONVERSI'!$B$5,'ENTRY DATA'!BF35&lt;='TABEL KONVERSI'!$C$5),3,IF(AND(BF35&gt;='TABEL KONVERSI'!$B$6,'ENTRY DATA'!BF35&lt;='TABEL KONVERSI'!$C$6),4,"")))),"-")</f>
        <v>-</v>
      </c>
      <c r="BI35" s="38" t="str">
        <f>IF(BG35&lt;&gt;"",IF(AND(BG35&gt;='TABEL KONVERSI'!$B$3,'ENTRY DATA'!BG35&lt;='TABEL KONVERSI'!$C$3),1,IF(AND(BG35&gt;='TABEL KONVERSI'!$B$4,'ENTRY DATA'!BG35&lt;='TABEL KONVERSI'!$C$4),2,IF(AND(BG35&gt;='TABEL KONVERSI'!$B$5,'ENTRY DATA'!BG35&lt;='TABEL KONVERSI'!$C$5),3,IF(AND(BG35&gt;='TABEL KONVERSI'!$B$6,'ENTRY DATA'!BG35&lt;='TABEL KONVERSI'!$C$6),4,"")))),"-")</f>
        <v>-</v>
      </c>
      <c r="BJ35" s="38" t="str">
        <f t="shared" si="52"/>
        <v>-</v>
      </c>
      <c r="BK35" s="38" t="str">
        <f>VLOOKUP(BH35,'TABEL KONVERSI'!$A$3:$D$7,4)</f>
        <v>-</v>
      </c>
      <c r="BL35" s="38" t="str">
        <f t="shared" si="53"/>
        <v>-</v>
      </c>
      <c r="BM35" s="38" t="str">
        <f>VLOOKUP(BI35,'TABEL KONVERSI'!$A$3:$D$7,4)</f>
        <v>-</v>
      </c>
      <c r="BN35" s="42"/>
      <c r="BO35" s="37"/>
      <c r="BP35" s="73"/>
      <c r="BQ35" s="73"/>
      <c r="BR35" s="38" t="str">
        <f t="shared" si="54"/>
        <v/>
      </c>
      <c r="BS35" s="38" t="str">
        <f t="shared" si="55"/>
        <v/>
      </c>
      <c r="BT35" s="38" t="str">
        <f>IF(BR35&lt;&gt;"",IF(AND(BR35&gt;='TABEL KONVERSI'!$B$3,'ENTRY DATA'!BR35&lt;='TABEL KONVERSI'!$C$3),1,IF(AND(BR35&gt;='TABEL KONVERSI'!$B$4,'ENTRY DATA'!BR35&lt;='TABEL KONVERSI'!$C$4),2,IF(AND(BR35&gt;='TABEL KONVERSI'!$B$5,'ENTRY DATA'!BR35&lt;='TABEL KONVERSI'!$C$5),3,IF(AND(BR35&gt;='TABEL KONVERSI'!$B$6,'ENTRY DATA'!BR35&lt;='TABEL KONVERSI'!$C$6),4,"")))),"-")</f>
        <v>-</v>
      </c>
      <c r="BU35" s="38" t="str">
        <f>IF(BS35&lt;&gt;"",IF(AND(BS35&gt;='TABEL KONVERSI'!$B$3,'ENTRY DATA'!BS35&lt;='TABEL KONVERSI'!$C$3),1,IF(AND(BS35&gt;='TABEL KONVERSI'!$B$4,'ENTRY DATA'!BS35&lt;='TABEL KONVERSI'!$C$4),2,IF(AND(BS35&gt;='TABEL KONVERSI'!$B$5,'ENTRY DATA'!BS35&lt;='TABEL KONVERSI'!$C$5),3,IF(AND(BS35&gt;='TABEL KONVERSI'!$B$6,'ENTRY DATA'!BS35&lt;='TABEL KONVERSI'!$C$6),4,"")))),"-")</f>
        <v>-</v>
      </c>
      <c r="BV35" s="38" t="str">
        <f t="shared" si="56"/>
        <v>-</v>
      </c>
      <c r="BW35" s="38" t="str">
        <f>VLOOKUP(BT35,'TABEL KONVERSI'!$A$3:$D$7,4)</f>
        <v>-</v>
      </c>
      <c r="BX35" s="38" t="str">
        <f t="shared" si="57"/>
        <v>-</v>
      </c>
      <c r="BY35" s="38" t="str">
        <f>VLOOKUP(BU35,'TABEL KONVERSI'!$A$3:$D$7,4)</f>
        <v>-</v>
      </c>
      <c r="BZ35" s="42"/>
      <c r="CA35" s="37"/>
      <c r="CB35" s="73"/>
      <c r="CC35" s="73"/>
      <c r="CD35" s="38" t="str">
        <f t="shared" si="58"/>
        <v/>
      </c>
      <c r="CE35" s="38" t="str">
        <f t="shared" si="59"/>
        <v/>
      </c>
      <c r="CF35" s="38" t="str">
        <f>IF(CD35&lt;&gt;"",IF(AND(CD35&gt;='TABEL KONVERSI'!$B$3,'ENTRY DATA'!CD35&lt;='TABEL KONVERSI'!$C$3),1,IF(AND(CD35&gt;='TABEL KONVERSI'!$B$4,'ENTRY DATA'!CD35&lt;='TABEL KONVERSI'!$C$4),2,IF(AND(CD35&gt;='TABEL KONVERSI'!$B$5,'ENTRY DATA'!CD35&lt;='TABEL KONVERSI'!$C$5),3,IF(AND(CD35&gt;='TABEL KONVERSI'!$B$6,'ENTRY DATA'!CD35&lt;='TABEL KONVERSI'!$C$6),4,"")))),"-")</f>
        <v>-</v>
      </c>
      <c r="CG35" s="38" t="str">
        <f>IF(CE35&lt;&gt;"",IF(AND(CE35&gt;='TABEL KONVERSI'!$B$3,'ENTRY DATA'!CE35&lt;='TABEL KONVERSI'!$C$3),1,IF(AND(CE35&gt;='TABEL KONVERSI'!$B$4,'ENTRY DATA'!CE35&lt;='TABEL KONVERSI'!$C$4),2,IF(AND(CE35&gt;='TABEL KONVERSI'!$B$5,'ENTRY DATA'!CE35&lt;='TABEL KONVERSI'!$C$5),3,IF(AND(CE35&gt;='TABEL KONVERSI'!$B$6,'ENTRY DATA'!CE35&lt;='TABEL KONVERSI'!$C$6),4,"")))),"-")</f>
        <v>-</v>
      </c>
      <c r="CH35" s="38" t="str">
        <f t="shared" si="60"/>
        <v>-</v>
      </c>
      <c r="CI35" s="38" t="str">
        <f>VLOOKUP(CF35,'TABEL KONVERSI'!$A$3:$D$7,4)</f>
        <v>-</v>
      </c>
      <c r="CJ35" s="38" t="str">
        <f t="shared" si="61"/>
        <v>-</v>
      </c>
      <c r="CK35" s="38" t="str">
        <f>VLOOKUP(CG35,'TABEL KONVERSI'!$A$3:$D$7,4)</f>
        <v>-</v>
      </c>
      <c r="CL35" s="42"/>
      <c r="CM35" s="37"/>
      <c r="CN35" s="73"/>
      <c r="CO35" s="73"/>
      <c r="CP35" s="38" t="str">
        <f t="shared" si="62"/>
        <v/>
      </c>
      <c r="CQ35" s="38" t="str">
        <f t="shared" si="63"/>
        <v/>
      </c>
      <c r="CR35" s="38" t="str">
        <f>IF(CP35&lt;&gt;"",IF(AND(CP35&gt;='TABEL KONVERSI'!$B$3,'ENTRY DATA'!CP35&lt;='TABEL KONVERSI'!$C$3),1,IF(AND(CP35&gt;='TABEL KONVERSI'!$B$4,'ENTRY DATA'!CP35&lt;='TABEL KONVERSI'!$C$4),2,IF(AND(CP35&gt;='TABEL KONVERSI'!$B$5,'ENTRY DATA'!CP35&lt;='TABEL KONVERSI'!$C$5),3,IF(AND(CP35&gt;='TABEL KONVERSI'!$B$6,'ENTRY DATA'!CP35&lt;='TABEL KONVERSI'!$C$6),4,"")))),"-")</f>
        <v>-</v>
      </c>
      <c r="CS35" s="38" t="str">
        <f>IF(CQ35&lt;&gt;"",IF(AND(CQ35&gt;='TABEL KONVERSI'!$B$3,'ENTRY DATA'!CQ35&lt;='TABEL KONVERSI'!$C$3),1,IF(AND(CQ35&gt;='TABEL KONVERSI'!$B$4,'ENTRY DATA'!CQ35&lt;='TABEL KONVERSI'!$C$4),2,IF(AND(CQ35&gt;='TABEL KONVERSI'!$B$5,'ENTRY DATA'!CQ35&lt;='TABEL KONVERSI'!$C$5),3,IF(AND(CQ35&gt;='TABEL KONVERSI'!$B$6,'ENTRY DATA'!CQ35&lt;='TABEL KONVERSI'!$C$6),4,"")))),"-")</f>
        <v>-</v>
      </c>
      <c r="CT35" s="38" t="str">
        <f t="shared" si="64"/>
        <v>-</v>
      </c>
      <c r="CU35" s="38" t="str">
        <f>VLOOKUP(CR35,'TABEL KONVERSI'!$A$3:$D$7,4)</f>
        <v>-</v>
      </c>
      <c r="CV35" s="38" t="str">
        <f t="shared" si="65"/>
        <v>-</v>
      </c>
      <c r="CW35" s="38" t="str">
        <f>VLOOKUP(CS35,'TABEL KONVERSI'!$A$3:$D$7,4)</f>
        <v>-</v>
      </c>
      <c r="CX35" s="42"/>
      <c r="CY35" s="37"/>
      <c r="CZ35" s="73"/>
      <c r="DA35" s="73"/>
      <c r="DB35" s="38" t="str">
        <f t="shared" si="66"/>
        <v/>
      </c>
      <c r="DC35" s="38" t="str">
        <f t="shared" si="67"/>
        <v/>
      </c>
      <c r="DD35" s="38" t="str">
        <f>IF(DB35&lt;&gt;"",IF(AND(DB35&gt;='TABEL KONVERSI'!$B$3,'ENTRY DATA'!DB35&lt;='TABEL KONVERSI'!$C$3),1,IF(AND(DB35&gt;='TABEL KONVERSI'!$B$4,'ENTRY DATA'!DB35&lt;='TABEL KONVERSI'!$C$4),2,IF(AND(DB35&gt;='TABEL KONVERSI'!$B$5,'ENTRY DATA'!DB35&lt;='TABEL KONVERSI'!$C$5),3,IF(AND(DB35&gt;='TABEL KONVERSI'!$B$6,'ENTRY DATA'!DB35&lt;='TABEL KONVERSI'!$C$6),4,"")))),"-")</f>
        <v>-</v>
      </c>
      <c r="DE35" s="38" t="str">
        <f>IF(DC35&lt;&gt;"",IF(AND(DC35&gt;='TABEL KONVERSI'!$B$3,'ENTRY DATA'!DC35&lt;='TABEL KONVERSI'!$C$3),1,IF(AND(DC35&gt;='TABEL KONVERSI'!$B$4,'ENTRY DATA'!DC35&lt;='TABEL KONVERSI'!$C$4),2,IF(AND(DC35&gt;='TABEL KONVERSI'!$B$5,'ENTRY DATA'!DC35&lt;='TABEL KONVERSI'!$C$5),3,IF(AND(DC35&gt;='TABEL KONVERSI'!$B$6,'ENTRY DATA'!DC35&lt;='TABEL KONVERSI'!$C$6),4,"")))),"-")</f>
        <v>-</v>
      </c>
      <c r="DF35" s="38" t="str">
        <f t="shared" si="68"/>
        <v>-</v>
      </c>
      <c r="DG35" s="38" t="str">
        <f>VLOOKUP(DD35,'TABEL KONVERSI'!$A$3:$D$7,4)</f>
        <v>-</v>
      </c>
      <c r="DH35" s="38" t="str">
        <f t="shared" si="69"/>
        <v>-</v>
      </c>
      <c r="DI35" s="38" t="str">
        <f>VLOOKUP(DE35,'TABEL KONVERSI'!$A$3:$D$7,4)</f>
        <v>-</v>
      </c>
      <c r="DJ35" s="42"/>
      <c r="DK35" s="37"/>
      <c r="DL35" s="73"/>
      <c r="DM35" s="73"/>
      <c r="DN35" s="38" t="str">
        <f t="shared" si="70"/>
        <v/>
      </c>
      <c r="DO35" s="38" t="str">
        <f t="shared" si="71"/>
        <v/>
      </c>
      <c r="DP35" s="38" t="str">
        <f>IF(DN35&lt;&gt;"",IF(AND(DN35&gt;='TABEL KONVERSI'!$B$3,'ENTRY DATA'!DN35&lt;='TABEL KONVERSI'!$C$3),1,IF(AND(DN35&gt;='TABEL KONVERSI'!$B$4,'ENTRY DATA'!DN35&lt;='TABEL KONVERSI'!$C$4),2,IF(AND(DN35&gt;='TABEL KONVERSI'!$B$5,'ENTRY DATA'!DN35&lt;='TABEL KONVERSI'!$C$5),3,IF(AND(DN35&gt;='TABEL KONVERSI'!$B$6,'ENTRY DATA'!DN35&lt;='TABEL KONVERSI'!$C$6),4,"")))),"-")</f>
        <v>-</v>
      </c>
      <c r="DQ35" s="38" t="str">
        <f>IF(DO35&lt;&gt;"",IF(AND(DO35&gt;='TABEL KONVERSI'!$B$3,'ENTRY DATA'!DO35&lt;='TABEL KONVERSI'!$C$3),1,IF(AND(DO35&gt;='TABEL KONVERSI'!$B$4,'ENTRY DATA'!DO35&lt;='TABEL KONVERSI'!$C$4),2,IF(AND(DO35&gt;='TABEL KONVERSI'!$B$5,'ENTRY DATA'!DO35&lt;='TABEL KONVERSI'!$C$5),3,IF(AND(DO35&gt;='TABEL KONVERSI'!$B$6,'ENTRY DATA'!DO35&lt;='TABEL KONVERSI'!$C$6),4,"")))),"-")</f>
        <v>-</v>
      </c>
      <c r="DR35" s="38" t="str">
        <f t="shared" si="72"/>
        <v>-</v>
      </c>
      <c r="DS35" s="38" t="str">
        <f>VLOOKUP(DP35,'TABEL KONVERSI'!$A$3:$D$7,4)</f>
        <v>-</v>
      </c>
      <c r="DT35" s="38" t="str">
        <f t="shared" si="73"/>
        <v>-</v>
      </c>
      <c r="DU35" s="38" t="str">
        <f>VLOOKUP(DQ35,'TABEL KONVERSI'!$A$3:$D$7,4)</f>
        <v>-</v>
      </c>
      <c r="DV35" s="42"/>
      <c r="DW35" s="37"/>
      <c r="DX35" s="73"/>
      <c r="DY35" s="73"/>
      <c r="DZ35" s="38" t="str">
        <f t="shared" si="74"/>
        <v/>
      </c>
      <c r="EA35" s="38" t="str">
        <f t="shared" si="75"/>
        <v/>
      </c>
      <c r="EB35" s="38" t="str">
        <f>IF(DZ35&lt;&gt;"",IF(AND(DZ35&gt;='TABEL KONVERSI'!$B$3,'ENTRY DATA'!DZ35&lt;='TABEL KONVERSI'!$C$3),1,IF(AND(DZ35&gt;='TABEL KONVERSI'!$B$4,'ENTRY DATA'!DZ35&lt;='TABEL KONVERSI'!$C$4),2,IF(AND(DZ35&gt;='TABEL KONVERSI'!$B$5,'ENTRY DATA'!DZ35&lt;='TABEL KONVERSI'!$C$5),3,IF(AND(DZ35&gt;='TABEL KONVERSI'!$B$6,'ENTRY DATA'!DZ35&lt;='TABEL KONVERSI'!$C$6),4,"")))),"-")</f>
        <v>-</v>
      </c>
      <c r="EC35" s="38" t="str">
        <f>IF(EA35&lt;&gt;"",IF(AND(EA35&gt;='TABEL KONVERSI'!$B$3,'ENTRY DATA'!EA35&lt;='TABEL KONVERSI'!$C$3),1,IF(AND(EA35&gt;='TABEL KONVERSI'!$B$4,'ENTRY DATA'!EA35&lt;='TABEL KONVERSI'!$C$4),2,IF(AND(EA35&gt;='TABEL KONVERSI'!$B$5,'ENTRY DATA'!EA35&lt;='TABEL KONVERSI'!$C$5),3,IF(AND(EA35&gt;='TABEL KONVERSI'!$B$6,'ENTRY DATA'!EA35&lt;='TABEL KONVERSI'!$C$6),4,"")))),"-")</f>
        <v>-</v>
      </c>
      <c r="ED35" s="38" t="str">
        <f t="shared" si="76"/>
        <v>-</v>
      </c>
      <c r="EE35" s="38" t="str">
        <f>VLOOKUP(EB35,'TABEL KONVERSI'!$A$3:$D$7,4)</f>
        <v>-</v>
      </c>
      <c r="EF35" s="38" t="str">
        <f t="shared" si="77"/>
        <v>-</v>
      </c>
      <c r="EG35" s="38" t="str">
        <f>VLOOKUP(EC35,'TABEL KONVERSI'!$A$3:$D$7,4)</f>
        <v>-</v>
      </c>
      <c r="EH35" s="42"/>
      <c r="EI35" s="37"/>
      <c r="EJ35" s="73"/>
      <c r="EK35" s="73"/>
      <c r="EL35" s="38" t="str">
        <f t="shared" si="78"/>
        <v/>
      </c>
      <c r="EM35" s="38" t="str">
        <f t="shared" si="79"/>
        <v/>
      </c>
      <c r="EN35" s="38" t="str">
        <f>IF(EL35&lt;&gt;"",IF(AND(EL35&gt;='TABEL KONVERSI'!$B$3,'ENTRY DATA'!EL35&lt;='TABEL KONVERSI'!$C$3),1,IF(AND(EL35&gt;='TABEL KONVERSI'!$B$4,'ENTRY DATA'!EL35&lt;='TABEL KONVERSI'!$C$4),2,IF(AND(EL35&gt;='TABEL KONVERSI'!$B$5,'ENTRY DATA'!EL35&lt;='TABEL KONVERSI'!$C$5),3,IF(AND(EL35&gt;='TABEL KONVERSI'!$B$6,'ENTRY DATA'!EL35&lt;='TABEL KONVERSI'!$C$6),4,"")))),"-")</f>
        <v>-</v>
      </c>
      <c r="EO35" s="38" t="str">
        <f>IF(EM35&lt;&gt;"",IF(AND(EM35&gt;='TABEL KONVERSI'!$B$3,'ENTRY DATA'!EM35&lt;='TABEL KONVERSI'!$C$3),1,IF(AND(EM35&gt;='TABEL KONVERSI'!$B$4,'ENTRY DATA'!EM35&lt;='TABEL KONVERSI'!$C$4),2,IF(AND(EM35&gt;='TABEL KONVERSI'!$B$5,'ENTRY DATA'!EM35&lt;='TABEL KONVERSI'!$C$5),3,IF(AND(EM35&gt;='TABEL KONVERSI'!$B$6,'ENTRY DATA'!EM35&lt;='TABEL KONVERSI'!$C$6),4,"")))),"-")</f>
        <v>-</v>
      </c>
      <c r="EP35" s="38" t="str">
        <f t="shared" si="80"/>
        <v>-</v>
      </c>
      <c r="EQ35" s="38" t="str">
        <f>VLOOKUP(EN35,'TABEL KONVERSI'!$A$3:$D$7,4)</f>
        <v>-</v>
      </c>
      <c r="ER35" s="38" t="str">
        <f t="shared" si="81"/>
        <v>-</v>
      </c>
      <c r="ES35" s="38" t="str">
        <f>VLOOKUP(EO35,'TABEL KONVERSI'!$A$3:$D$7,4)</f>
        <v>-</v>
      </c>
      <c r="ET35" s="42"/>
      <c r="EU35" s="37"/>
      <c r="EV35" s="73"/>
      <c r="EW35" s="73"/>
      <c r="EX35" s="38" t="str">
        <f t="shared" si="82"/>
        <v/>
      </c>
      <c r="EY35" s="38" t="str">
        <f t="shared" si="83"/>
        <v/>
      </c>
      <c r="EZ35" s="38" t="str">
        <f>IF(EX35&lt;&gt;"",IF(AND(EX35&gt;='TABEL KONVERSI'!$B$3,'ENTRY DATA'!EX35&lt;='TABEL KONVERSI'!$C$3),1,IF(AND(EX35&gt;='TABEL KONVERSI'!$B$4,'ENTRY DATA'!EX35&lt;='TABEL KONVERSI'!$C$4),2,IF(AND(EX35&gt;='TABEL KONVERSI'!$B$5,'ENTRY DATA'!EX35&lt;='TABEL KONVERSI'!$C$5),3,IF(AND(EX35&gt;='TABEL KONVERSI'!$B$6,'ENTRY DATA'!EX35&lt;='TABEL KONVERSI'!$C$6),4,"")))),"-")</f>
        <v>-</v>
      </c>
      <c r="FA35" s="38" t="str">
        <f>IF(EY35&lt;&gt;"",IF(AND(EY35&gt;='TABEL KONVERSI'!$B$3,'ENTRY DATA'!EY35&lt;='TABEL KONVERSI'!$C$3),1,IF(AND(EY35&gt;='TABEL KONVERSI'!$B$4,'ENTRY DATA'!EY35&lt;='TABEL KONVERSI'!$C$4),2,IF(AND(EY35&gt;='TABEL KONVERSI'!$B$5,'ENTRY DATA'!EY35&lt;='TABEL KONVERSI'!$C$5),3,IF(AND(EY35&gt;='TABEL KONVERSI'!$B$6,'ENTRY DATA'!EY35&lt;='TABEL KONVERSI'!$C$6),4,"")))),"-")</f>
        <v>-</v>
      </c>
      <c r="FB35" s="38" t="str">
        <f t="shared" si="84"/>
        <v>-</v>
      </c>
      <c r="FC35" s="38" t="str">
        <f>VLOOKUP(EZ35,'TABEL KONVERSI'!$A$3:$D$7,4)</f>
        <v>-</v>
      </c>
      <c r="FD35" s="38" t="str">
        <f t="shared" si="85"/>
        <v>-</v>
      </c>
      <c r="FE35" s="38" t="str">
        <f>VLOOKUP(FA35,'TABEL KONVERSI'!$A$3:$D$7,4)</f>
        <v>-</v>
      </c>
      <c r="FF35" s="42"/>
      <c r="FG35" s="37"/>
      <c r="FH35" s="73"/>
      <c r="FI35" s="73"/>
      <c r="FJ35" s="38" t="str">
        <f t="shared" si="86"/>
        <v/>
      </c>
      <c r="FK35" s="38" t="str">
        <f t="shared" si="87"/>
        <v/>
      </c>
      <c r="FL35" s="38" t="str">
        <f>IF(FJ35&lt;&gt;"",IF(AND(FJ35&gt;='TABEL KONVERSI'!$B$3,'ENTRY DATA'!FJ35&lt;='TABEL KONVERSI'!$C$3),1,IF(AND(FJ35&gt;='TABEL KONVERSI'!$B$4,'ENTRY DATA'!FJ35&lt;='TABEL KONVERSI'!$C$4),2,IF(AND(FJ35&gt;='TABEL KONVERSI'!$B$5,'ENTRY DATA'!FJ35&lt;='TABEL KONVERSI'!$C$5),3,IF(AND(FJ35&gt;='TABEL KONVERSI'!$B$6,'ENTRY DATA'!FJ35&lt;='TABEL KONVERSI'!$C$6),4,"")))),"-")</f>
        <v>-</v>
      </c>
      <c r="FM35" s="38" t="str">
        <f>IF(FK35&lt;&gt;"",IF(AND(FK35&gt;='TABEL KONVERSI'!$B$3,'ENTRY DATA'!FK35&lt;='TABEL KONVERSI'!$C$3),1,IF(AND(FK35&gt;='TABEL KONVERSI'!$B$4,'ENTRY DATA'!FK35&lt;='TABEL KONVERSI'!$C$4),2,IF(AND(FK35&gt;='TABEL KONVERSI'!$B$5,'ENTRY DATA'!FK35&lt;='TABEL KONVERSI'!$C$5),3,IF(AND(FK35&gt;='TABEL KONVERSI'!$B$6,'ENTRY DATA'!FK35&lt;='TABEL KONVERSI'!$C$6),4,"")))),"-")</f>
        <v>-</v>
      </c>
      <c r="FN35" s="38" t="str">
        <f t="shared" si="88"/>
        <v>-</v>
      </c>
      <c r="FO35" s="38" t="str">
        <f>VLOOKUP(FL35,'TABEL KONVERSI'!$A$3:$D$7,4)</f>
        <v>-</v>
      </c>
      <c r="FP35" s="38" t="str">
        <f t="shared" si="89"/>
        <v>-</v>
      </c>
      <c r="FQ35" s="38" t="str">
        <f>VLOOKUP(FM35,'TABEL KONVERSI'!$A$3:$D$7,4)</f>
        <v>-</v>
      </c>
      <c r="FR35" s="42"/>
      <c r="FS35" s="37"/>
      <c r="FT35" s="73"/>
      <c r="FU35" s="73"/>
      <c r="FV35" s="38" t="str">
        <f t="shared" si="90"/>
        <v/>
      </c>
      <c r="FW35" s="38" t="str">
        <f t="shared" si="91"/>
        <v/>
      </c>
      <c r="FX35" s="38" t="str">
        <f>IF(FV35&lt;&gt;"",IF(AND(FV35&gt;='TABEL KONVERSI'!$B$3,'ENTRY DATA'!FV35&lt;='TABEL KONVERSI'!$C$3),1,IF(AND(FV35&gt;='TABEL KONVERSI'!$B$4,'ENTRY DATA'!FV35&lt;='TABEL KONVERSI'!$C$4),2,IF(AND(FV35&gt;='TABEL KONVERSI'!$B$5,'ENTRY DATA'!FV35&lt;='TABEL KONVERSI'!$C$5),3,IF(AND(FV35&gt;='TABEL KONVERSI'!$B$6,'ENTRY DATA'!FV35&lt;='TABEL KONVERSI'!$C$6),4,"")))),"-")</f>
        <v>-</v>
      </c>
      <c r="FY35" s="38" t="str">
        <f>IF(FW35&lt;&gt;"",IF(AND(FW35&gt;='TABEL KONVERSI'!$B$3,'ENTRY DATA'!FW35&lt;='TABEL KONVERSI'!$C$3),1,IF(AND(FW35&gt;='TABEL KONVERSI'!$B$4,'ENTRY DATA'!FW35&lt;='TABEL KONVERSI'!$C$4),2,IF(AND(FW35&gt;='TABEL KONVERSI'!$B$5,'ENTRY DATA'!FW35&lt;='TABEL KONVERSI'!$C$5),3,IF(AND(FW35&gt;='TABEL KONVERSI'!$B$6,'ENTRY DATA'!FW35&lt;='TABEL KONVERSI'!$C$6),4,"")))),"-")</f>
        <v>-</v>
      </c>
      <c r="FZ35" s="38" t="str">
        <f t="shared" si="92"/>
        <v>-</v>
      </c>
      <c r="GA35" s="38" t="str">
        <f>VLOOKUP(FX35,'TABEL KONVERSI'!$A$3:$D$7,4)</f>
        <v>-</v>
      </c>
      <c r="GB35" s="38" t="str">
        <f t="shared" si="93"/>
        <v>-</v>
      </c>
      <c r="GC35" s="38" t="str">
        <f>VLOOKUP(FY35,'TABEL KONVERSI'!$A$3:$D$7,4)</f>
        <v>-</v>
      </c>
      <c r="GD35" s="42"/>
      <c r="GE35" s="37"/>
      <c r="GF35" s="73"/>
      <c r="GG35" s="73"/>
      <c r="GH35" s="38" t="str">
        <f t="shared" si="94"/>
        <v/>
      </c>
      <c r="GI35" s="38" t="str">
        <f t="shared" si="95"/>
        <v/>
      </c>
      <c r="GJ35" s="38" t="str">
        <f>IF(GH35&lt;&gt;"",IF(AND(GH35&gt;='TABEL KONVERSI'!$B$3,'ENTRY DATA'!GH35&lt;='TABEL KONVERSI'!$C$3),1,IF(AND(GH35&gt;='TABEL KONVERSI'!$B$4,'ENTRY DATA'!GH35&lt;='TABEL KONVERSI'!$C$4),2,IF(AND(GH35&gt;='TABEL KONVERSI'!$B$5,'ENTRY DATA'!GH35&lt;='TABEL KONVERSI'!$C$5),3,IF(AND(GH35&gt;='TABEL KONVERSI'!$B$6,'ENTRY DATA'!GH35&lt;='TABEL KONVERSI'!$C$6),4,"")))),"-")</f>
        <v>-</v>
      </c>
      <c r="GK35" s="38" t="str">
        <f>IF(GI35&lt;&gt;"",IF(AND(GI35&gt;='TABEL KONVERSI'!$B$3,'ENTRY DATA'!GI35&lt;='TABEL KONVERSI'!$C$3),1,IF(AND(GI35&gt;='TABEL KONVERSI'!$B$4,'ENTRY DATA'!GI35&lt;='TABEL KONVERSI'!$C$4),2,IF(AND(GI35&gt;='TABEL KONVERSI'!$B$5,'ENTRY DATA'!GI35&lt;='TABEL KONVERSI'!$C$5),3,IF(AND(GI35&gt;='TABEL KONVERSI'!$B$6,'ENTRY DATA'!GI35&lt;='TABEL KONVERSI'!$C$6),4,"")))),"-")</f>
        <v>-</v>
      </c>
      <c r="GL35" s="38" t="str">
        <f t="shared" si="96"/>
        <v>-</v>
      </c>
      <c r="GM35" s="38" t="str">
        <f>VLOOKUP(GJ35,'TABEL KONVERSI'!$A$3:$D$7,4)</f>
        <v>-</v>
      </c>
      <c r="GN35" s="38" t="str">
        <f t="shared" si="97"/>
        <v>-</v>
      </c>
      <c r="GO35" s="38" t="str">
        <f>VLOOKUP(GK35,'TABEL KONVERSI'!$A$3:$D$7,4)</f>
        <v>-</v>
      </c>
      <c r="GP35" s="43">
        <f t="shared" si="0"/>
        <v>0</v>
      </c>
      <c r="GQ35" s="43">
        <f t="shared" si="1"/>
        <v>0</v>
      </c>
      <c r="GR35" s="43">
        <f t="shared" si="2"/>
        <v>0</v>
      </c>
      <c r="GS35" s="43">
        <f t="shared" si="3"/>
        <v>0</v>
      </c>
      <c r="GT35" s="43">
        <f t="shared" si="4"/>
        <v>0</v>
      </c>
      <c r="GU35" s="43">
        <f t="shared" si="5"/>
        <v>0</v>
      </c>
      <c r="GV35" s="43">
        <f t="shared" si="6"/>
        <v>0</v>
      </c>
      <c r="GW35" s="43">
        <f t="shared" si="7"/>
        <v>0</v>
      </c>
      <c r="GX35" s="43">
        <f t="shared" si="8"/>
        <v>0</v>
      </c>
      <c r="GY35" s="43">
        <f t="shared" si="9"/>
        <v>0</v>
      </c>
      <c r="GZ35" s="43">
        <f t="shared" si="10"/>
        <v>0</v>
      </c>
      <c r="HA35" s="43">
        <f t="shared" si="11"/>
        <v>0</v>
      </c>
      <c r="HB35" s="43">
        <f t="shared" si="12"/>
        <v>0</v>
      </c>
      <c r="HC35" s="43">
        <f t="shared" si="13"/>
        <v>0</v>
      </c>
      <c r="HD35" s="43">
        <f t="shared" si="14"/>
        <v>0</v>
      </c>
      <c r="HE35" s="43">
        <f t="shared" si="15"/>
        <v>0</v>
      </c>
      <c r="HF35" s="38">
        <f t="shared" si="98"/>
        <v>0</v>
      </c>
      <c r="HG35" s="38">
        <f t="shared" si="99"/>
        <v>0</v>
      </c>
      <c r="HH35" s="38">
        <f t="shared" si="100"/>
        <v>0</v>
      </c>
      <c r="HI35" s="39">
        <f t="shared" si="101"/>
        <v>0</v>
      </c>
      <c r="HJ35" s="44" t="str">
        <f t="shared" si="102"/>
        <v>-</v>
      </c>
      <c r="HK35" s="45" t="str">
        <f>VLOOKUP(HJ35,'TABEL KONVERSI'!$B$11:$D$15,2,0)</f>
        <v>-</v>
      </c>
      <c r="HL35" s="43">
        <f t="shared" si="16"/>
        <v>0</v>
      </c>
      <c r="HM35" s="43">
        <f t="shared" si="17"/>
        <v>0</v>
      </c>
      <c r="HN35" s="43">
        <f t="shared" si="18"/>
        <v>0</v>
      </c>
      <c r="HO35" s="43">
        <f t="shared" si="19"/>
        <v>0</v>
      </c>
      <c r="HP35" s="43">
        <f t="shared" si="20"/>
        <v>0</v>
      </c>
      <c r="HQ35" s="43">
        <f t="shared" si="21"/>
        <v>0</v>
      </c>
      <c r="HR35" s="43">
        <f t="shared" si="22"/>
        <v>0</v>
      </c>
      <c r="HS35" s="43">
        <f t="shared" si="23"/>
        <v>0</v>
      </c>
      <c r="HT35" s="43">
        <f t="shared" si="24"/>
        <v>0</v>
      </c>
      <c r="HU35" s="43">
        <f t="shared" si="25"/>
        <v>0</v>
      </c>
      <c r="HV35" s="43">
        <f t="shared" si="26"/>
        <v>0</v>
      </c>
      <c r="HW35" s="43">
        <f t="shared" si="27"/>
        <v>0</v>
      </c>
      <c r="HX35" s="43">
        <f t="shared" si="28"/>
        <v>0</v>
      </c>
      <c r="HY35" s="43">
        <f t="shared" si="29"/>
        <v>0</v>
      </c>
      <c r="HZ35" s="43">
        <f t="shared" si="30"/>
        <v>0</v>
      </c>
      <c r="IA35" s="43">
        <f t="shared" si="31"/>
        <v>0</v>
      </c>
      <c r="IB35" s="38">
        <f t="shared" si="103"/>
        <v>0</v>
      </c>
      <c r="IC35" s="38">
        <f t="shared" si="104"/>
        <v>0</v>
      </c>
      <c r="ID35" s="38">
        <f t="shared" si="105"/>
        <v>0</v>
      </c>
      <c r="IE35" s="38">
        <f t="shared" si="106"/>
        <v>0</v>
      </c>
      <c r="IF35" s="46" t="str">
        <f t="shared" si="107"/>
        <v>-</v>
      </c>
      <c r="IG35" s="45" t="str">
        <f>VLOOKUP(IF35,'TABEL KONVERSI'!$B$11:$D$15,3,0)</f>
        <v>-</v>
      </c>
      <c r="IH35" s="40" t="s">
        <v>223</v>
      </c>
      <c r="II35" s="41" t="s">
        <v>106</v>
      </c>
      <c r="IJ35" s="45" t="str">
        <f>IF(II35&lt;&gt;"",VLOOKUP(II35,'TABEL KONVERSI'!$A$19:$B$23,2,0),"")</f>
        <v>Aktif dalam mengikuti kegiatan</v>
      </c>
      <c r="IK35" s="47" t="s">
        <v>58</v>
      </c>
      <c r="IL35" s="50" t="s">
        <v>58</v>
      </c>
      <c r="IM35" s="45" t="str">
        <f>IF(IL35&lt;&gt;"",VLOOKUP(IL35,'TABEL KONVERSI'!$A$19:$B$23,2,0),"")</f>
        <v>-</v>
      </c>
      <c r="IN35" s="49" t="s">
        <v>58</v>
      </c>
      <c r="IO35" s="48" t="s">
        <v>58</v>
      </c>
      <c r="IP35" s="45" t="str">
        <f>IF(IO35&lt;&gt;"",VLOOKUP(IO35,'TABEL KONVERSI'!$A$19:$B$23,2,0),"")</f>
        <v>-</v>
      </c>
      <c r="IQ35" s="49" t="s">
        <v>58</v>
      </c>
      <c r="IR35" s="50" t="s">
        <v>58</v>
      </c>
      <c r="IS35" s="45" t="str">
        <f>IF(IR35&lt;&gt;"",VLOOKUP(IR35,'TABEL KONVERSI'!$A$19:$B$23,2,0),"")</f>
        <v>-</v>
      </c>
      <c r="IT35" s="49" t="s">
        <v>58</v>
      </c>
      <c r="IU35" s="50" t="s">
        <v>58</v>
      </c>
      <c r="IV35" s="45" t="str">
        <f>IF(IU35&lt;&gt;"",VLOOKUP(IU35,'TABEL KONVERSI'!$A$19:$B$23,2,0),"")</f>
        <v>-</v>
      </c>
      <c r="IW35" s="48" t="s">
        <v>58</v>
      </c>
      <c r="IX35" s="48" t="s">
        <v>58</v>
      </c>
      <c r="IY35" s="48" t="s">
        <v>58</v>
      </c>
      <c r="IZ35" s="47" t="s">
        <v>58</v>
      </c>
      <c r="JA35" s="45">
        <f t="shared" si="32"/>
        <v>0</v>
      </c>
      <c r="JB35" s="45">
        <f t="shared" si="33"/>
        <v>1</v>
      </c>
    </row>
    <row r="36" spans="1:262" x14ac:dyDescent="0.25">
      <c r="A36" s="33">
        <v>24</v>
      </c>
      <c r="B36" s="51"/>
      <c r="C36" s="51"/>
      <c r="D36" s="77"/>
      <c r="E36" s="52"/>
      <c r="F36" s="42"/>
      <c r="G36" s="37"/>
      <c r="H36" s="73"/>
      <c r="I36" s="73"/>
      <c r="J36" s="38" t="str">
        <f t="shared" si="34"/>
        <v/>
      </c>
      <c r="K36" s="38" t="str">
        <f t="shared" si="35"/>
        <v/>
      </c>
      <c r="L36" s="38" t="str">
        <f>IF(J36&lt;&gt;"",IF(AND(J36&gt;='TABEL KONVERSI'!$B$3,'ENTRY DATA'!J36&lt;='TABEL KONVERSI'!$C$3),1,IF(AND(J36&gt;='TABEL KONVERSI'!$B$4,'ENTRY DATA'!J36&lt;='TABEL KONVERSI'!$C$4),2,IF(AND(J36&gt;='TABEL KONVERSI'!$B$5,'ENTRY DATA'!J36&lt;='TABEL KONVERSI'!$C$5),3,IF(AND(J36&gt;='TABEL KONVERSI'!$B$6,'ENTRY DATA'!J36&lt;='TABEL KONVERSI'!$C$6),4,"")))),"-")</f>
        <v>-</v>
      </c>
      <c r="M36" s="38" t="str">
        <f>IF(K36&lt;&gt;"",IF(AND(K36&gt;='TABEL KONVERSI'!$B$3,'ENTRY DATA'!K36&lt;='TABEL KONVERSI'!$C$3),1,IF(AND(K36&gt;='TABEL KONVERSI'!$B$4,'ENTRY DATA'!K36&lt;='TABEL KONVERSI'!$C$4),2,IF(AND(K36&gt;='TABEL KONVERSI'!$B$5,'ENTRY DATA'!K36&lt;='TABEL KONVERSI'!$C$5),3,IF(AND(K36&gt;='TABEL KONVERSI'!$B$6,'ENTRY DATA'!K36&lt;='TABEL KONVERSI'!$C$6),4,"")))),"-")</f>
        <v>-</v>
      </c>
      <c r="N36" s="38" t="str">
        <f t="shared" si="36"/>
        <v>-</v>
      </c>
      <c r="O36" s="38" t="str">
        <f>VLOOKUP(L36,'TABEL KONVERSI'!$A$3:$D$7,4)</f>
        <v>-</v>
      </c>
      <c r="P36" s="38" t="str">
        <f t="shared" si="37"/>
        <v>-</v>
      </c>
      <c r="Q36" s="38" t="str">
        <f>VLOOKUP(M36,'TABEL KONVERSI'!$A$3:$D$7,4)</f>
        <v>-</v>
      </c>
      <c r="R36" s="42"/>
      <c r="S36" s="37"/>
      <c r="T36" s="73"/>
      <c r="U36" s="73"/>
      <c r="V36" s="38" t="str">
        <f t="shared" si="38"/>
        <v/>
      </c>
      <c r="W36" s="38" t="str">
        <f t="shared" si="39"/>
        <v/>
      </c>
      <c r="X36" s="38" t="str">
        <f>IF(V36&lt;&gt;"",IF(AND(V36&gt;='TABEL KONVERSI'!$B$3,'ENTRY DATA'!V36&lt;='TABEL KONVERSI'!$C$3),1,IF(AND(V36&gt;='TABEL KONVERSI'!$B$4,'ENTRY DATA'!V36&lt;='TABEL KONVERSI'!$C$4),2,IF(AND(V36&gt;='TABEL KONVERSI'!$B$5,'ENTRY DATA'!V36&lt;='TABEL KONVERSI'!$C$5),3,IF(AND(V36&gt;='TABEL KONVERSI'!$B$6,'ENTRY DATA'!V36&lt;='TABEL KONVERSI'!$C$6),4,"")))),"-")</f>
        <v>-</v>
      </c>
      <c r="Y36" s="38" t="str">
        <f>IF(W36&lt;&gt;"",IF(AND(W36&gt;='TABEL KONVERSI'!$B$3,'ENTRY DATA'!W36&lt;='TABEL KONVERSI'!$C$3),1,IF(AND(W36&gt;='TABEL KONVERSI'!$B$4,'ENTRY DATA'!W36&lt;='TABEL KONVERSI'!$C$4),2,IF(AND(W36&gt;='TABEL KONVERSI'!$B$5,'ENTRY DATA'!W36&lt;='TABEL KONVERSI'!$C$5),3,IF(AND(W36&gt;='TABEL KONVERSI'!$B$6,'ENTRY DATA'!W36&lt;='TABEL KONVERSI'!$C$6),4,"")))),"-")</f>
        <v>-</v>
      </c>
      <c r="Z36" s="38" t="str">
        <f t="shared" si="40"/>
        <v>-</v>
      </c>
      <c r="AA36" s="38" t="str">
        <f>VLOOKUP(X36,'TABEL KONVERSI'!$A$3:$D$7,4)</f>
        <v>-</v>
      </c>
      <c r="AB36" s="38" t="str">
        <f t="shared" si="41"/>
        <v>-</v>
      </c>
      <c r="AC36" s="38" t="str">
        <f>VLOOKUP(Y36,'TABEL KONVERSI'!$A$3:$D$7,4)</f>
        <v>-</v>
      </c>
      <c r="AD36" s="42"/>
      <c r="AE36" s="37"/>
      <c r="AF36" s="73"/>
      <c r="AG36" s="73"/>
      <c r="AH36" s="38" t="str">
        <f t="shared" si="42"/>
        <v/>
      </c>
      <c r="AI36" s="38" t="str">
        <f t="shared" si="43"/>
        <v/>
      </c>
      <c r="AJ36" s="38" t="str">
        <f>IF(AH36&lt;&gt;"",IF(AND(AH36&gt;='TABEL KONVERSI'!$B$3,'ENTRY DATA'!AH36&lt;='TABEL KONVERSI'!$C$3),1,IF(AND(AH36&gt;='TABEL KONVERSI'!$B$4,'ENTRY DATA'!AH36&lt;='TABEL KONVERSI'!$C$4),2,IF(AND(AH36&gt;='TABEL KONVERSI'!$B$5,'ENTRY DATA'!AH36&lt;='TABEL KONVERSI'!$C$5),3,IF(AND(AH36&gt;='TABEL KONVERSI'!$B$6,'ENTRY DATA'!AH36&lt;='TABEL KONVERSI'!$C$6),4,"")))),"-")</f>
        <v>-</v>
      </c>
      <c r="AK36" s="38" t="str">
        <f>IF(AI36&lt;&gt;"",IF(AND(AI36&gt;='TABEL KONVERSI'!$B$3,'ENTRY DATA'!AI36&lt;='TABEL KONVERSI'!$C$3),1,IF(AND(AI36&gt;='TABEL KONVERSI'!$B$4,'ENTRY DATA'!AI36&lt;='TABEL KONVERSI'!$C$4),2,IF(AND(AI36&gt;='TABEL KONVERSI'!$B$5,'ENTRY DATA'!AI36&lt;='TABEL KONVERSI'!$C$5),3,IF(AND(AI36&gt;='TABEL KONVERSI'!$B$6,'ENTRY DATA'!AI36&lt;='TABEL KONVERSI'!$C$6),4,"")))),"-")</f>
        <v>-</v>
      </c>
      <c r="AL36" s="38" t="str">
        <f t="shared" si="44"/>
        <v>-</v>
      </c>
      <c r="AM36" s="38" t="str">
        <f>VLOOKUP(AJ36,'TABEL KONVERSI'!$A$3:$D$7,4)</f>
        <v>-</v>
      </c>
      <c r="AN36" s="38" t="str">
        <f t="shared" si="45"/>
        <v>-</v>
      </c>
      <c r="AO36" s="38" t="str">
        <f>VLOOKUP(AK36,'TABEL KONVERSI'!$A$3:$D$7,4)</f>
        <v>-</v>
      </c>
      <c r="AP36" s="42"/>
      <c r="AQ36" s="37"/>
      <c r="AR36" s="73"/>
      <c r="AS36" s="73"/>
      <c r="AT36" s="38" t="str">
        <f t="shared" si="46"/>
        <v/>
      </c>
      <c r="AU36" s="38" t="str">
        <f t="shared" si="47"/>
        <v/>
      </c>
      <c r="AV36" s="38" t="str">
        <f>IF(AT36&lt;&gt;"",IF(AND(AT36&gt;='TABEL KONVERSI'!$B$3,'ENTRY DATA'!AT36&lt;='TABEL KONVERSI'!$C$3),1,IF(AND(AT36&gt;='TABEL KONVERSI'!$B$4,'ENTRY DATA'!AT36&lt;='TABEL KONVERSI'!$C$4),2,IF(AND(AT36&gt;='TABEL KONVERSI'!$B$5,'ENTRY DATA'!AT36&lt;='TABEL KONVERSI'!$C$5),3,IF(AND(AT36&gt;='TABEL KONVERSI'!$B$6,'ENTRY DATA'!AT36&lt;='TABEL KONVERSI'!$C$6),4,"")))),"-")</f>
        <v>-</v>
      </c>
      <c r="AW36" s="38" t="str">
        <f>IF(AU36&lt;&gt;"",IF(AND(AU36&gt;='TABEL KONVERSI'!$B$3,'ENTRY DATA'!AU36&lt;='TABEL KONVERSI'!$C$3),1,IF(AND(AU36&gt;='TABEL KONVERSI'!$B$4,'ENTRY DATA'!AU36&lt;='TABEL KONVERSI'!$C$4),2,IF(AND(AU36&gt;='TABEL KONVERSI'!$B$5,'ENTRY DATA'!AU36&lt;='TABEL KONVERSI'!$C$5),3,IF(AND(AU36&gt;='TABEL KONVERSI'!$B$6,'ENTRY DATA'!AU36&lt;='TABEL KONVERSI'!$C$6),4,"")))),"-")</f>
        <v>-</v>
      </c>
      <c r="AX36" s="38" t="str">
        <f t="shared" si="48"/>
        <v>-</v>
      </c>
      <c r="AY36" s="38" t="str">
        <f>VLOOKUP(AV36,'TABEL KONVERSI'!$A$3:$D$7,4)</f>
        <v>-</v>
      </c>
      <c r="AZ36" s="38" t="str">
        <f t="shared" si="49"/>
        <v>-</v>
      </c>
      <c r="BA36" s="38" t="str">
        <f>VLOOKUP(AW36,'TABEL KONVERSI'!$A$3:$D$7,4)</f>
        <v>-</v>
      </c>
      <c r="BB36" s="42"/>
      <c r="BC36" s="37"/>
      <c r="BD36" s="73"/>
      <c r="BE36" s="73"/>
      <c r="BF36" s="38" t="str">
        <f t="shared" si="50"/>
        <v/>
      </c>
      <c r="BG36" s="38" t="str">
        <f t="shared" si="51"/>
        <v/>
      </c>
      <c r="BH36" s="38" t="str">
        <f>IF(BF36&lt;&gt;"",IF(AND(BF36&gt;='TABEL KONVERSI'!$B$3,'ENTRY DATA'!BF36&lt;='TABEL KONVERSI'!$C$3),1,IF(AND(BF36&gt;='TABEL KONVERSI'!$B$4,'ENTRY DATA'!BF36&lt;='TABEL KONVERSI'!$C$4),2,IF(AND(BF36&gt;='TABEL KONVERSI'!$B$5,'ENTRY DATA'!BF36&lt;='TABEL KONVERSI'!$C$5),3,IF(AND(BF36&gt;='TABEL KONVERSI'!$B$6,'ENTRY DATA'!BF36&lt;='TABEL KONVERSI'!$C$6),4,"")))),"-")</f>
        <v>-</v>
      </c>
      <c r="BI36" s="38" t="str">
        <f>IF(BG36&lt;&gt;"",IF(AND(BG36&gt;='TABEL KONVERSI'!$B$3,'ENTRY DATA'!BG36&lt;='TABEL KONVERSI'!$C$3),1,IF(AND(BG36&gt;='TABEL KONVERSI'!$B$4,'ENTRY DATA'!BG36&lt;='TABEL KONVERSI'!$C$4),2,IF(AND(BG36&gt;='TABEL KONVERSI'!$B$5,'ENTRY DATA'!BG36&lt;='TABEL KONVERSI'!$C$5),3,IF(AND(BG36&gt;='TABEL KONVERSI'!$B$6,'ENTRY DATA'!BG36&lt;='TABEL KONVERSI'!$C$6),4,"")))),"-")</f>
        <v>-</v>
      </c>
      <c r="BJ36" s="38" t="str">
        <f t="shared" si="52"/>
        <v>-</v>
      </c>
      <c r="BK36" s="38" t="str">
        <f>VLOOKUP(BH36,'TABEL KONVERSI'!$A$3:$D$7,4)</f>
        <v>-</v>
      </c>
      <c r="BL36" s="38" t="str">
        <f t="shared" si="53"/>
        <v>-</v>
      </c>
      <c r="BM36" s="38" t="str">
        <f>VLOOKUP(BI36,'TABEL KONVERSI'!$A$3:$D$7,4)</f>
        <v>-</v>
      </c>
      <c r="BN36" s="42"/>
      <c r="BO36" s="37"/>
      <c r="BP36" s="73"/>
      <c r="BQ36" s="73"/>
      <c r="BR36" s="38" t="str">
        <f t="shared" si="54"/>
        <v/>
      </c>
      <c r="BS36" s="38" t="str">
        <f t="shared" si="55"/>
        <v/>
      </c>
      <c r="BT36" s="38" t="str">
        <f>IF(BR36&lt;&gt;"",IF(AND(BR36&gt;='TABEL KONVERSI'!$B$3,'ENTRY DATA'!BR36&lt;='TABEL KONVERSI'!$C$3),1,IF(AND(BR36&gt;='TABEL KONVERSI'!$B$4,'ENTRY DATA'!BR36&lt;='TABEL KONVERSI'!$C$4),2,IF(AND(BR36&gt;='TABEL KONVERSI'!$B$5,'ENTRY DATA'!BR36&lt;='TABEL KONVERSI'!$C$5),3,IF(AND(BR36&gt;='TABEL KONVERSI'!$B$6,'ENTRY DATA'!BR36&lt;='TABEL KONVERSI'!$C$6),4,"")))),"-")</f>
        <v>-</v>
      </c>
      <c r="BU36" s="38" t="str">
        <f>IF(BS36&lt;&gt;"",IF(AND(BS36&gt;='TABEL KONVERSI'!$B$3,'ENTRY DATA'!BS36&lt;='TABEL KONVERSI'!$C$3),1,IF(AND(BS36&gt;='TABEL KONVERSI'!$B$4,'ENTRY DATA'!BS36&lt;='TABEL KONVERSI'!$C$4),2,IF(AND(BS36&gt;='TABEL KONVERSI'!$B$5,'ENTRY DATA'!BS36&lt;='TABEL KONVERSI'!$C$5),3,IF(AND(BS36&gt;='TABEL KONVERSI'!$B$6,'ENTRY DATA'!BS36&lt;='TABEL KONVERSI'!$C$6),4,"")))),"-")</f>
        <v>-</v>
      </c>
      <c r="BV36" s="38" t="str">
        <f t="shared" si="56"/>
        <v>-</v>
      </c>
      <c r="BW36" s="38" t="str">
        <f>VLOOKUP(BT36,'TABEL KONVERSI'!$A$3:$D$7,4)</f>
        <v>-</v>
      </c>
      <c r="BX36" s="38" t="str">
        <f t="shared" si="57"/>
        <v>-</v>
      </c>
      <c r="BY36" s="38" t="str">
        <f>VLOOKUP(BU36,'TABEL KONVERSI'!$A$3:$D$7,4)</f>
        <v>-</v>
      </c>
      <c r="BZ36" s="42"/>
      <c r="CA36" s="37"/>
      <c r="CB36" s="73"/>
      <c r="CC36" s="73"/>
      <c r="CD36" s="38" t="str">
        <f t="shared" si="58"/>
        <v/>
      </c>
      <c r="CE36" s="38" t="str">
        <f t="shared" si="59"/>
        <v/>
      </c>
      <c r="CF36" s="38" t="str">
        <f>IF(CD36&lt;&gt;"",IF(AND(CD36&gt;='TABEL KONVERSI'!$B$3,'ENTRY DATA'!CD36&lt;='TABEL KONVERSI'!$C$3),1,IF(AND(CD36&gt;='TABEL KONVERSI'!$B$4,'ENTRY DATA'!CD36&lt;='TABEL KONVERSI'!$C$4),2,IF(AND(CD36&gt;='TABEL KONVERSI'!$B$5,'ENTRY DATA'!CD36&lt;='TABEL KONVERSI'!$C$5),3,IF(AND(CD36&gt;='TABEL KONVERSI'!$B$6,'ENTRY DATA'!CD36&lt;='TABEL KONVERSI'!$C$6),4,"")))),"-")</f>
        <v>-</v>
      </c>
      <c r="CG36" s="38" t="str">
        <f>IF(CE36&lt;&gt;"",IF(AND(CE36&gt;='TABEL KONVERSI'!$B$3,'ENTRY DATA'!CE36&lt;='TABEL KONVERSI'!$C$3),1,IF(AND(CE36&gt;='TABEL KONVERSI'!$B$4,'ENTRY DATA'!CE36&lt;='TABEL KONVERSI'!$C$4),2,IF(AND(CE36&gt;='TABEL KONVERSI'!$B$5,'ENTRY DATA'!CE36&lt;='TABEL KONVERSI'!$C$5),3,IF(AND(CE36&gt;='TABEL KONVERSI'!$B$6,'ENTRY DATA'!CE36&lt;='TABEL KONVERSI'!$C$6),4,"")))),"-")</f>
        <v>-</v>
      </c>
      <c r="CH36" s="38" t="str">
        <f t="shared" si="60"/>
        <v>-</v>
      </c>
      <c r="CI36" s="38" t="str">
        <f>VLOOKUP(CF36,'TABEL KONVERSI'!$A$3:$D$7,4)</f>
        <v>-</v>
      </c>
      <c r="CJ36" s="38" t="str">
        <f t="shared" si="61"/>
        <v>-</v>
      </c>
      <c r="CK36" s="38" t="str">
        <f>VLOOKUP(CG36,'TABEL KONVERSI'!$A$3:$D$7,4)</f>
        <v>-</v>
      </c>
      <c r="CL36" s="42"/>
      <c r="CM36" s="37"/>
      <c r="CN36" s="73"/>
      <c r="CO36" s="73"/>
      <c r="CP36" s="38" t="str">
        <f t="shared" si="62"/>
        <v/>
      </c>
      <c r="CQ36" s="38" t="str">
        <f t="shared" si="63"/>
        <v/>
      </c>
      <c r="CR36" s="38" t="str">
        <f>IF(CP36&lt;&gt;"",IF(AND(CP36&gt;='TABEL KONVERSI'!$B$3,'ENTRY DATA'!CP36&lt;='TABEL KONVERSI'!$C$3),1,IF(AND(CP36&gt;='TABEL KONVERSI'!$B$4,'ENTRY DATA'!CP36&lt;='TABEL KONVERSI'!$C$4),2,IF(AND(CP36&gt;='TABEL KONVERSI'!$B$5,'ENTRY DATA'!CP36&lt;='TABEL KONVERSI'!$C$5),3,IF(AND(CP36&gt;='TABEL KONVERSI'!$B$6,'ENTRY DATA'!CP36&lt;='TABEL KONVERSI'!$C$6),4,"")))),"-")</f>
        <v>-</v>
      </c>
      <c r="CS36" s="38" t="str">
        <f>IF(CQ36&lt;&gt;"",IF(AND(CQ36&gt;='TABEL KONVERSI'!$B$3,'ENTRY DATA'!CQ36&lt;='TABEL KONVERSI'!$C$3),1,IF(AND(CQ36&gt;='TABEL KONVERSI'!$B$4,'ENTRY DATA'!CQ36&lt;='TABEL KONVERSI'!$C$4),2,IF(AND(CQ36&gt;='TABEL KONVERSI'!$B$5,'ENTRY DATA'!CQ36&lt;='TABEL KONVERSI'!$C$5),3,IF(AND(CQ36&gt;='TABEL KONVERSI'!$B$6,'ENTRY DATA'!CQ36&lt;='TABEL KONVERSI'!$C$6),4,"")))),"-")</f>
        <v>-</v>
      </c>
      <c r="CT36" s="38" t="str">
        <f t="shared" si="64"/>
        <v>-</v>
      </c>
      <c r="CU36" s="38" t="str">
        <f>VLOOKUP(CR36,'TABEL KONVERSI'!$A$3:$D$7,4)</f>
        <v>-</v>
      </c>
      <c r="CV36" s="38" t="str">
        <f t="shared" si="65"/>
        <v>-</v>
      </c>
      <c r="CW36" s="38" t="str">
        <f>VLOOKUP(CS36,'TABEL KONVERSI'!$A$3:$D$7,4)</f>
        <v>-</v>
      </c>
      <c r="CX36" s="42"/>
      <c r="CY36" s="37"/>
      <c r="CZ36" s="73"/>
      <c r="DA36" s="73"/>
      <c r="DB36" s="38" t="str">
        <f t="shared" si="66"/>
        <v/>
      </c>
      <c r="DC36" s="38" t="str">
        <f t="shared" si="67"/>
        <v/>
      </c>
      <c r="DD36" s="38" t="str">
        <f>IF(DB36&lt;&gt;"",IF(AND(DB36&gt;='TABEL KONVERSI'!$B$3,'ENTRY DATA'!DB36&lt;='TABEL KONVERSI'!$C$3),1,IF(AND(DB36&gt;='TABEL KONVERSI'!$B$4,'ENTRY DATA'!DB36&lt;='TABEL KONVERSI'!$C$4),2,IF(AND(DB36&gt;='TABEL KONVERSI'!$B$5,'ENTRY DATA'!DB36&lt;='TABEL KONVERSI'!$C$5),3,IF(AND(DB36&gt;='TABEL KONVERSI'!$B$6,'ENTRY DATA'!DB36&lt;='TABEL KONVERSI'!$C$6),4,"")))),"-")</f>
        <v>-</v>
      </c>
      <c r="DE36" s="38" t="str">
        <f>IF(DC36&lt;&gt;"",IF(AND(DC36&gt;='TABEL KONVERSI'!$B$3,'ENTRY DATA'!DC36&lt;='TABEL KONVERSI'!$C$3),1,IF(AND(DC36&gt;='TABEL KONVERSI'!$B$4,'ENTRY DATA'!DC36&lt;='TABEL KONVERSI'!$C$4),2,IF(AND(DC36&gt;='TABEL KONVERSI'!$B$5,'ENTRY DATA'!DC36&lt;='TABEL KONVERSI'!$C$5),3,IF(AND(DC36&gt;='TABEL KONVERSI'!$B$6,'ENTRY DATA'!DC36&lt;='TABEL KONVERSI'!$C$6),4,"")))),"-")</f>
        <v>-</v>
      </c>
      <c r="DF36" s="38" t="str">
        <f t="shared" si="68"/>
        <v>-</v>
      </c>
      <c r="DG36" s="38" t="str">
        <f>VLOOKUP(DD36,'TABEL KONVERSI'!$A$3:$D$7,4)</f>
        <v>-</v>
      </c>
      <c r="DH36" s="38" t="str">
        <f t="shared" si="69"/>
        <v>-</v>
      </c>
      <c r="DI36" s="38" t="str">
        <f>VLOOKUP(DE36,'TABEL KONVERSI'!$A$3:$D$7,4)</f>
        <v>-</v>
      </c>
      <c r="DJ36" s="42"/>
      <c r="DK36" s="37"/>
      <c r="DL36" s="73"/>
      <c r="DM36" s="73"/>
      <c r="DN36" s="38" t="str">
        <f t="shared" si="70"/>
        <v/>
      </c>
      <c r="DO36" s="38" t="str">
        <f t="shared" si="71"/>
        <v/>
      </c>
      <c r="DP36" s="38" t="str">
        <f>IF(DN36&lt;&gt;"",IF(AND(DN36&gt;='TABEL KONVERSI'!$B$3,'ENTRY DATA'!DN36&lt;='TABEL KONVERSI'!$C$3),1,IF(AND(DN36&gt;='TABEL KONVERSI'!$B$4,'ENTRY DATA'!DN36&lt;='TABEL KONVERSI'!$C$4),2,IF(AND(DN36&gt;='TABEL KONVERSI'!$B$5,'ENTRY DATA'!DN36&lt;='TABEL KONVERSI'!$C$5),3,IF(AND(DN36&gt;='TABEL KONVERSI'!$B$6,'ENTRY DATA'!DN36&lt;='TABEL KONVERSI'!$C$6),4,"")))),"-")</f>
        <v>-</v>
      </c>
      <c r="DQ36" s="38" t="str">
        <f>IF(DO36&lt;&gt;"",IF(AND(DO36&gt;='TABEL KONVERSI'!$B$3,'ENTRY DATA'!DO36&lt;='TABEL KONVERSI'!$C$3),1,IF(AND(DO36&gt;='TABEL KONVERSI'!$B$4,'ENTRY DATA'!DO36&lt;='TABEL KONVERSI'!$C$4),2,IF(AND(DO36&gt;='TABEL KONVERSI'!$B$5,'ENTRY DATA'!DO36&lt;='TABEL KONVERSI'!$C$5),3,IF(AND(DO36&gt;='TABEL KONVERSI'!$B$6,'ENTRY DATA'!DO36&lt;='TABEL KONVERSI'!$C$6),4,"")))),"-")</f>
        <v>-</v>
      </c>
      <c r="DR36" s="38" t="str">
        <f t="shared" si="72"/>
        <v>-</v>
      </c>
      <c r="DS36" s="38" t="str">
        <f>VLOOKUP(DP36,'TABEL KONVERSI'!$A$3:$D$7,4)</f>
        <v>-</v>
      </c>
      <c r="DT36" s="38" t="str">
        <f t="shared" si="73"/>
        <v>-</v>
      </c>
      <c r="DU36" s="38" t="str">
        <f>VLOOKUP(DQ36,'TABEL KONVERSI'!$A$3:$D$7,4)</f>
        <v>-</v>
      </c>
      <c r="DV36" s="42"/>
      <c r="DW36" s="37"/>
      <c r="DX36" s="73"/>
      <c r="DY36" s="73"/>
      <c r="DZ36" s="38" t="str">
        <f t="shared" si="74"/>
        <v/>
      </c>
      <c r="EA36" s="38" t="str">
        <f t="shared" si="75"/>
        <v/>
      </c>
      <c r="EB36" s="38" t="str">
        <f>IF(DZ36&lt;&gt;"",IF(AND(DZ36&gt;='TABEL KONVERSI'!$B$3,'ENTRY DATA'!DZ36&lt;='TABEL KONVERSI'!$C$3),1,IF(AND(DZ36&gt;='TABEL KONVERSI'!$B$4,'ENTRY DATA'!DZ36&lt;='TABEL KONVERSI'!$C$4),2,IF(AND(DZ36&gt;='TABEL KONVERSI'!$B$5,'ENTRY DATA'!DZ36&lt;='TABEL KONVERSI'!$C$5),3,IF(AND(DZ36&gt;='TABEL KONVERSI'!$B$6,'ENTRY DATA'!DZ36&lt;='TABEL KONVERSI'!$C$6),4,"")))),"-")</f>
        <v>-</v>
      </c>
      <c r="EC36" s="38" t="str">
        <f>IF(EA36&lt;&gt;"",IF(AND(EA36&gt;='TABEL KONVERSI'!$B$3,'ENTRY DATA'!EA36&lt;='TABEL KONVERSI'!$C$3),1,IF(AND(EA36&gt;='TABEL KONVERSI'!$B$4,'ENTRY DATA'!EA36&lt;='TABEL KONVERSI'!$C$4),2,IF(AND(EA36&gt;='TABEL KONVERSI'!$B$5,'ENTRY DATA'!EA36&lt;='TABEL KONVERSI'!$C$5),3,IF(AND(EA36&gt;='TABEL KONVERSI'!$B$6,'ENTRY DATA'!EA36&lt;='TABEL KONVERSI'!$C$6),4,"")))),"-")</f>
        <v>-</v>
      </c>
      <c r="ED36" s="38" t="str">
        <f t="shared" si="76"/>
        <v>-</v>
      </c>
      <c r="EE36" s="38" t="str">
        <f>VLOOKUP(EB36,'TABEL KONVERSI'!$A$3:$D$7,4)</f>
        <v>-</v>
      </c>
      <c r="EF36" s="38" t="str">
        <f t="shared" si="77"/>
        <v>-</v>
      </c>
      <c r="EG36" s="38" t="str">
        <f>VLOOKUP(EC36,'TABEL KONVERSI'!$A$3:$D$7,4)</f>
        <v>-</v>
      </c>
      <c r="EH36" s="42"/>
      <c r="EI36" s="37"/>
      <c r="EJ36" s="73"/>
      <c r="EK36" s="73"/>
      <c r="EL36" s="38" t="str">
        <f t="shared" si="78"/>
        <v/>
      </c>
      <c r="EM36" s="38" t="str">
        <f t="shared" si="79"/>
        <v/>
      </c>
      <c r="EN36" s="38" t="str">
        <f>IF(EL36&lt;&gt;"",IF(AND(EL36&gt;='TABEL KONVERSI'!$B$3,'ENTRY DATA'!EL36&lt;='TABEL KONVERSI'!$C$3),1,IF(AND(EL36&gt;='TABEL KONVERSI'!$B$4,'ENTRY DATA'!EL36&lt;='TABEL KONVERSI'!$C$4),2,IF(AND(EL36&gt;='TABEL KONVERSI'!$B$5,'ENTRY DATA'!EL36&lt;='TABEL KONVERSI'!$C$5),3,IF(AND(EL36&gt;='TABEL KONVERSI'!$B$6,'ENTRY DATA'!EL36&lt;='TABEL KONVERSI'!$C$6),4,"")))),"-")</f>
        <v>-</v>
      </c>
      <c r="EO36" s="38" t="str">
        <f>IF(EM36&lt;&gt;"",IF(AND(EM36&gt;='TABEL KONVERSI'!$B$3,'ENTRY DATA'!EM36&lt;='TABEL KONVERSI'!$C$3),1,IF(AND(EM36&gt;='TABEL KONVERSI'!$B$4,'ENTRY DATA'!EM36&lt;='TABEL KONVERSI'!$C$4),2,IF(AND(EM36&gt;='TABEL KONVERSI'!$B$5,'ENTRY DATA'!EM36&lt;='TABEL KONVERSI'!$C$5),3,IF(AND(EM36&gt;='TABEL KONVERSI'!$B$6,'ENTRY DATA'!EM36&lt;='TABEL KONVERSI'!$C$6),4,"")))),"-")</f>
        <v>-</v>
      </c>
      <c r="EP36" s="38" t="str">
        <f t="shared" si="80"/>
        <v>-</v>
      </c>
      <c r="EQ36" s="38" t="str">
        <f>VLOOKUP(EN36,'TABEL KONVERSI'!$A$3:$D$7,4)</f>
        <v>-</v>
      </c>
      <c r="ER36" s="38" t="str">
        <f t="shared" si="81"/>
        <v>-</v>
      </c>
      <c r="ES36" s="38" t="str">
        <f>VLOOKUP(EO36,'TABEL KONVERSI'!$A$3:$D$7,4)</f>
        <v>-</v>
      </c>
      <c r="ET36" s="42"/>
      <c r="EU36" s="37"/>
      <c r="EV36" s="73"/>
      <c r="EW36" s="73"/>
      <c r="EX36" s="38" t="str">
        <f t="shared" si="82"/>
        <v/>
      </c>
      <c r="EY36" s="38" t="str">
        <f t="shared" si="83"/>
        <v/>
      </c>
      <c r="EZ36" s="38" t="str">
        <f>IF(EX36&lt;&gt;"",IF(AND(EX36&gt;='TABEL KONVERSI'!$B$3,'ENTRY DATA'!EX36&lt;='TABEL KONVERSI'!$C$3),1,IF(AND(EX36&gt;='TABEL KONVERSI'!$B$4,'ENTRY DATA'!EX36&lt;='TABEL KONVERSI'!$C$4),2,IF(AND(EX36&gt;='TABEL KONVERSI'!$B$5,'ENTRY DATA'!EX36&lt;='TABEL KONVERSI'!$C$5),3,IF(AND(EX36&gt;='TABEL KONVERSI'!$B$6,'ENTRY DATA'!EX36&lt;='TABEL KONVERSI'!$C$6),4,"")))),"-")</f>
        <v>-</v>
      </c>
      <c r="FA36" s="38" t="str">
        <f>IF(EY36&lt;&gt;"",IF(AND(EY36&gt;='TABEL KONVERSI'!$B$3,'ENTRY DATA'!EY36&lt;='TABEL KONVERSI'!$C$3),1,IF(AND(EY36&gt;='TABEL KONVERSI'!$B$4,'ENTRY DATA'!EY36&lt;='TABEL KONVERSI'!$C$4),2,IF(AND(EY36&gt;='TABEL KONVERSI'!$B$5,'ENTRY DATA'!EY36&lt;='TABEL KONVERSI'!$C$5),3,IF(AND(EY36&gt;='TABEL KONVERSI'!$B$6,'ENTRY DATA'!EY36&lt;='TABEL KONVERSI'!$C$6),4,"")))),"-")</f>
        <v>-</v>
      </c>
      <c r="FB36" s="38" t="str">
        <f t="shared" si="84"/>
        <v>-</v>
      </c>
      <c r="FC36" s="38" t="str">
        <f>VLOOKUP(EZ36,'TABEL KONVERSI'!$A$3:$D$7,4)</f>
        <v>-</v>
      </c>
      <c r="FD36" s="38" t="str">
        <f t="shared" si="85"/>
        <v>-</v>
      </c>
      <c r="FE36" s="38" t="str">
        <f>VLOOKUP(FA36,'TABEL KONVERSI'!$A$3:$D$7,4)</f>
        <v>-</v>
      </c>
      <c r="FF36" s="42"/>
      <c r="FG36" s="37"/>
      <c r="FH36" s="73"/>
      <c r="FI36" s="73"/>
      <c r="FJ36" s="38" t="str">
        <f t="shared" si="86"/>
        <v/>
      </c>
      <c r="FK36" s="38" t="str">
        <f t="shared" si="87"/>
        <v/>
      </c>
      <c r="FL36" s="38" t="str">
        <f>IF(FJ36&lt;&gt;"",IF(AND(FJ36&gt;='TABEL KONVERSI'!$B$3,'ENTRY DATA'!FJ36&lt;='TABEL KONVERSI'!$C$3),1,IF(AND(FJ36&gt;='TABEL KONVERSI'!$B$4,'ENTRY DATA'!FJ36&lt;='TABEL KONVERSI'!$C$4),2,IF(AND(FJ36&gt;='TABEL KONVERSI'!$B$5,'ENTRY DATA'!FJ36&lt;='TABEL KONVERSI'!$C$5),3,IF(AND(FJ36&gt;='TABEL KONVERSI'!$B$6,'ENTRY DATA'!FJ36&lt;='TABEL KONVERSI'!$C$6),4,"")))),"-")</f>
        <v>-</v>
      </c>
      <c r="FM36" s="38" t="str">
        <f>IF(FK36&lt;&gt;"",IF(AND(FK36&gt;='TABEL KONVERSI'!$B$3,'ENTRY DATA'!FK36&lt;='TABEL KONVERSI'!$C$3),1,IF(AND(FK36&gt;='TABEL KONVERSI'!$B$4,'ENTRY DATA'!FK36&lt;='TABEL KONVERSI'!$C$4),2,IF(AND(FK36&gt;='TABEL KONVERSI'!$B$5,'ENTRY DATA'!FK36&lt;='TABEL KONVERSI'!$C$5),3,IF(AND(FK36&gt;='TABEL KONVERSI'!$B$6,'ENTRY DATA'!FK36&lt;='TABEL KONVERSI'!$C$6),4,"")))),"-")</f>
        <v>-</v>
      </c>
      <c r="FN36" s="38" t="str">
        <f t="shared" si="88"/>
        <v>-</v>
      </c>
      <c r="FO36" s="38" t="str">
        <f>VLOOKUP(FL36,'TABEL KONVERSI'!$A$3:$D$7,4)</f>
        <v>-</v>
      </c>
      <c r="FP36" s="38" t="str">
        <f t="shared" si="89"/>
        <v>-</v>
      </c>
      <c r="FQ36" s="38" t="str">
        <f>VLOOKUP(FM36,'TABEL KONVERSI'!$A$3:$D$7,4)</f>
        <v>-</v>
      </c>
      <c r="FR36" s="42"/>
      <c r="FS36" s="37"/>
      <c r="FT36" s="73"/>
      <c r="FU36" s="73"/>
      <c r="FV36" s="38" t="str">
        <f t="shared" si="90"/>
        <v/>
      </c>
      <c r="FW36" s="38" t="str">
        <f t="shared" si="91"/>
        <v/>
      </c>
      <c r="FX36" s="38" t="str">
        <f>IF(FV36&lt;&gt;"",IF(AND(FV36&gt;='TABEL KONVERSI'!$B$3,'ENTRY DATA'!FV36&lt;='TABEL KONVERSI'!$C$3),1,IF(AND(FV36&gt;='TABEL KONVERSI'!$B$4,'ENTRY DATA'!FV36&lt;='TABEL KONVERSI'!$C$4),2,IF(AND(FV36&gt;='TABEL KONVERSI'!$B$5,'ENTRY DATA'!FV36&lt;='TABEL KONVERSI'!$C$5),3,IF(AND(FV36&gt;='TABEL KONVERSI'!$B$6,'ENTRY DATA'!FV36&lt;='TABEL KONVERSI'!$C$6),4,"")))),"-")</f>
        <v>-</v>
      </c>
      <c r="FY36" s="38" t="str">
        <f>IF(FW36&lt;&gt;"",IF(AND(FW36&gt;='TABEL KONVERSI'!$B$3,'ENTRY DATA'!FW36&lt;='TABEL KONVERSI'!$C$3),1,IF(AND(FW36&gt;='TABEL KONVERSI'!$B$4,'ENTRY DATA'!FW36&lt;='TABEL KONVERSI'!$C$4),2,IF(AND(FW36&gt;='TABEL KONVERSI'!$B$5,'ENTRY DATA'!FW36&lt;='TABEL KONVERSI'!$C$5),3,IF(AND(FW36&gt;='TABEL KONVERSI'!$B$6,'ENTRY DATA'!FW36&lt;='TABEL KONVERSI'!$C$6),4,"")))),"-")</f>
        <v>-</v>
      </c>
      <c r="FZ36" s="38" t="str">
        <f t="shared" si="92"/>
        <v>-</v>
      </c>
      <c r="GA36" s="38" t="str">
        <f>VLOOKUP(FX36,'TABEL KONVERSI'!$A$3:$D$7,4)</f>
        <v>-</v>
      </c>
      <c r="GB36" s="38" t="str">
        <f t="shared" si="93"/>
        <v>-</v>
      </c>
      <c r="GC36" s="38" t="str">
        <f>VLOOKUP(FY36,'TABEL KONVERSI'!$A$3:$D$7,4)</f>
        <v>-</v>
      </c>
      <c r="GD36" s="42"/>
      <c r="GE36" s="37"/>
      <c r="GF36" s="73"/>
      <c r="GG36" s="73"/>
      <c r="GH36" s="38" t="str">
        <f t="shared" si="94"/>
        <v/>
      </c>
      <c r="GI36" s="38" t="str">
        <f t="shared" si="95"/>
        <v/>
      </c>
      <c r="GJ36" s="38" t="str">
        <f>IF(GH36&lt;&gt;"",IF(AND(GH36&gt;='TABEL KONVERSI'!$B$3,'ENTRY DATA'!GH36&lt;='TABEL KONVERSI'!$C$3),1,IF(AND(GH36&gt;='TABEL KONVERSI'!$B$4,'ENTRY DATA'!GH36&lt;='TABEL KONVERSI'!$C$4),2,IF(AND(GH36&gt;='TABEL KONVERSI'!$B$5,'ENTRY DATA'!GH36&lt;='TABEL KONVERSI'!$C$5),3,IF(AND(GH36&gt;='TABEL KONVERSI'!$B$6,'ENTRY DATA'!GH36&lt;='TABEL KONVERSI'!$C$6),4,"")))),"-")</f>
        <v>-</v>
      </c>
      <c r="GK36" s="38" t="str">
        <f>IF(GI36&lt;&gt;"",IF(AND(GI36&gt;='TABEL KONVERSI'!$B$3,'ENTRY DATA'!GI36&lt;='TABEL KONVERSI'!$C$3),1,IF(AND(GI36&gt;='TABEL KONVERSI'!$B$4,'ENTRY DATA'!GI36&lt;='TABEL KONVERSI'!$C$4),2,IF(AND(GI36&gt;='TABEL KONVERSI'!$B$5,'ENTRY DATA'!GI36&lt;='TABEL KONVERSI'!$C$5),3,IF(AND(GI36&gt;='TABEL KONVERSI'!$B$6,'ENTRY DATA'!GI36&lt;='TABEL KONVERSI'!$C$6),4,"")))),"-")</f>
        <v>-</v>
      </c>
      <c r="GL36" s="38" t="str">
        <f t="shared" si="96"/>
        <v>-</v>
      </c>
      <c r="GM36" s="38" t="str">
        <f>VLOOKUP(GJ36,'TABEL KONVERSI'!$A$3:$D$7,4)</f>
        <v>-</v>
      </c>
      <c r="GN36" s="38" t="str">
        <f t="shared" si="97"/>
        <v>-</v>
      </c>
      <c r="GO36" s="38" t="str">
        <f>VLOOKUP(GK36,'TABEL KONVERSI'!$A$3:$D$7,4)</f>
        <v>-</v>
      </c>
      <c r="GP36" s="43">
        <f t="shared" si="0"/>
        <v>0</v>
      </c>
      <c r="GQ36" s="43">
        <f t="shared" si="1"/>
        <v>0</v>
      </c>
      <c r="GR36" s="43">
        <f t="shared" si="2"/>
        <v>0</v>
      </c>
      <c r="GS36" s="43">
        <f t="shared" si="3"/>
        <v>0</v>
      </c>
      <c r="GT36" s="43">
        <f t="shared" si="4"/>
        <v>0</v>
      </c>
      <c r="GU36" s="43">
        <f t="shared" si="5"/>
        <v>0</v>
      </c>
      <c r="GV36" s="43">
        <f t="shared" si="6"/>
        <v>0</v>
      </c>
      <c r="GW36" s="43">
        <f t="shared" si="7"/>
        <v>0</v>
      </c>
      <c r="GX36" s="43">
        <f t="shared" si="8"/>
        <v>0</v>
      </c>
      <c r="GY36" s="43">
        <f t="shared" si="9"/>
        <v>0</v>
      </c>
      <c r="GZ36" s="43">
        <f t="shared" si="10"/>
        <v>0</v>
      </c>
      <c r="HA36" s="43">
        <f t="shared" si="11"/>
        <v>0</v>
      </c>
      <c r="HB36" s="43">
        <f t="shared" si="12"/>
        <v>0</v>
      </c>
      <c r="HC36" s="43">
        <f t="shared" si="13"/>
        <v>0</v>
      </c>
      <c r="HD36" s="43">
        <f t="shared" si="14"/>
        <v>0</v>
      </c>
      <c r="HE36" s="43">
        <f t="shared" si="15"/>
        <v>0</v>
      </c>
      <c r="HF36" s="38">
        <f t="shared" si="98"/>
        <v>0</v>
      </c>
      <c r="HG36" s="38">
        <f t="shared" si="99"/>
        <v>0</v>
      </c>
      <c r="HH36" s="38">
        <f t="shared" si="100"/>
        <v>0</v>
      </c>
      <c r="HI36" s="39">
        <f t="shared" si="101"/>
        <v>0</v>
      </c>
      <c r="HJ36" s="44" t="str">
        <f t="shared" si="102"/>
        <v>-</v>
      </c>
      <c r="HK36" s="45" t="str">
        <f>VLOOKUP(HJ36,'TABEL KONVERSI'!$B$11:$D$15,2,0)</f>
        <v>-</v>
      </c>
      <c r="HL36" s="43">
        <f t="shared" si="16"/>
        <v>0</v>
      </c>
      <c r="HM36" s="43">
        <f t="shared" si="17"/>
        <v>0</v>
      </c>
      <c r="HN36" s="43">
        <f t="shared" si="18"/>
        <v>0</v>
      </c>
      <c r="HO36" s="43">
        <f t="shared" si="19"/>
        <v>0</v>
      </c>
      <c r="HP36" s="43">
        <f t="shared" si="20"/>
        <v>0</v>
      </c>
      <c r="HQ36" s="43">
        <f t="shared" si="21"/>
        <v>0</v>
      </c>
      <c r="HR36" s="43">
        <f t="shared" si="22"/>
        <v>0</v>
      </c>
      <c r="HS36" s="43">
        <f t="shared" si="23"/>
        <v>0</v>
      </c>
      <c r="HT36" s="43">
        <f t="shared" si="24"/>
        <v>0</v>
      </c>
      <c r="HU36" s="43">
        <f t="shared" si="25"/>
        <v>0</v>
      </c>
      <c r="HV36" s="43">
        <f t="shared" si="26"/>
        <v>0</v>
      </c>
      <c r="HW36" s="43">
        <f t="shared" si="27"/>
        <v>0</v>
      </c>
      <c r="HX36" s="43">
        <f t="shared" si="28"/>
        <v>0</v>
      </c>
      <c r="HY36" s="43">
        <f t="shared" si="29"/>
        <v>0</v>
      </c>
      <c r="HZ36" s="43">
        <f t="shared" si="30"/>
        <v>0</v>
      </c>
      <c r="IA36" s="43">
        <f t="shared" si="31"/>
        <v>0</v>
      </c>
      <c r="IB36" s="38">
        <f t="shared" si="103"/>
        <v>0</v>
      </c>
      <c r="IC36" s="38">
        <f t="shared" si="104"/>
        <v>0</v>
      </c>
      <c r="ID36" s="38">
        <f t="shared" si="105"/>
        <v>0</v>
      </c>
      <c r="IE36" s="38">
        <f t="shared" si="106"/>
        <v>0</v>
      </c>
      <c r="IF36" s="46" t="str">
        <f t="shared" si="107"/>
        <v>-</v>
      </c>
      <c r="IG36" s="45" t="str">
        <f>VLOOKUP(IF36,'TABEL KONVERSI'!$B$11:$D$15,3,0)</f>
        <v>-</v>
      </c>
      <c r="IH36" s="40" t="s">
        <v>223</v>
      </c>
      <c r="II36" s="41" t="s">
        <v>106</v>
      </c>
      <c r="IJ36" s="45" t="str">
        <f>IF(II36&lt;&gt;"",VLOOKUP(II36,'TABEL KONVERSI'!$A$19:$B$23,2,0),"")</f>
        <v>Aktif dalam mengikuti kegiatan</v>
      </c>
      <c r="IK36" s="47" t="s">
        <v>58</v>
      </c>
      <c r="IL36" s="50" t="s">
        <v>58</v>
      </c>
      <c r="IM36" s="45" t="str">
        <f>IF(IL36&lt;&gt;"",VLOOKUP(IL36,'TABEL KONVERSI'!$A$19:$B$23,2,0),"")</f>
        <v>-</v>
      </c>
      <c r="IN36" s="49" t="s">
        <v>58</v>
      </c>
      <c r="IO36" s="48" t="s">
        <v>58</v>
      </c>
      <c r="IP36" s="45" t="str">
        <f>IF(IO36&lt;&gt;"",VLOOKUP(IO36,'TABEL KONVERSI'!$A$19:$B$23,2,0),"")</f>
        <v>-</v>
      </c>
      <c r="IQ36" s="49" t="s">
        <v>58</v>
      </c>
      <c r="IR36" s="50" t="s">
        <v>58</v>
      </c>
      <c r="IS36" s="45" t="str">
        <f>IF(IR36&lt;&gt;"",VLOOKUP(IR36,'TABEL KONVERSI'!$A$19:$B$23,2,0),"")</f>
        <v>-</v>
      </c>
      <c r="IT36" s="49" t="s">
        <v>58</v>
      </c>
      <c r="IU36" s="50" t="s">
        <v>58</v>
      </c>
      <c r="IV36" s="45" t="str">
        <f>IF(IU36&lt;&gt;"",VLOOKUP(IU36,'TABEL KONVERSI'!$A$19:$B$23,2,0),"")</f>
        <v>-</v>
      </c>
      <c r="IW36" s="48" t="s">
        <v>58</v>
      </c>
      <c r="IX36" s="48" t="s">
        <v>58</v>
      </c>
      <c r="IY36" s="48" t="s">
        <v>58</v>
      </c>
      <c r="IZ36" s="47" t="s">
        <v>58</v>
      </c>
      <c r="JA36" s="45">
        <f t="shared" si="32"/>
        <v>0</v>
      </c>
      <c r="JB36" s="45">
        <f t="shared" si="33"/>
        <v>1</v>
      </c>
    </row>
    <row r="37" spans="1:262" x14ac:dyDescent="0.25">
      <c r="A37" s="33">
        <v>25</v>
      </c>
      <c r="B37" s="51"/>
      <c r="C37" s="51"/>
      <c r="D37" s="77"/>
      <c r="E37" s="52"/>
      <c r="F37" s="42"/>
      <c r="G37" s="37"/>
      <c r="H37" s="73"/>
      <c r="I37" s="73"/>
      <c r="J37" s="38" t="str">
        <f t="shared" si="34"/>
        <v/>
      </c>
      <c r="K37" s="38" t="str">
        <f t="shared" si="35"/>
        <v/>
      </c>
      <c r="L37" s="38" t="str">
        <f>IF(J37&lt;&gt;"",IF(AND(J37&gt;='TABEL KONVERSI'!$B$3,'ENTRY DATA'!J37&lt;='TABEL KONVERSI'!$C$3),1,IF(AND(J37&gt;='TABEL KONVERSI'!$B$4,'ENTRY DATA'!J37&lt;='TABEL KONVERSI'!$C$4),2,IF(AND(J37&gt;='TABEL KONVERSI'!$B$5,'ENTRY DATA'!J37&lt;='TABEL KONVERSI'!$C$5),3,IF(AND(J37&gt;='TABEL KONVERSI'!$B$6,'ENTRY DATA'!J37&lt;='TABEL KONVERSI'!$C$6),4,"")))),"-")</f>
        <v>-</v>
      </c>
      <c r="M37" s="38" t="str">
        <f>IF(K37&lt;&gt;"",IF(AND(K37&gt;='TABEL KONVERSI'!$B$3,'ENTRY DATA'!K37&lt;='TABEL KONVERSI'!$C$3),1,IF(AND(K37&gt;='TABEL KONVERSI'!$B$4,'ENTRY DATA'!K37&lt;='TABEL KONVERSI'!$C$4),2,IF(AND(K37&gt;='TABEL KONVERSI'!$B$5,'ENTRY DATA'!K37&lt;='TABEL KONVERSI'!$C$5),3,IF(AND(K37&gt;='TABEL KONVERSI'!$B$6,'ENTRY DATA'!K37&lt;='TABEL KONVERSI'!$C$6),4,"")))),"-")</f>
        <v>-</v>
      </c>
      <c r="N37" s="38" t="str">
        <f t="shared" si="36"/>
        <v>-</v>
      </c>
      <c r="O37" s="38" t="str">
        <f>VLOOKUP(L37,'TABEL KONVERSI'!$A$3:$D$7,4)</f>
        <v>-</v>
      </c>
      <c r="P37" s="38" t="str">
        <f t="shared" si="37"/>
        <v>-</v>
      </c>
      <c r="Q37" s="38" t="str">
        <f>VLOOKUP(M37,'TABEL KONVERSI'!$A$3:$D$7,4)</f>
        <v>-</v>
      </c>
      <c r="R37" s="42"/>
      <c r="S37" s="37"/>
      <c r="T37" s="73"/>
      <c r="U37" s="73"/>
      <c r="V37" s="38" t="str">
        <f t="shared" si="38"/>
        <v/>
      </c>
      <c r="W37" s="38" t="str">
        <f t="shared" si="39"/>
        <v/>
      </c>
      <c r="X37" s="38" t="str">
        <f>IF(V37&lt;&gt;"",IF(AND(V37&gt;='TABEL KONVERSI'!$B$3,'ENTRY DATA'!V37&lt;='TABEL KONVERSI'!$C$3),1,IF(AND(V37&gt;='TABEL KONVERSI'!$B$4,'ENTRY DATA'!V37&lt;='TABEL KONVERSI'!$C$4),2,IF(AND(V37&gt;='TABEL KONVERSI'!$B$5,'ENTRY DATA'!V37&lt;='TABEL KONVERSI'!$C$5),3,IF(AND(V37&gt;='TABEL KONVERSI'!$B$6,'ENTRY DATA'!V37&lt;='TABEL KONVERSI'!$C$6),4,"")))),"-")</f>
        <v>-</v>
      </c>
      <c r="Y37" s="38" t="str">
        <f>IF(W37&lt;&gt;"",IF(AND(W37&gt;='TABEL KONVERSI'!$B$3,'ENTRY DATA'!W37&lt;='TABEL KONVERSI'!$C$3),1,IF(AND(W37&gt;='TABEL KONVERSI'!$B$4,'ENTRY DATA'!W37&lt;='TABEL KONVERSI'!$C$4),2,IF(AND(W37&gt;='TABEL KONVERSI'!$B$5,'ENTRY DATA'!W37&lt;='TABEL KONVERSI'!$C$5),3,IF(AND(W37&gt;='TABEL KONVERSI'!$B$6,'ENTRY DATA'!W37&lt;='TABEL KONVERSI'!$C$6),4,"")))),"-")</f>
        <v>-</v>
      </c>
      <c r="Z37" s="38" t="str">
        <f t="shared" si="40"/>
        <v>-</v>
      </c>
      <c r="AA37" s="38" t="str">
        <f>VLOOKUP(X37,'TABEL KONVERSI'!$A$3:$D$7,4)</f>
        <v>-</v>
      </c>
      <c r="AB37" s="38" t="str">
        <f t="shared" si="41"/>
        <v>-</v>
      </c>
      <c r="AC37" s="38" t="str">
        <f>VLOOKUP(Y37,'TABEL KONVERSI'!$A$3:$D$7,4)</f>
        <v>-</v>
      </c>
      <c r="AD37" s="42"/>
      <c r="AE37" s="37"/>
      <c r="AF37" s="73"/>
      <c r="AG37" s="73"/>
      <c r="AH37" s="38" t="str">
        <f t="shared" si="42"/>
        <v/>
      </c>
      <c r="AI37" s="38" t="str">
        <f t="shared" si="43"/>
        <v/>
      </c>
      <c r="AJ37" s="38" t="str">
        <f>IF(AH37&lt;&gt;"",IF(AND(AH37&gt;='TABEL KONVERSI'!$B$3,'ENTRY DATA'!AH37&lt;='TABEL KONVERSI'!$C$3),1,IF(AND(AH37&gt;='TABEL KONVERSI'!$B$4,'ENTRY DATA'!AH37&lt;='TABEL KONVERSI'!$C$4),2,IF(AND(AH37&gt;='TABEL KONVERSI'!$B$5,'ENTRY DATA'!AH37&lt;='TABEL KONVERSI'!$C$5),3,IF(AND(AH37&gt;='TABEL KONVERSI'!$B$6,'ENTRY DATA'!AH37&lt;='TABEL KONVERSI'!$C$6),4,"")))),"-")</f>
        <v>-</v>
      </c>
      <c r="AK37" s="38" t="str">
        <f>IF(AI37&lt;&gt;"",IF(AND(AI37&gt;='TABEL KONVERSI'!$B$3,'ENTRY DATA'!AI37&lt;='TABEL KONVERSI'!$C$3),1,IF(AND(AI37&gt;='TABEL KONVERSI'!$B$4,'ENTRY DATA'!AI37&lt;='TABEL KONVERSI'!$C$4),2,IF(AND(AI37&gt;='TABEL KONVERSI'!$B$5,'ENTRY DATA'!AI37&lt;='TABEL KONVERSI'!$C$5),3,IF(AND(AI37&gt;='TABEL KONVERSI'!$B$6,'ENTRY DATA'!AI37&lt;='TABEL KONVERSI'!$C$6),4,"")))),"-")</f>
        <v>-</v>
      </c>
      <c r="AL37" s="38" t="str">
        <f t="shared" si="44"/>
        <v>-</v>
      </c>
      <c r="AM37" s="38" t="str">
        <f>VLOOKUP(AJ37,'TABEL KONVERSI'!$A$3:$D$7,4)</f>
        <v>-</v>
      </c>
      <c r="AN37" s="38" t="str">
        <f t="shared" si="45"/>
        <v>-</v>
      </c>
      <c r="AO37" s="38" t="str">
        <f>VLOOKUP(AK37,'TABEL KONVERSI'!$A$3:$D$7,4)</f>
        <v>-</v>
      </c>
      <c r="AP37" s="42"/>
      <c r="AQ37" s="37"/>
      <c r="AR37" s="73"/>
      <c r="AS37" s="73"/>
      <c r="AT37" s="38" t="str">
        <f t="shared" si="46"/>
        <v/>
      </c>
      <c r="AU37" s="38" t="str">
        <f t="shared" si="47"/>
        <v/>
      </c>
      <c r="AV37" s="38" t="str">
        <f>IF(AT37&lt;&gt;"",IF(AND(AT37&gt;='TABEL KONVERSI'!$B$3,'ENTRY DATA'!AT37&lt;='TABEL KONVERSI'!$C$3),1,IF(AND(AT37&gt;='TABEL KONVERSI'!$B$4,'ENTRY DATA'!AT37&lt;='TABEL KONVERSI'!$C$4),2,IF(AND(AT37&gt;='TABEL KONVERSI'!$B$5,'ENTRY DATA'!AT37&lt;='TABEL KONVERSI'!$C$5),3,IF(AND(AT37&gt;='TABEL KONVERSI'!$B$6,'ENTRY DATA'!AT37&lt;='TABEL KONVERSI'!$C$6),4,"")))),"-")</f>
        <v>-</v>
      </c>
      <c r="AW37" s="38" t="str">
        <f>IF(AU37&lt;&gt;"",IF(AND(AU37&gt;='TABEL KONVERSI'!$B$3,'ENTRY DATA'!AU37&lt;='TABEL KONVERSI'!$C$3),1,IF(AND(AU37&gt;='TABEL KONVERSI'!$B$4,'ENTRY DATA'!AU37&lt;='TABEL KONVERSI'!$C$4),2,IF(AND(AU37&gt;='TABEL KONVERSI'!$B$5,'ENTRY DATA'!AU37&lt;='TABEL KONVERSI'!$C$5),3,IF(AND(AU37&gt;='TABEL KONVERSI'!$B$6,'ENTRY DATA'!AU37&lt;='TABEL KONVERSI'!$C$6),4,"")))),"-")</f>
        <v>-</v>
      </c>
      <c r="AX37" s="38" t="str">
        <f t="shared" si="48"/>
        <v>-</v>
      </c>
      <c r="AY37" s="38" t="str">
        <f>VLOOKUP(AV37,'TABEL KONVERSI'!$A$3:$D$7,4)</f>
        <v>-</v>
      </c>
      <c r="AZ37" s="38" t="str">
        <f t="shared" si="49"/>
        <v>-</v>
      </c>
      <c r="BA37" s="38" t="str">
        <f>VLOOKUP(AW37,'TABEL KONVERSI'!$A$3:$D$7,4)</f>
        <v>-</v>
      </c>
      <c r="BB37" s="42"/>
      <c r="BC37" s="37"/>
      <c r="BD37" s="73"/>
      <c r="BE37" s="73"/>
      <c r="BF37" s="38" t="str">
        <f t="shared" si="50"/>
        <v/>
      </c>
      <c r="BG37" s="38" t="str">
        <f t="shared" si="51"/>
        <v/>
      </c>
      <c r="BH37" s="38" t="str">
        <f>IF(BF37&lt;&gt;"",IF(AND(BF37&gt;='TABEL KONVERSI'!$B$3,'ENTRY DATA'!BF37&lt;='TABEL KONVERSI'!$C$3),1,IF(AND(BF37&gt;='TABEL KONVERSI'!$B$4,'ENTRY DATA'!BF37&lt;='TABEL KONVERSI'!$C$4),2,IF(AND(BF37&gt;='TABEL KONVERSI'!$B$5,'ENTRY DATA'!BF37&lt;='TABEL KONVERSI'!$C$5),3,IF(AND(BF37&gt;='TABEL KONVERSI'!$B$6,'ENTRY DATA'!BF37&lt;='TABEL KONVERSI'!$C$6),4,"")))),"-")</f>
        <v>-</v>
      </c>
      <c r="BI37" s="38" t="str">
        <f>IF(BG37&lt;&gt;"",IF(AND(BG37&gt;='TABEL KONVERSI'!$B$3,'ENTRY DATA'!BG37&lt;='TABEL KONVERSI'!$C$3),1,IF(AND(BG37&gt;='TABEL KONVERSI'!$B$4,'ENTRY DATA'!BG37&lt;='TABEL KONVERSI'!$C$4),2,IF(AND(BG37&gt;='TABEL KONVERSI'!$B$5,'ENTRY DATA'!BG37&lt;='TABEL KONVERSI'!$C$5),3,IF(AND(BG37&gt;='TABEL KONVERSI'!$B$6,'ENTRY DATA'!BG37&lt;='TABEL KONVERSI'!$C$6),4,"")))),"-")</f>
        <v>-</v>
      </c>
      <c r="BJ37" s="38" t="str">
        <f t="shared" si="52"/>
        <v>-</v>
      </c>
      <c r="BK37" s="38" t="str">
        <f>VLOOKUP(BH37,'TABEL KONVERSI'!$A$3:$D$7,4)</f>
        <v>-</v>
      </c>
      <c r="BL37" s="38" t="str">
        <f t="shared" si="53"/>
        <v>-</v>
      </c>
      <c r="BM37" s="38" t="str">
        <f>VLOOKUP(BI37,'TABEL KONVERSI'!$A$3:$D$7,4)</f>
        <v>-</v>
      </c>
      <c r="BN37" s="42"/>
      <c r="BO37" s="37"/>
      <c r="BP37" s="73"/>
      <c r="BQ37" s="73"/>
      <c r="BR37" s="38" t="str">
        <f t="shared" si="54"/>
        <v/>
      </c>
      <c r="BS37" s="38" t="str">
        <f t="shared" si="55"/>
        <v/>
      </c>
      <c r="BT37" s="38" t="str">
        <f>IF(BR37&lt;&gt;"",IF(AND(BR37&gt;='TABEL KONVERSI'!$B$3,'ENTRY DATA'!BR37&lt;='TABEL KONVERSI'!$C$3),1,IF(AND(BR37&gt;='TABEL KONVERSI'!$B$4,'ENTRY DATA'!BR37&lt;='TABEL KONVERSI'!$C$4),2,IF(AND(BR37&gt;='TABEL KONVERSI'!$B$5,'ENTRY DATA'!BR37&lt;='TABEL KONVERSI'!$C$5),3,IF(AND(BR37&gt;='TABEL KONVERSI'!$B$6,'ENTRY DATA'!BR37&lt;='TABEL KONVERSI'!$C$6),4,"")))),"-")</f>
        <v>-</v>
      </c>
      <c r="BU37" s="38" t="str">
        <f>IF(BS37&lt;&gt;"",IF(AND(BS37&gt;='TABEL KONVERSI'!$B$3,'ENTRY DATA'!BS37&lt;='TABEL KONVERSI'!$C$3),1,IF(AND(BS37&gt;='TABEL KONVERSI'!$B$4,'ENTRY DATA'!BS37&lt;='TABEL KONVERSI'!$C$4),2,IF(AND(BS37&gt;='TABEL KONVERSI'!$B$5,'ENTRY DATA'!BS37&lt;='TABEL KONVERSI'!$C$5),3,IF(AND(BS37&gt;='TABEL KONVERSI'!$B$6,'ENTRY DATA'!BS37&lt;='TABEL KONVERSI'!$C$6),4,"")))),"-")</f>
        <v>-</v>
      </c>
      <c r="BV37" s="38" t="str">
        <f t="shared" si="56"/>
        <v>-</v>
      </c>
      <c r="BW37" s="38" t="str">
        <f>VLOOKUP(BT37,'TABEL KONVERSI'!$A$3:$D$7,4)</f>
        <v>-</v>
      </c>
      <c r="BX37" s="38" t="str">
        <f t="shared" si="57"/>
        <v>-</v>
      </c>
      <c r="BY37" s="38" t="str">
        <f>VLOOKUP(BU37,'TABEL KONVERSI'!$A$3:$D$7,4)</f>
        <v>-</v>
      </c>
      <c r="BZ37" s="42"/>
      <c r="CA37" s="37"/>
      <c r="CB37" s="73"/>
      <c r="CC37" s="73"/>
      <c r="CD37" s="38" t="str">
        <f t="shared" si="58"/>
        <v/>
      </c>
      <c r="CE37" s="38" t="str">
        <f t="shared" si="59"/>
        <v/>
      </c>
      <c r="CF37" s="38" t="str">
        <f>IF(CD37&lt;&gt;"",IF(AND(CD37&gt;='TABEL KONVERSI'!$B$3,'ENTRY DATA'!CD37&lt;='TABEL KONVERSI'!$C$3),1,IF(AND(CD37&gt;='TABEL KONVERSI'!$B$4,'ENTRY DATA'!CD37&lt;='TABEL KONVERSI'!$C$4),2,IF(AND(CD37&gt;='TABEL KONVERSI'!$B$5,'ENTRY DATA'!CD37&lt;='TABEL KONVERSI'!$C$5),3,IF(AND(CD37&gt;='TABEL KONVERSI'!$B$6,'ENTRY DATA'!CD37&lt;='TABEL KONVERSI'!$C$6),4,"")))),"-")</f>
        <v>-</v>
      </c>
      <c r="CG37" s="38" t="str">
        <f>IF(CE37&lt;&gt;"",IF(AND(CE37&gt;='TABEL KONVERSI'!$B$3,'ENTRY DATA'!CE37&lt;='TABEL KONVERSI'!$C$3),1,IF(AND(CE37&gt;='TABEL KONVERSI'!$B$4,'ENTRY DATA'!CE37&lt;='TABEL KONVERSI'!$C$4),2,IF(AND(CE37&gt;='TABEL KONVERSI'!$B$5,'ENTRY DATA'!CE37&lt;='TABEL KONVERSI'!$C$5),3,IF(AND(CE37&gt;='TABEL KONVERSI'!$B$6,'ENTRY DATA'!CE37&lt;='TABEL KONVERSI'!$C$6),4,"")))),"-")</f>
        <v>-</v>
      </c>
      <c r="CH37" s="38" t="str">
        <f t="shared" si="60"/>
        <v>-</v>
      </c>
      <c r="CI37" s="38" t="str">
        <f>VLOOKUP(CF37,'TABEL KONVERSI'!$A$3:$D$7,4)</f>
        <v>-</v>
      </c>
      <c r="CJ37" s="38" t="str">
        <f t="shared" si="61"/>
        <v>-</v>
      </c>
      <c r="CK37" s="38" t="str">
        <f>VLOOKUP(CG37,'TABEL KONVERSI'!$A$3:$D$7,4)</f>
        <v>-</v>
      </c>
      <c r="CL37" s="42"/>
      <c r="CM37" s="37"/>
      <c r="CN37" s="73"/>
      <c r="CO37" s="73"/>
      <c r="CP37" s="38" t="str">
        <f t="shared" si="62"/>
        <v/>
      </c>
      <c r="CQ37" s="38" t="str">
        <f t="shared" si="63"/>
        <v/>
      </c>
      <c r="CR37" s="38" t="str">
        <f>IF(CP37&lt;&gt;"",IF(AND(CP37&gt;='TABEL KONVERSI'!$B$3,'ENTRY DATA'!CP37&lt;='TABEL KONVERSI'!$C$3),1,IF(AND(CP37&gt;='TABEL KONVERSI'!$B$4,'ENTRY DATA'!CP37&lt;='TABEL KONVERSI'!$C$4),2,IF(AND(CP37&gt;='TABEL KONVERSI'!$B$5,'ENTRY DATA'!CP37&lt;='TABEL KONVERSI'!$C$5),3,IF(AND(CP37&gt;='TABEL KONVERSI'!$B$6,'ENTRY DATA'!CP37&lt;='TABEL KONVERSI'!$C$6),4,"")))),"-")</f>
        <v>-</v>
      </c>
      <c r="CS37" s="38" t="str">
        <f>IF(CQ37&lt;&gt;"",IF(AND(CQ37&gt;='TABEL KONVERSI'!$B$3,'ENTRY DATA'!CQ37&lt;='TABEL KONVERSI'!$C$3),1,IF(AND(CQ37&gt;='TABEL KONVERSI'!$B$4,'ENTRY DATA'!CQ37&lt;='TABEL KONVERSI'!$C$4),2,IF(AND(CQ37&gt;='TABEL KONVERSI'!$B$5,'ENTRY DATA'!CQ37&lt;='TABEL KONVERSI'!$C$5),3,IF(AND(CQ37&gt;='TABEL KONVERSI'!$B$6,'ENTRY DATA'!CQ37&lt;='TABEL KONVERSI'!$C$6),4,"")))),"-")</f>
        <v>-</v>
      </c>
      <c r="CT37" s="38" t="str">
        <f t="shared" si="64"/>
        <v>-</v>
      </c>
      <c r="CU37" s="38" t="str">
        <f>VLOOKUP(CR37,'TABEL KONVERSI'!$A$3:$D$7,4)</f>
        <v>-</v>
      </c>
      <c r="CV37" s="38" t="str">
        <f t="shared" si="65"/>
        <v>-</v>
      </c>
      <c r="CW37" s="38" t="str">
        <f>VLOOKUP(CS37,'TABEL KONVERSI'!$A$3:$D$7,4)</f>
        <v>-</v>
      </c>
      <c r="CX37" s="42"/>
      <c r="CY37" s="37"/>
      <c r="CZ37" s="73"/>
      <c r="DA37" s="73"/>
      <c r="DB37" s="38" t="str">
        <f t="shared" si="66"/>
        <v/>
      </c>
      <c r="DC37" s="38" t="str">
        <f t="shared" si="67"/>
        <v/>
      </c>
      <c r="DD37" s="38" t="str">
        <f>IF(DB37&lt;&gt;"",IF(AND(DB37&gt;='TABEL KONVERSI'!$B$3,'ENTRY DATA'!DB37&lt;='TABEL KONVERSI'!$C$3),1,IF(AND(DB37&gt;='TABEL KONVERSI'!$B$4,'ENTRY DATA'!DB37&lt;='TABEL KONVERSI'!$C$4),2,IF(AND(DB37&gt;='TABEL KONVERSI'!$B$5,'ENTRY DATA'!DB37&lt;='TABEL KONVERSI'!$C$5),3,IF(AND(DB37&gt;='TABEL KONVERSI'!$B$6,'ENTRY DATA'!DB37&lt;='TABEL KONVERSI'!$C$6),4,"")))),"-")</f>
        <v>-</v>
      </c>
      <c r="DE37" s="38" t="str">
        <f>IF(DC37&lt;&gt;"",IF(AND(DC37&gt;='TABEL KONVERSI'!$B$3,'ENTRY DATA'!DC37&lt;='TABEL KONVERSI'!$C$3),1,IF(AND(DC37&gt;='TABEL KONVERSI'!$B$4,'ENTRY DATA'!DC37&lt;='TABEL KONVERSI'!$C$4),2,IF(AND(DC37&gt;='TABEL KONVERSI'!$B$5,'ENTRY DATA'!DC37&lt;='TABEL KONVERSI'!$C$5),3,IF(AND(DC37&gt;='TABEL KONVERSI'!$B$6,'ENTRY DATA'!DC37&lt;='TABEL KONVERSI'!$C$6),4,"")))),"-")</f>
        <v>-</v>
      </c>
      <c r="DF37" s="38" t="str">
        <f t="shared" si="68"/>
        <v>-</v>
      </c>
      <c r="DG37" s="38" t="str">
        <f>VLOOKUP(DD37,'TABEL KONVERSI'!$A$3:$D$7,4)</f>
        <v>-</v>
      </c>
      <c r="DH37" s="38" t="str">
        <f t="shared" si="69"/>
        <v>-</v>
      </c>
      <c r="DI37" s="38" t="str">
        <f>VLOOKUP(DE37,'TABEL KONVERSI'!$A$3:$D$7,4)</f>
        <v>-</v>
      </c>
      <c r="DJ37" s="42"/>
      <c r="DK37" s="37"/>
      <c r="DL37" s="73"/>
      <c r="DM37" s="73"/>
      <c r="DN37" s="38" t="str">
        <f t="shared" si="70"/>
        <v/>
      </c>
      <c r="DO37" s="38" t="str">
        <f t="shared" si="71"/>
        <v/>
      </c>
      <c r="DP37" s="38" t="str">
        <f>IF(DN37&lt;&gt;"",IF(AND(DN37&gt;='TABEL KONVERSI'!$B$3,'ENTRY DATA'!DN37&lt;='TABEL KONVERSI'!$C$3),1,IF(AND(DN37&gt;='TABEL KONVERSI'!$B$4,'ENTRY DATA'!DN37&lt;='TABEL KONVERSI'!$C$4),2,IF(AND(DN37&gt;='TABEL KONVERSI'!$B$5,'ENTRY DATA'!DN37&lt;='TABEL KONVERSI'!$C$5),3,IF(AND(DN37&gt;='TABEL KONVERSI'!$B$6,'ENTRY DATA'!DN37&lt;='TABEL KONVERSI'!$C$6),4,"")))),"-")</f>
        <v>-</v>
      </c>
      <c r="DQ37" s="38" t="str">
        <f>IF(DO37&lt;&gt;"",IF(AND(DO37&gt;='TABEL KONVERSI'!$B$3,'ENTRY DATA'!DO37&lt;='TABEL KONVERSI'!$C$3),1,IF(AND(DO37&gt;='TABEL KONVERSI'!$B$4,'ENTRY DATA'!DO37&lt;='TABEL KONVERSI'!$C$4),2,IF(AND(DO37&gt;='TABEL KONVERSI'!$B$5,'ENTRY DATA'!DO37&lt;='TABEL KONVERSI'!$C$5),3,IF(AND(DO37&gt;='TABEL KONVERSI'!$B$6,'ENTRY DATA'!DO37&lt;='TABEL KONVERSI'!$C$6),4,"")))),"-")</f>
        <v>-</v>
      </c>
      <c r="DR37" s="38" t="str">
        <f t="shared" si="72"/>
        <v>-</v>
      </c>
      <c r="DS37" s="38" t="str">
        <f>VLOOKUP(DP37,'TABEL KONVERSI'!$A$3:$D$7,4)</f>
        <v>-</v>
      </c>
      <c r="DT37" s="38" t="str">
        <f t="shared" si="73"/>
        <v>-</v>
      </c>
      <c r="DU37" s="38" t="str">
        <f>VLOOKUP(DQ37,'TABEL KONVERSI'!$A$3:$D$7,4)</f>
        <v>-</v>
      </c>
      <c r="DV37" s="42"/>
      <c r="DW37" s="37"/>
      <c r="DX37" s="73"/>
      <c r="DY37" s="73"/>
      <c r="DZ37" s="38" t="str">
        <f t="shared" si="74"/>
        <v/>
      </c>
      <c r="EA37" s="38" t="str">
        <f t="shared" si="75"/>
        <v/>
      </c>
      <c r="EB37" s="38" t="str">
        <f>IF(DZ37&lt;&gt;"",IF(AND(DZ37&gt;='TABEL KONVERSI'!$B$3,'ENTRY DATA'!DZ37&lt;='TABEL KONVERSI'!$C$3),1,IF(AND(DZ37&gt;='TABEL KONVERSI'!$B$4,'ENTRY DATA'!DZ37&lt;='TABEL KONVERSI'!$C$4),2,IF(AND(DZ37&gt;='TABEL KONVERSI'!$B$5,'ENTRY DATA'!DZ37&lt;='TABEL KONVERSI'!$C$5),3,IF(AND(DZ37&gt;='TABEL KONVERSI'!$B$6,'ENTRY DATA'!DZ37&lt;='TABEL KONVERSI'!$C$6),4,"")))),"-")</f>
        <v>-</v>
      </c>
      <c r="EC37" s="38" t="str">
        <f>IF(EA37&lt;&gt;"",IF(AND(EA37&gt;='TABEL KONVERSI'!$B$3,'ENTRY DATA'!EA37&lt;='TABEL KONVERSI'!$C$3),1,IF(AND(EA37&gt;='TABEL KONVERSI'!$B$4,'ENTRY DATA'!EA37&lt;='TABEL KONVERSI'!$C$4),2,IF(AND(EA37&gt;='TABEL KONVERSI'!$B$5,'ENTRY DATA'!EA37&lt;='TABEL KONVERSI'!$C$5),3,IF(AND(EA37&gt;='TABEL KONVERSI'!$B$6,'ENTRY DATA'!EA37&lt;='TABEL KONVERSI'!$C$6),4,"")))),"-")</f>
        <v>-</v>
      </c>
      <c r="ED37" s="38" t="str">
        <f t="shared" si="76"/>
        <v>-</v>
      </c>
      <c r="EE37" s="38" t="str">
        <f>VLOOKUP(EB37,'TABEL KONVERSI'!$A$3:$D$7,4)</f>
        <v>-</v>
      </c>
      <c r="EF37" s="38" t="str">
        <f t="shared" si="77"/>
        <v>-</v>
      </c>
      <c r="EG37" s="38" t="str">
        <f>VLOOKUP(EC37,'TABEL KONVERSI'!$A$3:$D$7,4)</f>
        <v>-</v>
      </c>
      <c r="EH37" s="42"/>
      <c r="EI37" s="37"/>
      <c r="EJ37" s="73"/>
      <c r="EK37" s="73"/>
      <c r="EL37" s="38" t="str">
        <f t="shared" si="78"/>
        <v/>
      </c>
      <c r="EM37" s="38" t="str">
        <f t="shared" si="79"/>
        <v/>
      </c>
      <c r="EN37" s="38" t="str">
        <f>IF(EL37&lt;&gt;"",IF(AND(EL37&gt;='TABEL KONVERSI'!$B$3,'ENTRY DATA'!EL37&lt;='TABEL KONVERSI'!$C$3),1,IF(AND(EL37&gt;='TABEL KONVERSI'!$B$4,'ENTRY DATA'!EL37&lt;='TABEL KONVERSI'!$C$4),2,IF(AND(EL37&gt;='TABEL KONVERSI'!$B$5,'ENTRY DATA'!EL37&lt;='TABEL KONVERSI'!$C$5),3,IF(AND(EL37&gt;='TABEL KONVERSI'!$B$6,'ENTRY DATA'!EL37&lt;='TABEL KONVERSI'!$C$6),4,"")))),"-")</f>
        <v>-</v>
      </c>
      <c r="EO37" s="38" t="str">
        <f>IF(EM37&lt;&gt;"",IF(AND(EM37&gt;='TABEL KONVERSI'!$B$3,'ENTRY DATA'!EM37&lt;='TABEL KONVERSI'!$C$3),1,IF(AND(EM37&gt;='TABEL KONVERSI'!$B$4,'ENTRY DATA'!EM37&lt;='TABEL KONVERSI'!$C$4),2,IF(AND(EM37&gt;='TABEL KONVERSI'!$B$5,'ENTRY DATA'!EM37&lt;='TABEL KONVERSI'!$C$5),3,IF(AND(EM37&gt;='TABEL KONVERSI'!$B$6,'ENTRY DATA'!EM37&lt;='TABEL KONVERSI'!$C$6),4,"")))),"-")</f>
        <v>-</v>
      </c>
      <c r="EP37" s="38" t="str">
        <f t="shared" si="80"/>
        <v>-</v>
      </c>
      <c r="EQ37" s="38" t="str">
        <f>VLOOKUP(EN37,'TABEL KONVERSI'!$A$3:$D$7,4)</f>
        <v>-</v>
      </c>
      <c r="ER37" s="38" t="str">
        <f t="shared" si="81"/>
        <v>-</v>
      </c>
      <c r="ES37" s="38" t="str">
        <f>VLOOKUP(EO37,'TABEL KONVERSI'!$A$3:$D$7,4)</f>
        <v>-</v>
      </c>
      <c r="ET37" s="42"/>
      <c r="EU37" s="37"/>
      <c r="EV37" s="73"/>
      <c r="EW37" s="73"/>
      <c r="EX37" s="38" t="str">
        <f t="shared" si="82"/>
        <v/>
      </c>
      <c r="EY37" s="38" t="str">
        <f t="shared" si="83"/>
        <v/>
      </c>
      <c r="EZ37" s="38" t="str">
        <f>IF(EX37&lt;&gt;"",IF(AND(EX37&gt;='TABEL KONVERSI'!$B$3,'ENTRY DATA'!EX37&lt;='TABEL KONVERSI'!$C$3),1,IF(AND(EX37&gt;='TABEL KONVERSI'!$B$4,'ENTRY DATA'!EX37&lt;='TABEL KONVERSI'!$C$4),2,IF(AND(EX37&gt;='TABEL KONVERSI'!$B$5,'ENTRY DATA'!EX37&lt;='TABEL KONVERSI'!$C$5),3,IF(AND(EX37&gt;='TABEL KONVERSI'!$B$6,'ENTRY DATA'!EX37&lt;='TABEL KONVERSI'!$C$6),4,"")))),"-")</f>
        <v>-</v>
      </c>
      <c r="FA37" s="38" t="str">
        <f>IF(EY37&lt;&gt;"",IF(AND(EY37&gt;='TABEL KONVERSI'!$B$3,'ENTRY DATA'!EY37&lt;='TABEL KONVERSI'!$C$3),1,IF(AND(EY37&gt;='TABEL KONVERSI'!$B$4,'ENTRY DATA'!EY37&lt;='TABEL KONVERSI'!$C$4),2,IF(AND(EY37&gt;='TABEL KONVERSI'!$B$5,'ENTRY DATA'!EY37&lt;='TABEL KONVERSI'!$C$5),3,IF(AND(EY37&gt;='TABEL KONVERSI'!$B$6,'ENTRY DATA'!EY37&lt;='TABEL KONVERSI'!$C$6),4,"")))),"-")</f>
        <v>-</v>
      </c>
      <c r="FB37" s="38" t="str">
        <f t="shared" si="84"/>
        <v>-</v>
      </c>
      <c r="FC37" s="38" t="str">
        <f>VLOOKUP(EZ37,'TABEL KONVERSI'!$A$3:$D$7,4)</f>
        <v>-</v>
      </c>
      <c r="FD37" s="38" t="str">
        <f t="shared" si="85"/>
        <v>-</v>
      </c>
      <c r="FE37" s="38" t="str">
        <f>VLOOKUP(FA37,'TABEL KONVERSI'!$A$3:$D$7,4)</f>
        <v>-</v>
      </c>
      <c r="FF37" s="42"/>
      <c r="FG37" s="37"/>
      <c r="FH37" s="73"/>
      <c r="FI37" s="73"/>
      <c r="FJ37" s="38" t="str">
        <f t="shared" si="86"/>
        <v/>
      </c>
      <c r="FK37" s="38" t="str">
        <f t="shared" si="87"/>
        <v/>
      </c>
      <c r="FL37" s="38" t="str">
        <f>IF(FJ37&lt;&gt;"",IF(AND(FJ37&gt;='TABEL KONVERSI'!$B$3,'ENTRY DATA'!FJ37&lt;='TABEL KONVERSI'!$C$3),1,IF(AND(FJ37&gt;='TABEL KONVERSI'!$B$4,'ENTRY DATA'!FJ37&lt;='TABEL KONVERSI'!$C$4),2,IF(AND(FJ37&gt;='TABEL KONVERSI'!$B$5,'ENTRY DATA'!FJ37&lt;='TABEL KONVERSI'!$C$5),3,IF(AND(FJ37&gt;='TABEL KONVERSI'!$B$6,'ENTRY DATA'!FJ37&lt;='TABEL KONVERSI'!$C$6),4,"")))),"-")</f>
        <v>-</v>
      </c>
      <c r="FM37" s="38" t="str">
        <f>IF(FK37&lt;&gt;"",IF(AND(FK37&gt;='TABEL KONVERSI'!$B$3,'ENTRY DATA'!FK37&lt;='TABEL KONVERSI'!$C$3),1,IF(AND(FK37&gt;='TABEL KONVERSI'!$B$4,'ENTRY DATA'!FK37&lt;='TABEL KONVERSI'!$C$4),2,IF(AND(FK37&gt;='TABEL KONVERSI'!$B$5,'ENTRY DATA'!FK37&lt;='TABEL KONVERSI'!$C$5),3,IF(AND(FK37&gt;='TABEL KONVERSI'!$B$6,'ENTRY DATA'!FK37&lt;='TABEL KONVERSI'!$C$6),4,"")))),"-")</f>
        <v>-</v>
      </c>
      <c r="FN37" s="38" t="str">
        <f t="shared" si="88"/>
        <v>-</v>
      </c>
      <c r="FO37" s="38" t="str">
        <f>VLOOKUP(FL37,'TABEL KONVERSI'!$A$3:$D$7,4)</f>
        <v>-</v>
      </c>
      <c r="FP37" s="38" t="str">
        <f t="shared" si="89"/>
        <v>-</v>
      </c>
      <c r="FQ37" s="38" t="str">
        <f>VLOOKUP(FM37,'TABEL KONVERSI'!$A$3:$D$7,4)</f>
        <v>-</v>
      </c>
      <c r="FR37" s="42"/>
      <c r="FS37" s="37"/>
      <c r="FT37" s="73"/>
      <c r="FU37" s="73"/>
      <c r="FV37" s="38" t="str">
        <f t="shared" si="90"/>
        <v/>
      </c>
      <c r="FW37" s="38" t="str">
        <f t="shared" si="91"/>
        <v/>
      </c>
      <c r="FX37" s="38" t="str">
        <f>IF(FV37&lt;&gt;"",IF(AND(FV37&gt;='TABEL KONVERSI'!$B$3,'ENTRY DATA'!FV37&lt;='TABEL KONVERSI'!$C$3),1,IF(AND(FV37&gt;='TABEL KONVERSI'!$B$4,'ENTRY DATA'!FV37&lt;='TABEL KONVERSI'!$C$4),2,IF(AND(FV37&gt;='TABEL KONVERSI'!$B$5,'ENTRY DATA'!FV37&lt;='TABEL KONVERSI'!$C$5),3,IF(AND(FV37&gt;='TABEL KONVERSI'!$B$6,'ENTRY DATA'!FV37&lt;='TABEL KONVERSI'!$C$6),4,"")))),"-")</f>
        <v>-</v>
      </c>
      <c r="FY37" s="38" t="str">
        <f>IF(FW37&lt;&gt;"",IF(AND(FW37&gt;='TABEL KONVERSI'!$B$3,'ENTRY DATA'!FW37&lt;='TABEL KONVERSI'!$C$3),1,IF(AND(FW37&gt;='TABEL KONVERSI'!$B$4,'ENTRY DATA'!FW37&lt;='TABEL KONVERSI'!$C$4),2,IF(AND(FW37&gt;='TABEL KONVERSI'!$B$5,'ENTRY DATA'!FW37&lt;='TABEL KONVERSI'!$C$5),3,IF(AND(FW37&gt;='TABEL KONVERSI'!$B$6,'ENTRY DATA'!FW37&lt;='TABEL KONVERSI'!$C$6),4,"")))),"-")</f>
        <v>-</v>
      </c>
      <c r="FZ37" s="38" t="str">
        <f t="shared" si="92"/>
        <v>-</v>
      </c>
      <c r="GA37" s="38" t="str">
        <f>VLOOKUP(FX37,'TABEL KONVERSI'!$A$3:$D$7,4)</f>
        <v>-</v>
      </c>
      <c r="GB37" s="38" t="str">
        <f t="shared" si="93"/>
        <v>-</v>
      </c>
      <c r="GC37" s="38" t="str">
        <f>VLOOKUP(FY37,'TABEL KONVERSI'!$A$3:$D$7,4)</f>
        <v>-</v>
      </c>
      <c r="GD37" s="42"/>
      <c r="GE37" s="37"/>
      <c r="GF37" s="73"/>
      <c r="GG37" s="73"/>
      <c r="GH37" s="38" t="str">
        <f t="shared" si="94"/>
        <v/>
      </c>
      <c r="GI37" s="38" t="str">
        <f t="shared" si="95"/>
        <v/>
      </c>
      <c r="GJ37" s="38" t="str">
        <f>IF(GH37&lt;&gt;"",IF(AND(GH37&gt;='TABEL KONVERSI'!$B$3,'ENTRY DATA'!GH37&lt;='TABEL KONVERSI'!$C$3),1,IF(AND(GH37&gt;='TABEL KONVERSI'!$B$4,'ENTRY DATA'!GH37&lt;='TABEL KONVERSI'!$C$4),2,IF(AND(GH37&gt;='TABEL KONVERSI'!$B$5,'ENTRY DATA'!GH37&lt;='TABEL KONVERSI'!$C$5),3,IF(AND(GH37&gt;='TABEL KONVERSI'!$B$6,'ENTRY DATA'!GH37&lt;='TABEL KONVERSI'!$C$6),4,"")))),"-")</f>
        <v>-</v>
      </c>
      <c r="GK37" s="38" t="str">
        <f>IF(GI37&lt;&gt;"",IF(AND(GI37&gt;='TABEL KONVERSI'!$B$3,'ENTRY DATA'!GI37&lt;='TABEL KONVERSI'!$C$3),1,IF(AND(GI37&gt;='TABEL KONVERSI'!$B$4,'ENTRY DATA'!GI37&lt;='TABEL KONVERSI'!$C$4),2,IF(AND(GI37&gt;='TABEL KONVERSI'!$B$5,'ENTRY DATA'!GI37&lt;='TABEL KONVERSI'!$C$5),3,IF(AND(GI37&gt;='TABEL KONVERSI'!$B$6,'ENTRY DATA'!GI37&lt;='TABEL KONVERSI'!$C$6),4,"")))),"-")</f>
        <v>-</v>
      </c>
      <c r="GL37" s="38" t="str">
        <f t="shared" si="96"/>
        <v>-</v>
      </c>
      <c r="GM37" s="38" t="str">
        <f>VLOOKUP(GJ37,'TABEL KONVERSI'!$A$3:$D$7,4)</f>
        <v>-</v>
      </c>
      <c r="GN37" s="38" t="str">
        <f t="shared" si="97"/>
        <v>-</v>
      </c>
      <c r="GO37" s="38" t="str">
        <f>VLOOKUP(GK37,'TABEL KONVERSI'!$A$3:$D$7,4)</f>
        <v>-</v>
      </c>
      <c r="GP37" s="43">
        <f t="shared" si="0"/>
        <v>0</v>
      </c>
      <c r="GQ37" s="43">
        <f t="shared" si="1"/>
        <v>0</v>
      </c>
      <c r="GR37" s="43">
        <f t="shared" si="2"/>
        <v>0</v>
      </c>
      <c r="GS37" s="43">
        <f t="shared" si="3"/>
        <v>0</v>
      </c>
      <c r="GT37" s="43">
        <f t="shared" si="4"/>
        <v>0</v>
      </c>
      <c r="GU37" s="43">
        <f t="shared" si="5"/>
        <v>0</v>
      </c>
      <c r="GV37" s="43">
        <f t="shared" si="6"/>
        <v>0</v>
      </c>
      <c r="GW37" s="43">
        <f t="shared" si="7"/>
        <v>0</v>
      </c>
      <c r="GX37" s="43">
        <f t="shared" si="8"/>
        <v>0</v>
      </c>
      <c r="GY37" s="43">
        <f t="shared" si="9"/>
        <v>0</v>
      </c>
      <c r="GZ37" s="43">
        <f t="shared" si="10"/>
        <v>0</v>
      </c>
      <c r="HA37" s="43">
        <f t="shared" si="11"/>
        <v>0</v>
      </c>
      <c r="HB37" s="43">
        <f t="shared" si="12"/>
        <v>0</v>
      </c>
      <c r="HC37" s="43">
        <f t="shared" si="13"/>
        <v>0</v>
      </c>
      <c r="HD37" s="43">
        <f t="shared" si="14"/>
        <v>0</v>
      </c>
      <c r="HE37" s="43">
        <f t="shared" si="15"/>
        <v>0</v>
      </c>
      <c r="HF37" s="38">
        <f t="shared" si="98"/>
        <v>0</v>
      </c>
      <c r="HG37" s="38">
        <f t="shared" si="99"/>
        <v>0</v>
      </c>
      <c r="HH37" s="38">
        <f t="shared" si="100"/>
        <v>0</v>
      </c>
      <c r="HI37" s="39">
        <f t="shared" si="101"/>
        <v>0</v>
      </c>
      <c r="HJ37" s="44" t="str">
        <f t="shared" si="102"/>
        <v>-</v>
      </c>
      <c r="HK37" s="45" t="str">
        <f>VLOOKUP(HJ37,'TABEL KONVERSI'!$B$11:$D$15,2,0)</f>
        <v>-</v>
      </c>
      <c r="HL37" s="43">
        <f t="shared" si="16"/>
        <v>0</v>
      </c>
      <c r="HM37" s="43">
        <f t="shared" si="17"/>
        <v>0</v>
      </c>
      <c r="HN37" s="43">
        <f t="shared" si="18"/>
        <v>0</v>
      </c>
      <c r="HO37" s="43">
        <f t="shared" si="19"/>
        <v>0</v>
      </c>
      <c r="HP37" s="43">
        <f t="shared" si="20"/>
        <v>0</v>
      </c>
      <c r="HQ37" s="43">
        <f t="shared" si="21"/>
        <v>0</v>
      </c>
      <c r="HR37" s="43">
        <f t="shared" si="22"/>
        <v>0</v>
      </c>
      <c r="HS37" s="43">
        <f t="shared" si="23"/>
        <v>0</v>
      </c>
      <c r="HT37" s="43">
        <f t="shared" si="24"/>
        <v>0</v>
      </c>
      <c r="HU37" s="43">
        <f t="shared" si="25"/>
        <v>0</v>
      </c>
      <c r="HV37" s="43">
        <f t="shared" si="26"/>
        <v>0</v>
      </c>
      <c r="HW37" s="43">
        <f t="shared" si="27"/>
        <v>0</v>
      </c>
      <c r="HX37" s="43">
        <f t="shared" si="28"/>
        <v>0</v>
      </c>
      <c r="HY37" s="43">
        <f t="shared" si="29"/>
        <v>0</v>
      </c>
      <c r="HZ37" s="43">
        <f t="shared" si="30"/>
        <v>0</v>
      </c>
      <c r="IA37" s="43">
        <f t="shared" si="31"/>
        <v>0</v>
      </c>
      <c r="IB37" s="38">
        <f t="shared" si="103"/>
        <v>0</v>
      </c>
      <c r="IC37" s="38">
        <f t="shared" si="104"/>
        <v>0</v>
      </c>
      <c r="ID37" s="38">
        <f t="shared" si="105"/>
        <v>0</v>
      </c>
      <c r="IE37" s="38">
        <f t="shared" si="106"/>
        <v>0</v>
      </c>
      <c r="IF37" s="46" t="str">
        <f t="shared" si="107"/>
        <v>-</v>
      </c>
      <c r="IG37" s="45" t="str">
        <f>VLOOKUP(IF37,'TABEL KONVERSI'!$B$11:$D$15,3,0)</f>
        <v>-</v>
      </c>
      <c r="IH37" s="40" t="s">
        <v>223</v>
      </c>
      <c r="II37" s="41" t="s">
        <v>106</v>
      </c>
      <c r="IJ37" s="45" t="str">
        <f>IF(II37&lt;&gt;"",VLOOKUP(II37,'TABEL KONVERSI'!$A$19:$B$23,2,0),"")</f>
        <v>Aktif dalam mengikuti kegiatan</v>
      </c>
      <c r="IK37" s="47" t="s">
        <v>58</v>
      </c>
      <c r="IL37" s="50" t="s">
        <v>58</v>
      </c>
      <c r="IM37" s="45" t="str">
        <f>IF(IL37&lt;&gt;"",VLOOKUP(IL37,'TABEL KONVERSI'!$A$19:$B$23,2,0),"")</f>
        <v>-</v>
      </c>
      <c r="IN37" s="49" t="s">
        <v>58</v>
      </c>
      <c r="IO37" s="48" t="s">
        <v>58</v>
      </c>
      <c r="IP37" s="45" t="str">
        <f>IF(IO37&lt;&gt;"",VLOOKUP(IO37,'TABEL KONVERSI'!$A$19:$B$23,2,0),"")</f>
        <v>-</v>
      </c>
      <c r="IQ37" s="49" t="s">
        <v>58</v>
      </c>
      <c r="IR37" s="50" t="s">
        <v>58</v>
      </c>
      <c r="IS37" s="45" t="str">
        <f>IF(IR37&lt;&gt;"",VLOOKUP(IR37,'TABEL KONVERSI'!$A$19:$B$23,2,0),"")</f>
        <v>-</v>
      </c>
      <c r="IT37" s="49" t="s">
        <v>58</v>
      </c>
      <c r="IU37" s="50" t="s">
        <v>58</v>
      </c>
      <c r="IV37" s="45" t="str">
        <f>IF(IU37&lt;&gt;"",VLOOKUP(IU37,'TABEL KONVERSI'!$A$19:$B$23,2,0),"")</f>
        <v>-</v>
      </c>
      <c r="IW37" s="48" t="s">
        <v>58</v>
      </c>
      <c r="IX37" s="48" t="s">
        <v>58</v>
      </c>
      <c r="IY37" s="48" t="s">
        <v>58</v>
      </c>
      <c r="IZ37" s="47" t="s">
        <v>58</v>
      </c>
      <c r="JA37" s="45">
        <f t="shared" si="32"/>
        <v>0</v>
      </c>
      <c r="JB37" s="45">
        <f t="shared" si="33"/>
        <v>1</v>
      </c>
    </row>
    <row r="38" spans="1:262" x14ac:dyDescent="0.25">
      <c r="A38" s="33">
        <v>26</v>
      </c>
      <c r="B38" s="51"/>
      <c r="C38" s="51"/>
      <c r="D38" s="77"/>
      <c r="E38" s="52"/>
      <c r="F38" s="42"/>
      <c r="G38" s="37"/>
      <c r="H38" s="73"/>
      <c r="I38" s="73"/>
      <c r="J38" s="38" t="str">
        <f t="shared" si="34"/>
        <v/>
      </c>
      <c r="K38" s="38" t="str">
        <f t="shared" si="35"/>
        <v/>
      </c>
      <c r="L38" s="38" t="str">
        <f>IF(J38&lt;&gt;"",IF(AND(J38&gt;='TABEL KONVERSI'!$B$3,'ENTRY DATA'!J38&lt;='TABEL KONVERSI'!$C$3),1,IF(AND(J38&gt;='TABEL KONVERSI'!$B$4,'ENTRY DATA'!J38&lt;='TABEL KONVERSI'!$C$4),2,IF(AND(J38&gt;='TABEL KONVERSI'!$B$5,'ENTRY DATA'!J38&lt;='TABEL KONVERSI'!$C$5),3,IF(AND(J38&gt;='TABEL KONVERSI'!$B$6,'ENTRY DATA'!J38&lt;='TABEL KONVERSI'!$C$6),4,"")))),"-")</f>
        <v>-</v>
      </c>
      <c r="M38" s="38" t="str">
        <f>IF(K38&lt;&gt;"",IF(AND(K38&gt;='TABEL KONVERSI'!$B$3,'ENTRY DATA'!K38&lt;='TABEL KONVERSI'!$C$3),1,IF(AND(K38&gt;='TABEL KONVERSI'!$B$4,'ENTRY DATA'!K38&lt;='TABEL KONVERSI'!$C$4),2,IF(AND(K38&gt;='TABEL KONVERSI'!$B$5,'ENTRY DATA'!K38&lt;='TABEL KONVERSI'!$C$5),3,IF(AND(K38&gt;='TABEL KONVERSI'!$B$6,'ENTRY DATA'!K38&lt;='TABEL KONVERSI'!$C$6),4,"")))),"-")</f>
        <v>-</v>
      </c>
      <c r="N38" s="38" t="str">
        <f t="shared" si="36"/>
        <v>-</v>
      </c>
      <c r="O38" s="38" t="str">
        <f>VLOOKUP(L38,'TABEL KONVERSI'!$A$3:$D$7,4)</f>
        <v>-</v>
      </c>
      <c r="P38" s="38" t="str">
        <f t="shared" si="37"/>
        <v>-</v>
      </c>
      <c r="Q38" s="38" t="str">
        <f>VLOOKUP(M38,'TABEL KONVERSI'!$A$3:$D$7,4)</f>
        <v>-</v>
      </c>
      <c r="R38" s="42"/>
      <c r="S38" s="37"/>
      <c r="T38" s="73"/>
      <c r="U38" s="73"/>
      <c r="V38" s="38" t="str">
        <f t="shared" si="38"/>
        <v/>
      </c>
      <c r="W38" s="38" t="str">
        <f t="shared" si="39"/>
        <v/>
      </c>
      <c r="X38" s="38" t="str">
        <f>IF(V38&lt;&gt;"",IF(AND(V38&gt;='TABEL KONVERSI'!$B$3,'ENTRY DATA'!V38&lt;='TABEL KONVERSI'!$C$3),1,IF(AND(V38&gt;='TABEL KONVERSI'!$B$4,'ENTRY DATA'!V38&lt;='TABEL KONVERSI'!$C$4),2,IF(AND(V38&gt;='TABEL KONVERSI'!$B$5,'ENTRY DATA'!V38&lt;='TABEL KONVERSI'!$C$5),3,IF(AND(V38&gt;='TABEL KONVERSI'!$B$6,'ENTRY DATA'!V38&lt;='TABEL KONVERSI'!$C$6),4,"")))),"-")</f>
        <v>-</v>
      </c>
      <c r="Y38" s="38" t="str">
        <f>IF(W38&lt;&gt;"",IF(AND(W38&gt;='TABEL KONVERSI'!$B$3,'ENTRY DATA'!W38&lt;='TABEL KONVERSI'!$C$3),1,IF(AND(W38&gt;='TABEL KONVERSI'!$B$4,'ENTRY DATA'!W38&lt;='TABEL KONVERSI'!$C$4),2,IF(AND(W38&gt;='TABEL KONVERSI'!$B$5,'ENTRY DATA'!W38&lt;='TABEL KONVERSI'!$C$5),3,IF(AND(W38&gt;='TABEL KONVERSI'!$B$6,'ENTRY DATA'!W38&lt;='TABEL KONVERSI'!$C$6),4,"")))),"-")</f>
        <v>-</v>
      </c>
      <c r="Z38" s="38" t="str">
        <f t="shared" si="40"/>
        <v>-</v>
      </c>
      <c r="AA38" s="38" t="str">
        <f>VLOOKUP(X38,'TABEL KONVERSI'!$A$3:$D$7,4)</f>
        <v>-</v>
      </c>
      <c r="AB38" s="38" t="str">
        <f t="shared" si="41"/>
        <v>-</v>
      </c>
      <c r="AC38" s="38" t="str">
        <f>VLOOKUP(Y38,'TABEL KONVERSI'!$A$3:$D$7,4)</f>
        <v>-</v>
      </c>
      <c r="AD38" s="42"/>
      <c r="AE38" s="37"/>
      <c r="AF38" s="73"/>
      <c r="AG38" s="73"/>
      <c r="AH38" s="38" t="str">
        <f t="shared" si="42"/>
        <v/>
      </c>
      <c r="AI38" s="38" t="str">
        <f t="shared" si="43"/>
        <v/>
      </c>
      <c r="AJ38" s="38" t="str">
        <f>IF(AH38&lt;&gt;"",IF(AND(AH38&gt;='TABEL KONVERSI'!$B$3,'ENTRY DATA'!AH38&lt;='TABEL KONVERSI'!$C$3),1,IF(AND(AH38&gt;='TABEL KONVERSI'!$B$4,'ENTRY DATA'!AH38&lt;='TABEL KONVERSI'!$C$4),2,IF(AND(AH38&gt;='TABEL KONVERSI'!$B$5,'ENTRY DATA'!AH38&lt;='TABEL KONVERSI'!$C$5),3,IF(AND(AH38&gt;='TABEL KONVERSI'!$B$6,'ENTRY DATA'!AH38&lt;='TABEL KONVERSI'!$C$6),4,"")))),"-")</f>
        <v>-</v>
      </c>
      <c r="AK38" s="38" t="str">
        <f>IF(AI38&lt;&gt;"",IF(AND(AI38&gt;='TABEL KONVERSI'!$B$3,'ENTRY DATA'!AI38&lt;='TABEL KONVERSI'!$C$3),1,IF(AND(AI38&gt;='TABEL KONVERSI'!$B$4,'ENTRY DATA'!AI38&lt;='TABEL KONVERSI'!$C$4),2,IF(AND(AI38&gt;='TABEL KONVERSI'!$B$5,'ENTRY DATA'!AI38&lt;='TABEL KONVERSI'!$C$5),3,IF(AND(AI38&gt;='TABEL KONVERSI'!$B$6,'ENTRY DATA'!AI38&lt;='TABEL KONVERSI'!$C$6),4,"")))),"-")</f>
        <v>-</v>
      </c>
      <c r="AL38" s="38" t="str">
        <f t="shared" si="44"/>
        <v>-</v>
      </c>
      <c r="AM38" s="38" t="str">
        <f>VLOOKUP(AJ38,'TABEL KONVERSI'!$A$3:$D$7,4)</f>
        <v>-</v>
      </c>
      <c r="AN38" s="38" t="str">
        <f t="shared" si="45"/>
        <v>-</v>
      </c>
      <c r="AO38" s="38" t="str">
        <f>VLOOKUP(AK38,'TABEL KONVERSI'!$A$3:$D$7,4)</f>
        <v>-</v>
      </c>
      <c r="AP38" s="42"/>
      <c r="AQ38" s="37"/>
      <c r="AR38" s="73"/>
      <c r="AS38" s="73"/>
      <c r="AT38" s="38" t="str">
        <f t="shared" si="46"/>
        <v/>
      </c>
      <c r="AU38" s="38" t="str">
        <f t="shared" si="47"/>
        <v/>
      </c>
      <c r="AV38" s="38" t="str">
        <f>IF(AT38&lt;&gt;"",IF(AND(AT38&gt;='TABEL KONVERSI'!$B$3,'ENTRY DATA'!AT38&lt;='TABEL KONVERSI'!$C$3),1,IF(AND(AT38&gt;='TABEL KONVERSI'!$B$4,'ENTRY DATA'!AT38&lt;='TABEL KONVERSI'!$C$4),2,IF(AND(AT38&gt;='TABEL KONVERSI'!$B$5,'ENTRY DATA'!AT38&lt;='TABEL KONVERSI'!$C$5),3,IF(AND(AT38&gt;='TABEL KONVERSI'!$B$6,'ENTRY DATA'!AT38&lt;='TABEL KONVERSI'!$C$6),4,"")))),"-")</f>
        <v>-</v>
      </c>
      <c r="AW38" s="38" t="str">
        <f>IF(AU38&lt;&gt;"",IF(AND(AU38&gt;='TABEL KONVERSI'!$B$3,'ENTRY DATA'!AU38&lt;='TABEL KONVERSI'!$C$3),1,IF(AND(AU38&gt;='TABEL KONVERSI'!$B$4,'ENTRY DATA'!AU38&lt;='TABEL KONVERSI'!$C$4),2,IF(AND(AU38&gt;='TABEL KONVERSI'!$B$5,'ENTRY DATA'!AU38&lt;='TABEL KONVERSI'!$C$5),3,IF(AND(AU38&gt;='TABEL KONVERSI'!$B$6,'ENTRY DATA'!AU38&lt;='TABEL KONVERSI'!$C$6),4,"")))),"-")</f>
        <v>-</v>
      </c>
      <c r="AX38" s="38" t="str">
        <f t="shared" si="48"/>
        <v>-</v>
      </c>
      <c r="AY38" s="38" t="str">
        <f>VLOOKUP(AV38,'TABEL KONVERSI'!$A$3:$D$7,4)</f>
        <v>-</v>
      </c>
      <c r="AZ38" s="38" t="str">
        <f t="shared" si="49"/>
        <v>-</v>
      </c>
      <c r="BA38" s="38" t="str">
        <f>VLOOKUP(AW38,'TABEL KONVERSI'!$A$3:$D$7,4)</f>
        <v>-</v>
      </c>
      <c r="BB38" s="42"/>
      <c r="BC38" s="37"/>
      <c r="BD38" s="73"/>
      <c r="BE38" s="73"/>
      <c r="BF38" s="38" t="str">
        <f t="shared" si="50"/>
        <v/>
      </c>
      <c r="BG38" s="38" t="str">
        <f t="shared" si="51"/>
        <v/>
      </c>
      <c r="BH38" s="38" t="str">
        <f>IF(BF38&lt;&gt;"",IF(AND(BF38&gt;='TABEL KONVERSI'!$B$3,'ENTRY DATA'!BF38&lt;='TABEL KONVERSI'!$C$3),1,IF(AND(BF38&gt;='TABEL KONVERSI'!$B$4,'ENTRY DATA'!BF38&lt;='TABEL KONVERSI'!$C$4),2,IF(AND(BF38&gt;='TABEL KONVERSI'!$B$5,'ENTRY DATA'!BF38&lt;='TABEL KONVERSI'!$C$5),3,IF(AND(BF38&gt;='TABEL KONVERSI'!$B$6,'ENTRY DATA'!BF38&lt;='TABEL KONVERSI'!$C$6),4,"")))),"-")</f>
        <v>-</v>
      </c>
      <c r="BI38" s="38" t="str">
        <f>IF(BG38&lt;&gt;"",IF(AND(BG38&gt;='TABEL KONVERSI'!$B$3,'ENTRY DATA'!BG38&lt;='TABEL KONVERSI'!$C$3),1,IF(AND(BG38&gt;='TABEL KONVERSI'!$B$4,'ENTRY DATA'!BG38&lt;='TABEL KONVERSI'!$C$4),2,IF(AND(BG38&gt;='TABEL KONVERSI'!$B$5,'ENTRY DATA'!BG38&lt;='TABEL KONVERSI'!$C$5),3,IF(AND(BG38&gt;='TABEL KONVERSI'!$B$6,'ENTRY DATA'!BG38&lt;='TABEL KONVERSI'!$C$6),4,"")))),"-")</f>
        <v>-</v>
      </c>
      <c r="BJ38" s="38" t="str">
        <f t="shared" si="52"/>
        <v>-</v>
      </c>
      <c r="BK38" s="38" t="str">
        <f>VLOOKUP(BH38,'TABEL KONVERSI'!$A$3:$D$7,4)</f>
        <v>-</v>
      </c>
      <c r="BL38" s="38" t="str">
        <f t="shared" si="53"/>
        <v>-</v>
      </c>
      <c r="BM38" s="38" t="str">
        <f>VLOOKUP(BI38,'TABEL KONVERSI'!$A$3:$D$7,4)</f>
        <v>-</v>
      </c>
      <c r="BN38" s="42"/>
      <c r="BO38" s="37"/>
      <c r="BP38" s="73"/>
      <c r="BQ38" s="73"/>
      <c r="BR38" s="38" t="str">
        <f t="shared" si="54"/>
        <v/>
      </c>
      <c r="BS38" s="38" t="str">
        <f t="shared" si="55"/>
        <v/>
      </c>
      <c r="BT38" s="38" t="str">
        <f>IF(BR38&lt;&gt;"",IF(AND(BR38&gt;='TABEL KONVERSI'!$B$3,'ENTRY DATA'!BR38&lt;='TABEL KONVERSI'!$C$3),1,IF(AND(BR38&gt;='TABEL KONVERSI'!$B$4,'ENTRY DATA'!BR38&lt;='TABEL KONVERSI'!$C$4),2,IF(AND(BR38&gt;='TABEL KONVERSI'!$B$5,'ENTRY DATA'!BR38&lt;='TABEL KONVERSI'!$C$5),3,IF(AND(BR38&gt;='TABEL KONVERSI'!$B$6,'ENTRY DATA'!BR38&lt;='TABEL KONVERSI'!$C$6),4,"")))),"-")</f>
        <v>-</v>
      </c>
      <c r="BU38" s="38" t="str">
        <f>IF(BS38&lt;&gt;"",IF(AND(BS38&gt;='TABEL KONVERSI'!$B$3,'ENTRY DATA'!BS38&lt;='TABEL KONVERSI'!$C$3),1,IF(AND(BS38&gt;='TABEL KONVERSI'!$B$4,'ENTRY DATA'!BS38&lt;='TABEL KONVERSI'!$C$4),2,IF(AND(BS38&gt;='TABEL KONVERSI'!$B$5,'ENTRY DATA'!BS38&lt;='TABEL KONVERSI'!$C$5),3,IF(AND(BS38&gt;='TABEL KONVERSI'!$B$6,'ENTRY DATA'!BS38&lt;='TABEL KONVERSI'!$C$6),4,"")))),"-")</f>
        <v>-</v>
      </c>
      <c r="BV38" s="38" t="str">
        <f t="shared" si="56"/>
        <v>-</v>
      </c>
      <c r="BW38" s="38" t="str">
        <f>VLOOKUP(BT38,'TABEL KONVERSI'!$A$3:$D$7,4)</f>
        <v>-</v>
      </c>
      <c r="BX38" s="38" t="str">
        <f t="shared" si="57"/>
        <v>-</v>
      </c>
      <c r="BY38" s="38" t="str">
        <f>VLOOKUP(BU38,'TABEL KONVERSI'!$A$3:$D$7,4)</f>
        <v>-</v>
      </c>
      <c r="BZ38" s="42"/>
      <c r="CA38" s="37"/>
      <c r="CB38" s="73"/>
      <c r="CC38" s="73"/>
      <c r="CD38" s="38" t="str">
        <f t="shared" si="58"/>
        <v/>
      </c>
      <c r="CE38" s="38" t="str">
        <f t="shared" si="59"/>
        <v/>
      </c>
      <c r="CF38" s="38" t="str">
        <f>IF(CD38&lt;&gt;"",IF(AND(CD38&gt;='TABEL KONVERSI'!$B$3,'ENTRY DATA'!CD38&lt;='TABEL KONVERSI'!$C$3),1,IF(AND(CD38&gt;='TABEL KONVERSI'!$B$4,'ENTRY DATA'!CD38&lt;='TABEL KONVERSI'!$C$4),2,IF(AND(CD38&gt;='TABEL KONVERSI'!$B$5,'ENTRY DATA'!CD38&lt;='TABEL KONVERSI'!$C$5),3,IF(AND(CD38&gt;='TABEL KONVERSI'!$B$6,'ENTRY DATA'!CD38&lt;='TABEL KONVERSI'!$C$6),4,"")))),"-")</f>
        <v>-</v>
      </c>
      <c r="CG38" s="38" t="str">
        <f>IF(CE38&lt;&gt;"",IF(AND(CE38&gt;='TABEL KONVERSI'!$B$3,'ENTRY DATA'!CE38&lt;='TABEL KONVERSI'!$C$3),1,IF(AND(CE38&gt;='TABEL KONVERSI'!$B$4,'ENTRY DATA'!CE38&lt;='TABEL KONVERSI'!$C$4),2,IF(AND(CE38&gt;='TABEL KONVERSI'!$B$5,'ENTRY DATA'!CE38&lt;='TABEL KONVERSI'!$C$5),3,IF(AND(CE38&gt;='TABEL KONVERSI'!$B$6,'ENTRY DATA'!CE38&lt;='TABEL KONVERSI'!$C$6),4,"")))),"-")</f>
        <v>-</v>
      </c>
      <c r="CH38" s="38" t="str">
        <f t="shared" si="60"/>
        <v>-</v>
      </c>
      <c r="CI38" s="38" t="str">
        <f>VLOOKUP(CF38,'TABEL KONVERSI'!$A$3:$D$7,4)</f>
        <v>-</v>
      </c>
      <c r="CJ38" s="38" t="str">
        <f t="shared" si="61"/>
        <v>-</v>
      </c>
      <c r="CK38" s="38" t="str">
        <f>VLOOKUP(CG38,'TABEL KONVERSI'!$A$3:$D$7,4)</f>
        <v>-</v>
      </c>
      <c r="CL38" s="42"/>
      <c r="CM38" s="37"/>
      <c r="CN38" s="73"/>
      <c r="CO38" s="73"/>
      <c r="CP38" s="38" t="str">
        <f t="shared" si="62"/>
        <v/>
      </c>
      <c r="CQ38" s="38" t="str">
        <f t="shared" si="63"/>
        <v/>
      </c>
      <c r="CR38" s="38" t="str">
        <f>IF(CP38&lt;&gt;"",IF(AND(CP38&gt;='TABEL KONVERSI'!$B$3,'ENTRY DATA'!CP38&lt;='TABEL KONVERSI'!$C$3),1,IF(AND(CP38&gt;='TABEL KONVERSI'!$B$4,'ENTRY DATA'!CP38&lt;='TABEL KONVERSI'!$C$4),2,IF(AND(CP38&gt;='TABEL KONVERSI'!$B$5,'ENTRY DATA'!CP38&lt;='TABEL KONVERSI'!$C$5),3,IF(AND(CP38&gt;='TABEL KONVERSI'!$B$6,'ENTRY DATA'!CP38&lt;='TABEL KONVERSI'!$C$6),4,"")))),"-")</f>
        <v>-</v>
      </c>
      <c r="CS38" s="38" t="str">
        <f>IF(CQ38&lt;&gt;"",IF(AND(CQ38&gt;='TABEL KONVERSI'!$B$3,'ENTRY DATA'!CQ38&lt;='TABEL KONVERSI'!$C$3),1,IF(AND(CQ38&gt;='TABEL KONVERSI'!$B$4,'ENTRY DATA'!CQ38&lt;='TABEL KONVERSI'!$C$4),2,IF(AND(CQ38&gt;='TABEL KONVERSI'!$B$5,'ENTRY DATA'!CQ38&lt;='TABEL KONVERSI'!$C$5),3,IF(AND(CQ38&gt;='TABEL KONVERSI'!$B$6,'ENTRY DATA'!CQ38&lt;='TABEL KONVERSI'!$C$6),4,"")))),"-")</f>
        <v>-</v>
      </c>
      <c r="CT38" s="38" t="str">
        <f t="shared" si="64"/>
        <v>-</v>
      </c>
      <c r="CU38" s="38" t="str">
        <f>VLOOKUP(CR38,'TABEL KONVERSI'!$A$3:$D$7,4)</f>
        <v>-</v>
      </c>
      <c r="CV38" s="38" t="str">
        <f t="shared" si="65"/>
        <v>-</v>
      </c>
      <c r="CW38" s="38" t="str">
        <f>VLOOKUP(CS38,'TABEL KONVERSI'!$A$3:$D$7,4)</f>
        <v>-</v>
      </c>
      <c r="CX38" s="42"/>
      <c r="CY38" s="37"/>
      <c r="CZ38" s="73"/>
      <c r="DA38" s="73"/>
      <c r="DB38" s="38" t="str">
        <f t="shared" si="66"/>
        <v/>
      </c>
      <c r="DC38" s="38" t="str">
        <f t="shared" si="67"/>
        <v/>
      </c>
      <c r="DD38" s="38" t="str">
        <f>IF(DB38&lt;&gt;"",IF(AND(DB38&gt;='TABEL KONVERSI'!$B$3,'ENTRY DATA'!DB38&lt;='TABEL KONVERSI'!$C$3),1,IF(AND(DB38&gt;='TABEL KONVERSI'!$B$4,'ENTRY DATA'!DB38&lt;='TABEL KONVERSI'!$C$4),2,IF(AND(DB38&gt;='TABEL KONVERSI'!$B$5,'ENTRY DATA'!DB38&lt;='TABEL KONVERSI'!$C$5),3,IF(AND(DB38&gt;='TABEL KONVERSI'!$B$6,'ENTRY DATA'!DB38&lt;='TABEL KONVERSI'!$C$6),4,"")))),"-")</f>
        <v>-</v>
      </c>
      <c r="DE38" s="38" t="str">
        <f>IF(DC38&lt;&gt;"",IF(AND(DC38&gt;='TABEL KONVERSI'!$B$3,'ENTRY DATA'!DC38&lt;='TABEL KONVERSI'!$C$3),1,IF(AND(DC38&gt;='TABEL KONVERSI'!$B$4,'ENTRY DATA'!DC38&lt;='TABEL KONVERSI'!$C$4),2,IF(AND(DC38&gt;='TABEL KONVERSI'!$B$5,'ENTRY DATA'!DC38&lt;='TABEL KONVERSI'!$C$5),3,IF(AND(DC38&gt;='TABEL KONVERSI'!$B$6,'ENTRY DATA'!DC38&lt;='TABEL KONVERSI'!$C$6),4,"")))),"-")</f>
        <v>-</v>
      </c>
      <c r="DF38" s="38" t="str">
        <f t="shared" si="68"/>
        <v>-</v>
      </c>
      <c r="DG38" s="38" t="str">
        <f>VLOOKUP(DD38,'TABEL KONVERSI'!$A$3:$D$7,4)</f>
        <v>-</v>
      </c>
      <c r="DH38" s="38" t="str">
        <f t="shared" si="69"/>
        <v>-</v>
      </c>
      <c r="DI38" s="38" t="str">
        <f>VLOOKUP(DE38,'TABEL KONVERSI'!$A$3:$D$7,4)</f>
        <v>-</v>
      </c>
      <c r="DJ38" s="42"/>
      <c r="DK38" s="37"/>
      <c r="DL38" s="73"/>
      <c r="DM38" s="73"/>
      <c r="DN38" s="38" t="str">
        <f t="shared" si="70"/>
        <v/>
      </c>
      <c r="DO38" s="38" t="str">
        <f t="shared" si="71"/>
        <v/>
      </c>
      <c r="DP38" s="38" t="str">
        <f>IF(DN38&lt;&gt;"",IF(AND(DN38&gt;='TABEL KONVERSI'!$B$3,'ENTRY DATA'!DN38&lt;='TABEL KONVERSI'!$C$3),1,IF(AND(DN38&gt;='TABEL KONVERSI'!$B$4,'ENTRY DATA'!DN38&lt;='TABEL KONVERSI'!$C$4),2,IF(AND(DN38&gt;='TABEL KONVERSI'!$B$5,'ENTRY DATA'!DN38&lt;='TABEL KONVERSI'!$C$5),3,IF(AND(DN38&gt;='TABEL KONVERSI'!$B$6,'ENTRY DATA'!DN38&lt;='TABEL KONVERSI'!$C$6),4,"")))),"-")</f>
        <v>-</v>
      </c>
      <c r="DQ38" s="38" t="str">
        <f>IF(DO38&lt;&gt;"",IF(AND(DO38&gt;='TABEL KONVERSI'!$B$3,'ENTRY DATA'!DO38&lt;='TABEL KONVERSI'!$C$3),1,IF(AND(DO38&gt;='TABEL KONVERSI'!$B$4,'ENTRY DATA'!DO38&lt;='TABEL KONVERSI'!$C$4),2,IF(AND(DO38&gt;='TABEL KONVERSI'!$B$5,'ENTRY DATA'!DO38&lt;='TABEL KONVERSI'!$C$5),3,IF(AND(DO38&gt;='TABEL KONVERSI'!$B$6,'ENTRY DATA'!DO38&lt;='TABEL KONVERSI'!$C$6),4,"")))),"-")</f>
        <v>-</v>
      </c>
      <c r="DR38" s="38" t="str">
        <f t="shared" si="72"/>
        <v>-</v>
      </c>
      <c r="DS38" s="38" t="str">
        <f>VLOOKUP(DP38,'TABEL KONVERSI'!$A$3:$D$7,4)</f>
        <v>-</v>
      </c>
      <c r="DT38" s="38" t="str">
        <f t="shared" si="73"/>
        <v>-</v>
      </c>
      <c r="DU38" s="38" t="str">
        <f>VLOOKUP(DQ38,'TABEL KONVERSI'!$A$3:$D$7,4)</f>
        <v>-</v>
      </c>
      <c r="DV38" s="42"/>
      <c r="DW38" s="37"/>
      <c r="DX38" s="73"/>
      <c r="DY38" s="73"/>
      <c r="DZ38" s="38" t="str">
        <f t="shared" si="74"/>
        <v/>
      </c>
      <c r="EA38" s="38" t="str">
        <f t="shared" si="75"/>
        <v/>
      </c>
      <c r="EB38" s="38" t="str">
        <f>IF(DZ38&lt;&gt;"",IF(AND(DZ38&gt;='TABEL KONVERSI'!$B$3,'ENTRY DATA'!DZ38&lt;='TABEL KONVERSI'!$C$3),1,IF(AND(DZ38&gt;='TABEL KONVERSI'!$B$4,'ENTRY DATA'!DZ38&lt;='TABEL KONVERSI'!$C$4),2,IF(AND(DZ38&gt;='TABEL KONVERSI'!$B$5,'ENTRY DATA'!DZ38&lt;='TABEL KONVERSI'!$C$5),3,IF(AND(DZ38&gt;='TABEL KONVERSI'!$B$6,'ENTRY DATA'!DZ38&lt;='TABEL KONVERSI'!$C$6),4,"")))),"-")</f>
        <v>-</v>
      </c>
      <c r="EC38" s="38" t="str">
        <f>IF(EA38&lt;&gt;"",IF(AND(EA38&gt;='TABEL KONVERSI'!$B$3,'ENTRY DATA'!EA38&lt;='TABEL KONVERSI'!$C$3),1,IF(AND(EA38&gt;='TABEL KONVERSI'!$B$4,'ENTRY DATA'!EA38&lt;='TABEL KONVERSI'!$C$4),2,IF(AND(EA38&gt;='TABEL KONVERSI'!$B$5,'ENTRY DATA'!EA38&lt;='TABEL KONVERSI'!$C$5),3,IF(AND(EA38&gt;='TABEL KONVERSI'!$B$6,'ENTRY DATA'!EA38&lt;='TABEL KONVERSI'!$C$6),4,"")))),"-")</f>
        <v>-</v>
      </c>
      <c r="ED38" s="38" t="str">
        <f t="shared" si="76"/>
        <v>-</v>
      </c>
      <c r="EE38" s="38" t="str">
        <f>VLOOKUP(EB38,'TABEL KONVERSI'!$A$3:$D$7,4)</f>
        <v>-</v>
      </c>
      <c r="EF38" s="38" t="str">
        <f t="shared" si="77"/>
        <v>-</v>
      </c>
      <c r="EG38" s="38" t="str">
        <f>VLOOKUP(EC38,'TABEL KONVERSI'!$A$3:$D$7,4)</f>
        <v>-</v>
      </c>
      <c r="EH38" s="42"/>
      <c r="EI38" s="37"/>
      <c r="EJ38" s="73"/>
      <c r="EK38" s="73"/>
      <c r="EL38" s="38" t="str">
        <f t="shared" si="78"/>
        <v/>
      </c>
      <c r="EM38" s="38" t="str">
        <f t="shared" si="79"/>
        <v/>
      </c>
      <c r="EN38" s="38" t="str">
        <f>IF(EL38&lt;&gt;"",IF(AND(EL38&gt;='TABEL KONVERSI'!$B$3,'ENTRY DATA'!EL38&lt;='TABEL KONVERSI'!$C$3),1,IF(AND(EL38&gt;='TABEL KONVERSI'!$B$4,'ENTRY DATA'!EL38&lt;='TABEL KONVERSI'!$C$4),2,IF(AND(EL38&gt;='TABEL KONVERSI'!$B$5,'ENTRY DATA'!EL38&lt;='TABEL KONVERSI'!$C$5),3,IF(AND(EL38&gt;='TABEL KONVERSI'!$B$6,'ENTRY DATA'!EL38&lt;='TABEL KONVERSI'!$C$6),4,"")))),"-")</f>
        <v>-</v>
      </c>
      <c r="EO38" s="38" t="str">
        <f>IF(EM38&lt;&gt;"",IF(AND(EM38&gt;='TABEL KONVERSI'!$B$3,'ENTRY DATA'!EM38&lt;='TABEL KONVERSI'!$C$3),1,IF(AND(EM38&gt;='TABEL KONVERSI'!$B$4,'ENTRY DATA'!EM38&lt;='TABEL KONVERSI'!$C$4),2,IF(AND(EM38&gt;='TABEL KONVERSI'!$B$5,'ENTRY DATA'!EM38&lt;='TABEL KONVERSI'!$C$5),3,IF(AND(EM38&gt;='TABEL KONVERSI'!$B$6,'ENTRY DATA'!EM38&lt;='TABEL KONVERSI'!$C$6),4,"")))),"-")</f>
        <v>-</v>
      </c>
      <c r="EP38" s="38" t="str">
        <f t="shared" si="80"/>
        <v>-</v>
      </c>
      <c r="EQ38" s="38" t="str">
        <f>VLOOKUP(EN38,'TABEL KONVERSI'!$A$3:$D$7,4)</f>
        <v>-</v>
      </c>
      <c r="ER38" s="38" t="str">
        <f t="shared" si="81"/>
        <v>-</v>
      </c>
      <c r="ES38" s="38" t="str">
        <f>VLOOKUP(EO38,'TABEL KONVERSI'!$A$3:$D$7,4)</f>
        <v>-</v>
      </c>
      <c r="ET38" s="42"/>
      <c r="EU38" s="37"/>
      <c r="EV38" s="73"/>
      <c r="EW38" s="73"/>
      <c r="EX38" s="38" t="str">
        <f t="shared" si="82"/>
        <v/>
      </c>
      <c r="EY38" s="38" t="str">
        <f t="shared" si="83"/>
        <v/>
      </c>
      <c r="EZ38" s="38" t="str">
        <f>IF(EX38&lt;&gt;"",IF(AND(EX38&gt;='TABEL KONVERSI'!$B$3,'ENTRY DATA'!EX38&lt;='TABEL KONVERSI'!$C$3),1,IF(AND(EX38&gt;='TABEL KONVERSI'!$B$4,'ENTRY DATA'!EX38&lt;='TABEL KONVERSI'!$C$4),2,IF(AND(EX38&gt;='TABEL KONVERSI'!$B$5,'ENTRY DATA'!EX38&lt;='TABEL KONVERSI'!$C$5),3,IF(AND(EX38&gt;='TABEL KONVERSI'!$B$6,'ENTRY DATA'!EX38&lt;='TABEL KONVERSI'!$C$6),4,"")))),"-")</f>
        <v>-</v>
      </c>
      <c r="FA38" s="38" t="str">
        <f>IF(EY38&lt;&gt;"",IF(AND(EY38&gt;='TABEL KONVERSI'!$B$3,'ENTRY DATA'!EY38&lt;='TABEL KONVERSI'!$C$3),1,IF(AND(EY38&gt;='TABEL KONVERSI'!$B$4,'ENTRY DATA'!EY38&lt;='TABEL KONVERSI'!$C$4),2,IF(AND(EY38&gt;='TABEL KONVERSI'!$B$5,'ENTRY DATA'!EY38&lt;='TABEL KONVERSI'!$C$5),3,IF(AND(EY38&gt;='TABEL KONVERSI'!$B$6,'ENTRY DATA'!EY38&lt;='TABEL KONVERSI'!$C$6),4,"")))),"-")</f>
        <v>-</v>
      </c>
      <c r="FB38" s="38" t="str">
        <f t="shared" si="84"/>
        <v>-</v>
      </c>
      <c r="FC38" s="38" t="str">
        <f>VLOOKUP(EZ38,'TABEL KONVERSI'!$A$3:$D$7,4)</f>
        <v>-</v>
      </c>
      <c r="FD38" s="38" t="str">
        <f t="shared" si="85"/>
        <v>-</v>
      </c>
      <c r="FE38" s="38" t="str">
        <f>VLOOKUP(FA38,'TABEL KONVERSI'!$A$3:$D$7,4)</f>
        <v>-</v>
      </c>
      <c r="FF38" s="42"/>
      <c r="FG38" s="37"/>
      <c r="FH38" s="73"/>
      <c r="FI38" s="73"/>
      <c r="FJ38" s="38" t="str">
        <f t="shared" si="86"/>
        <v/>
      </c>
      <c r="FK38" s="38" t="str">
        <f t="shared" si="87"/>
        <v/>
      </c>
      <c r="FL38" s="38" t="str">
        <f>IF(FJ38&lt;&gt;"",IF(AND(FJ38&gt;='TABEL KONVERSI'!$B$3,'ENTRY DATA'!FJ38&lt;='TABEL KONVERSI'!$C$3),1,IF(AND(FJ38&gt;='TABEL KONVERSI'!$B$4,'ENTRY DATA'!FJ38&lt;='TABEL KONVERSI'!$C$4),2,IF(AND(FJ38&gt;='TABEL KONVERSI'!$B$5,'ENTRY DATA'!FJ38&lt;='TABEL KONVERSI'!$C$5),3,IF(AND(FJ38&gt;='TABEL KONVERSI'!$B$6,'ENTRY DATA'!FJ38&lt;='TABEL KONVERSI'!$C$6),4,"")))),"-")</f>
        <v>-</v>
      </c>
      <c r="FM38" s="38" t="str">
        <f>IF(FK38&lt;&gt;"",IF(AND(FK38&gt;='TABEL KONVERSI'!$B$3,'ENTRY DATA'!FK38&lt;='TABEL KONVERSI'!$C$3),1,IF(AND(FK38&gt;='TABEL KONVERSI'!$B$4,'ENTRY DATA'!FK38&lt;='TABEL KONVERSI'!$C$4),2,IF(AND(FK38&gt;='TABEL KONVERSI'!$B$5,'ENTRY DATA'!FK38&lt;='TABEL KONVERSI'!$C$5),3,IF(AND(FK38&gt;='TABEL KONVERSI'!$B$6,'ENTRY DATA'!FK38&lt;='TABEL KONVERSI'!$C$6),4,"")))),"-")</f>
        <v>-</v>
      </c>
      <c r="FN38" s="38" t="str">
        <f t="shared" si="88"/>
        <v>-</v>
      </c>
      <c r="FO38" s="38" t="str">
        <f>VLOOKUP(FL38,'TABEL KONVERSI'!$A$3:$D$7,4)</f>
        <v>-</v>
      </c>
      <c r="FP38" s="38" t="str">
        <f t="shared" si="89"/>
        <v>-</v>
      </c>
      <c r="FQ38" s="38" t="str">
        <f>VLOOKUP(FM38,'TABEL KONVERSI'!$A$3:$D$7,4)</f>
        <v>-</v>
      </c>
      <c r="FR38" s="42"/>
      <c r="FS38" s="37"/>
      <c r="FT38" s="73"/>
      <c r="FU38" s="73"/>
      <c r="FV38" s="38" t="str">
        <f t="shared" si="90"/>
        <v/>
      </c>
      <c r="FW38" s="38" t="str">
        <f t="shared" si="91"/>
        <v/>
      </c>
      <c r="FX38" s="38" t="str">
        <f>IF(FV38&lt;&gt;"",IF(AND(FV38&gt;='TABEL KONVERSI'!$B$3,'ENTRY DATA'!FV38&lt;='TABEL KONVERSI'!$C$3),1,IF(AND(FV38&gt;='TABEL KONVERSI'!$B$4,'ENTRY DATA'!FV38&lt;='TABEL KONVERSI'!$C$4),2,IF(AND(FV38&gt;='TABEL KONVERSI'!$B$5,'ENTRY DATA'!FV38&lt;='TABEL KONVERSI'!$C$5),3,IF(AND(FV38&gt;='TABEL KONVERSI'!$B$6,'ENTRY DATA'!FV38&lt;='TABEL KONVERSI'!$C$6),4,"")))),"-")</f>
        <v>-</v>
      </c>
      <c r="FY38" s="38" t="str">
        <f>IF(FW38&lt;&gt;"",IF(AND(FW38&gt;='TABEL KONVERSI'!$B$3,'ENTRY DATA'!FW38&lt;='TABEL KONVERSI'!$C$3),1,IF(AND(FW38&gt;='TABEL KONVERSI'!$B$4,'ENTRY DATA'!FW38&lt;='TABEL KONVERSI'!$C$4),2,IF(AND(FW38&gt;='TABEL KONVERSI'!$B$5,'ENTRY DATA'!FW38&lt;='TABEL KONVERSI'!$C$5),3,IF(AND(FW38&gt;='TABEL KONVERSI'!$B$6,'ENTRY DATA'!FW38&lt;='TABEL KONVERSI'!$C$6),4,"")))),"-")</f>
        <v>-</v>
      </c>
      <c r="FZ38" s="38" t="str">
        <f t="shared" si="92"/>
        <v>-</v>
      </c>
      <c r="GA38" s="38" t="str">
        <f>VLOOKUP(FX38,'TABEL KONVERSI'!$A$3:$D$7,4)</f>
        <v>-</v>
      </c>
      <c r="GB38" s="38" t="str">
        <f t="shared" si="93"/>
        <v>-</v>
      </c>
      <c r="GC38" s="38" t="str">
        <f>VLOOKUP(FY38,'TABEL KONVERSI'!$A$3:$D$7,4)</f>
        <v>-</v>
      </c>
      <c r="GD38" s="42"/>
      <c r="GE38" s="37"/>
      <c r="GF38" s="73"/>
      <c r="GG38" s="73"/>
      <c r="GH38" s="38" t="str">
        <f t="shared" si="94"/>
        <v/>
      </c>
      <c r="GI38" s="38" t="str">
        <f t="shared" si="95"/>
        <v/>
      </c>
      <c r="GJ38" s="38" t="str">
        <f>IF(GH38&lt;&gt;"",IF(AND(GH38&gt;='TABEL KONVERSI'!$B$3,'ENTRY DATA'!GH38&lt;='TABEL KONVERSI'!$C$3),1,IF(AND(GH38&gt;='TABEL KONVERSI'!$B$4,'ENTRY DATA'!GH38&lt;='TABEL KONVERSI'!$C$4),2,IF(AND(GH38&gt;='TABEL KONVERSI'!$B$5,'ENTRY DATA'!GH38&lt;='TABEL KONVERSI'!$C$5),3,IF(AND(GH38&gt;='TABEL KONVERSI'!$B$6,'ENTRY DATA'!GH38&lt;='TABEL KONVERSI'!$C$6),4,"")))),"-")</f>
        <v>-</v>
      </c>
      <c r="GK38" s="38" t="str">
        <f>IF(GI38&lt;&gt;"",IF(AND(GI38&gt;='TABEL KONVERSI'!$B$3,'ENTRY DATA'!GI38&lt;='TABEL KONVERSI'!$C$3),1,IF(AND(GI38&gt;='TABEL KONVERSI'!$B$4,'ENTRY DATA'!GI38&lt;='TABEL KONVERSI'!$C$4),2,IF(AND(GI38&gt;='TABEL KONVERSI'!$B$5,'ENTRY DATA'!GI38&lt;='TABEL KONVERSI'!$C$5),3,IF(AND(GI38&gt;='TABEL KONVERSI'!$B$6,'ENTRY DATA'!GI38&lt;='TABEL KONVERSI'!$C$6),4,"")))),"-")</f>
        <v>-</v>
      </c>
      <c r="GL38" s="38" t="str">
        <f t="shared" si="96"/>
        <v>-</v>
      </c>
      <c r="GM38" s="38" t="str">
        <f>VLOOKUP(GJ38,'TABEL KONVERSI'!$A$3:$D$7,4)</f>
        <v>-</v>
      </c>
      <c r="GN38" s="38" t="str">
        <f t="shared" si="97"/>
        <v>-</v>
      </c>
      <c r="GO38" s="38" t="str">
        <f>VLOOKUP(GK38,'TABEL KONVERSI'!$A$3:$D$7,4)</f>
        <v>-</v>
      </c>
      <c r="GP38" s="43">
        <f t="shared" si="0"/>
        <v>0</v>
      </c>
      <c r="GQ38" s="43">
        <f t="shared" si="1"/>
        <v>0</v>
      </c>
      <c r="GR38" s="43">
        <f t="shared" si="2"/>
        <v>0</v>
      </c>
      <c r="GS38" s="43">
        <f t="shared" si="3"/>
        <v>0</v>
      </c>
      <c r="GT38" s="43">
        <f t="shared" si="4"/>
        <v>0</v>
      </c>
      <c r="GU38" s="43">
        <f t="shared" si="5"/>
        <v>0</v>
      </c>
      <c r="GV38" s="43">
        <f t="shared" si="6"/>
        <v>0</v>
      </c>
      <c r="GW38" s="43">
        <f t="shared" si="7"/>
        <v>0</v>
      </c>
      <c r="GX38" s="43">
        <f t="shared" si="8"/>
        <v>0</v>
      </c>
      <c r="GY38" s="43">
        <f t="shared" si="9"/>
        <v>0</v>
      </c>
      <c r="GZ38" s="43">
        <f t="shared" si="10"/>
        <v>0</v>
      </c>
      <c r="HA38" s="43">
        <f t="shared" si="11"/>
        <v>0</v>
      </c>
      <c r="HB38" s="43">
        <f t="shared" si="12"/>
        <v>0</v>
      </c>
      <c r="HC38" s="43">
        <f t="shared" si="13"/>
        <v>0</v>
      </c>
      <c r="HD38" s="43">
        <f t="shared" si="14"/>
        <v>0</v>
      </c>
      <c r="HE38" s="43">
        <f t="shared" si="15"/>
        <v>0</v>
      </c>
      <c r="HF38" s="38">
        <f t="shared" si="98"/>
        <v>0</v>
      </c>
      <c r="HG38" s="38">
        <f t="shared" si="99"/>
        <v>0</v>
      </c>
      <c r="HH38" s="38">
        <f t="shared" si="100"/>
        <v>0</v>
      </c>
      <c r="HI38" s="39">
        <f t="shared" si="101"/>
        <v>0</v>
      </c>
      <c r="HJ38" s="44" t="str">
        <f t="shared" si="102"/>
        <v>-</v>
      </c>
      <c r="HK38" s="45" t="str">
        <f>VLOOKUP(HJ38,'TABEL KONVERSI'!$B$11:$D$15,2,0)</f>
        <v>-</v>
      </c>
      <c r="HL38" s="43">
        <f t="shared" si="16"/>
        <v>0</v>
      </c>
      <c r="HM38" s="43">
        <f t="shared" si="17"/>
        <v>0</v>
      </c>
      <c r="HN38" s="43">
        <f t="shared" si="18"/>
        <v>0</v>
      </c>
      <c r="HO38" s="43">
        <f t="shared" si="19"/>
        <v>0</v>
      </c>
      <c r="HP38" s="43">
        <f t="shared" si="20"/>
        <v>0</v>
      </c>
      <c r="HQ38" s="43">
        <f t="shared" si="21"/>
        <v>0</v>
      </c>
      <c r="HR38" s="43">
        <f t="shared" si="22"/>
        <v>0</v>
      </c>
      <c r="HS38" s="43">
        <f t="shared" si="23"/>
        <v>0</v>
      </c>
      <c r="HT38" s="43">
        <f t="shared" si="24"/>
        <v>0</v>
      </c>
      <c r="HU38" s="43">
        <f t="shared" si="25"/>
        <v>0</v>
      </c>
      <c r="HV38" s="43">
        <f t="shared" si="26"/>
        <v>0</v>
      </c>
      <c r="HW38" s="43">
        <f t="shared" si="27"/>
        <v>0</v>
      </c>
      <c r="HX38" s="43">
        <f t="shared" si="28"/>
        <v>0</v>
      </c>
      <c r="HY38" s="43">
        <f t="shared" si="29"/>
        <v>0</v>
      </c>
      <c r="HZ38" s="43">
        <f t="shared" si="30"/>
        <v>0</v>
      </c>
      <c r="IA38" s="43">
        <f t="shared" si="31"/>
        <v>0</v>
      </c>
      <c r="IB38" s="38">
        <f t="shared" si="103"/>
        <v>0</v>
      </c>
      <c r="IC38" s="38">
        <f t="shared" si="104"/>
        <v>0</v>
      </c>
      <c r="ID38" s="38">
        <f t="shared" si="105"/>
        <v>0</v>
      </c>
      <c r="IE38" s="38">
        <f t="shared" si="106"/>
        <v>0</v>
      </c>
      <c r="IF38" s="46" t="str">
        <f t="shared" si="107"/>
        <v>-</v>
      </c>
      <c r="IG38" s="45" t="str">
        <f>VLOOKUP(IF38,'TABEL KONVERSI'!$B$11:$D$15,3,0)</f>
        <v>-</v>
      </c>
      <c r="IH38" s="40" t="s">
        <v>223</v>
      </c>
      <c r="II38" s="41" t="s">
        <v>106</v>
      </c>
      <c r="IJ38" s="45" t="str">
        <f>IF(II38&lt;&gt;"",VLOOKUP(II38,'TABEL KONVERSI'!$A$19:$B$23,2,0),"")</f>
        <v>Aktif dalam mengikuti kegiatan</v>
      </c>
      <c r="IK38" s="47" t="s">
        <v>58</v>
      </c>
      <c r="IL38" s="50" t="s">
        <v>58</v>
      </c>
      <c r="IM38" s="45" t="str">
        <f>IF(IL38&lt;&gt;"",VLOOKUP(IL38,'TABEL KONVERSI'!$A$19:$B$23,2,0),"")</f>
        <v>-</v>
      </c>
      <c r="IN38" s="49" t="s">
        <v>58</v>
      </c>
      <c r="IO38" s="48" t="s">
        <v>58</v>
      </c>
      <c r="IP38" s="45" t="str">
        <f>IF(IO38&lt;&gt;"",VLOOKUP(IO38,'TABEL KONVERSI'!$A$19:$B$23,2,0),"")</f>
        <v>-</v>
      </c>
      <c r="IQ38" s="49" t="s">
        <v>58</v>
      </c>
      <c r="IR38" s="50" t="s">
        <v>58</v>
      </c>
      <c r="IS38" s="45" t="str">
        <f>IF(IR38&lt;&gt;"",VLOOKUP(IR38,'TABEL KONVERSI'!$A$19:$B$23,2,0),"")</f>
        <v>-</v>
      </c>
      <c r="IT38" s="49" t="s">
        <v>58</v>
      </c>
      <c r="IU38" s="50" t="s">
        <v>58</v>
      </c>
      <c r="IV38" s="45" t="str">
        <f>IF(IU38&lt;&gt;"",VLOOKUP(IU38,'TABEL KONVERSI'!$A$19:$B$23,2,0),"")</f>
        <v>-</v>
      </c>
      <c r="IW38" s="48" t="s">
        <v>58</v>
      </c>
      <c r="IX38" s="48" t="s">
        <v>58</v>
      </c>
      <c r="IY38" s="48" t="s">
        <v>58</v>
      </c>
      <c r="IZ38" s="47" t="s">
        <v>58</v>
      </c>
      <c r="JA38" s="45">
        <f t="shared" si="32"/>
        <v>0</v>
      </c>
      <c r="JB38" s="45">
        <f t="shared" si="33"/>
        <v>1</v>
      </c>
    </row>
    <row r="39" spans="1:262" x14ac:dyDescent="0.25">
      <c r="A39" s="33">
        <v>27</v>
      </c>
      <c r="B39" s="51"/>
      <c r="C39" s="51"/>
      <c r="D39" s="77"/>
      <c r="E39" s="52"/>
      <c r="F39" s="42"/>
      <c r="G39" s="37"/>
      <c r="H39" s="73"/>
      <c r="I39" s="73"/>
      <c r="J39" s="38" t="str">
        <f t="shared" si="34"/>
        <v/>
      </c>
      <c r="K39" s="38" t="str">
        <f t="shared" si="35"/>
        <v/>
      </c>
      <c r="L39" s="38" t="str">
        <f>IF(J39&lt;&gt;"",IF(AND(J39&gt;='TABEL KONVERSI'!$B$3,'ENTRY DATA'!J39&lt;='TABEL KONVERSI'!$C$3),1,IF(AND(J39&gt;='TABEL KONVERSI'!$B$4,'ENTRY DATA'!J39&lt;='TABEL KONVERSI'!$C$4),2,IF(AND(J39&gt;='TABEL KONVERSI'!$B$5,'ENTRY DATA'!J39&lt;='TABEL KONVERSI'!$C$5),3,IF(AND(J39&gt;='TABEL KONVERSI'!$B$6,'ENTRY DATA'!J39&lt;='TABEL KONVERSI'!$C$6),4,"")))),"-")</f>
        <v>-</v>
      </c>
      <c r="M39" s="38" t="str">
        <f>IF(K39&lt;&gt;"",IF(AND(K39&gt;='TABEL KONVERSI'!$B$3,'ENTRY DATA'!K39&lt;='TABEL KONVERSI'!$C$3),1,IF(AND(K39&gt;='TABEL KONVERSI'!$B$4,'ENTRY DATA'!K39&lt;='TABEL KONVERSI'!$C$4),2,IF(AND(K39&gt;='TABEL KONVERSI'!$B$5,'ENTRY DATA'!K39&lt;='TABEL KONVERSI'!$C$5),3,IF(AND(K39&gt;='TABEL KONVERSI'!$B$6,'ENTRY DATA'!K39&lt;='TABEL KONVERSI'!$C$6),4,"")))),"-")</f>
        <v>-</v>
      </c>
      <c r="N39" s="38" t="str">
        <f t="shared" si="36"/>
        <v>-</v>
      </c>
      <c r="O39" s="38" t="str">
        <f>VLOOKUP(L39,'TABEL KONVERSI'!$A$3:$D$7,4)</f>
        <v>-</v>
      </c>
      <c r="P39" s="38" t="str">
        <f t="shared" si="37"/>
        <v>-</v>
      </c>
      <c r="Q39" s="38" t="str">
        <f>VLOOKUP(M39,'TABEL KONVERSI'!$A$3:$D$7,4)</f>
        <v>-</v>
      </c>
      <c r="R39" s="42"/>
      <c r="S39" s="37"/>
      <c r="T39" s="73"/>
      <c r="U39" s="73"/>
      <c r="V39" s="38" t="str">
        <f t="shared" si="38"/>
        <v/>
      </c>
      <c r="W39" s="38" t="str">
        <f t="shared" si="39"/>
        <v/>
      </c>
      <c r="X39" s="38" t="str">
        <f>IF(V39&lt;&gt;"",IF(AND(V39&gt;='TABEL KONVERSI'!$B$3,'ENTRY DATA'!V39&lt;='TABEL KONVERSI'!$C$3),1,IF(AND(V39&gt;='TABEL KONVERSI'!$B$4,'ENTRY DATA'!V39&lt;='TABEL KONVERSI'!$C$4),2,IF(AND(V39&gt;='TABEL KONVERSI'!$B$5,'ENTRY DATA'!V39&lt;='TABEL KONVERSI'!$C$5),3,IF(AND(V39&gt;='TABEL KONVERSI'!$B$6,'ENTRY DATA'!V39&lt;='TABEL KONVERSI'!$C$6),4,"")))),"-")</f>
        <v>-</v>
      </c>
      <c r="Y39" s="38" t="str">
        <f>IF(W39&lt;&gt;"",IF(AND(W39&gt;='TABEL KONVERSI'!$B$3,'ENTRY DATA'!W39&lt;='TABEL KONVERSI'!$C$3),1,IF(AND(W39&gt;='TABEL KONVERSI'!$B$4,'ENTRY DATA'!W39&lt;='TABEL KONVERSI'!$C$4),2,IF(AND(W39&gt;='TABEL KONVERSI'!$B$5,'ENTRY DATA'!W39&lt;='TABEL KONVERSI'!$C$5),3,IF(AND(W39&gt;='TABEL KONVERSI'!$B$6,'ENTRY DATA'!W39&lt;='TABEL KONVERSI'!$C$6),4,"")))),"-")</f>
        <v>-</v>
      </c>
      <c r="Z39" s="38" t="str">
        <f t="shared" si="40"/>
        <v>-</v>
      </c>
      <c r="AA39" s="38" t="str">
        <f>VLOOKUP(X39,'TABEL KONVERSI'!$A$3:$D$7,4)</f>
        <v>-</v>
      </c>
      <c r="AB39" s="38" t="str">
        <f t="shared" si="41"/>
        <v>-</v>
      </c>
      <c r="AC39" s="38" t="str">
        <f>VLOOKUP(Y39,'TABEL KONVERSI'!$A$3:$D$7,4)</f>
        <v>-</v>
      </c>
      <c r="AD39" s="42"/>
      <c r="AE39" s="37"/>
      <c r="AF39" s="73"/>
      <c r="AG39" s="73"/>
      <c r="AH39" s="38" t="str">
        <f t="shared" si="42"/>
        <v/>
      </c>
      <c r="AI39" s="38" t="str">
        <f t="shared" si="43"/>
        <v/>
      </c>
      <c r="AJ39" s="38" t="str">
        <f>IF(AH39&lt;&gt;"",IF(AND(AH39&gt;='TABEL KONVERSI'!$B$3,'ENTRY DATA'!AH39&lt;='TABEL KONVERSI'!$C$3),1,IF(AND(AH39&gt;='TABEL KONVERSI'!$B$4,'ENTRY DATA'!AH39&lt;='TABEL KONVERSI'!$C$4),2,IF(AND(AH39&gt;='TABEL KONVERSI'!$B$5,'ENTRY DATA'!AH39&lt;='TABEL KONVERSI'!$C$5),3,IF(AND(AH39&gt;='TABEL KONVERSI'!$B$6,'ENTRY DATA'!AH39&lt;='TABEL KONVERSI'!$C$6),4,"")))),"-")</f>
        <v>-</v>
      </c>
      <c r="AK39" s="38" t="str">
        <f>IF(AI39&lt;&gt;"",IF(AND(AI39&gt;='TABEL KONVERSI'!$B$3,'ENTRY DATA'!AI39&lt;='TABEL KONVERSI'!$C$3),1,IF(AND(AI39&gt;='TABEL KONVERSI'!$B$4,'ENTRY DATA'!AI39&lt;='TABEL KONVERSI'!$C$4),2,IF(AND(AI39&gt;='TABEL KONVERSI'!$B$5,'ENTRY DATA'!AI39&lt;='TABEL KONVERSI'!$C$5),3,IF(AND(AI39&gt;='TABEL KONVERSI'!$B$6,'ENTRY DATA'!AI39&lt;='TABEL KONVERSI'!$C$6),4,"")))),"-")</f>
        <v>-</v>
      </c>
      <c r="AL39" s="38" t="str">
        <f t="shared" si="44"/>
        <v>-</v>
      </c>
      <c r="AM39" s="38" t="str">
        <f>VLOOKUP(AJ39,'TABEL KONVERSI'!$A$3:$D$7,4)</f>
        <v>-</v>
      </c>
      <c r="AN39" s="38" t="str">
        <f t="shared" si="45"/>
        <v>-</v>
      </c>
      <c r="AO39" s="38" t="str">
        <f>VLOOKUP(AK39,'TABEL KONVERSI'!$A$3:$D$7,4)</f>
        <v>-</v>
      </c>
      <c r="AP39" s="42"/>
      <c r="AQ39" s="37"/>
      <c r="AR39" s="73"/>
      <c r="AS39" s="73"/>
      <c r="AT39" s="38" t="str">
        <f t="shared" si="46"/>
        <v/>
      </c>
      <c r="AU39" s="38" t="str">
        <f t="shared" si="47"/>
        <v/>
      </c>
      <c r="AV39" s="38" t="str">
        <f>IF(AT39&lt;&gt;"",IF(AND(AT39&gt;='TABEL KONVERSI'!$B$3,'ENTRY DATA'!AT39&lt;='TABEL KONVERSI'!$C$3),1,IF(AND(AT39&gt;='TABEL KONVERSI'!$B$4,'ENTRY DATA'!AT39&lt;='TABEL KONVERSI'!$C$4),2,IF(AND(AT39&gt;='TABEL KONVERSI'!$B$5,'ENTRY DATA'!AT39&lt;='TABEL KONVERSI'!$C$5),3,IF(AND(AT39&gt;='TABEL KONVERSI'!$B$6,'ENTRY DATA'!AT39&lt;='TABEL KONVERSI'!$C$6),4,"")))),"-")</f>
        <v>-</v>
      </c>
      <c r="AW39" s="38" t="str">
        <f>IF(AU39&lt;&gt;"",IF(AND(AU39&gt;='TABEL KONVERSI'!$B$3,'ENTRY DATA'!AU39&lt;='TABEL KONVERSI'!$C$3),1,IF(AND(AU39&gt;='TABEL KONVERSI'!$B$4,'ENTRY DATA'!AU39&lt;='TABEL KONVERSI'!$C$4),2,IF(AND(AU39&gt;='TABEL KONVERSI'!$B$5,'ENTRY DATA'!AU39&lt;='TABEL KONVERSI'!$C$5),3,IF(AND(AU39&gt;='TABEL KONVERSI'!$B$6,'ENTRY DATA'!AU39&lt;='TABEL KONVERSI'!$C$6),4,"")))),"-")</f>
        <v>-</v>
      </c>
      <c r="AX39" s="38" t="str">
        <f t="shared" si="48"/>
        <v>-</v>
      </c>
      <c r="AY39" s="38" t="str">
        <f>VLOOKUP(AV39,'TABEL KONVERSI'!$A$3:$D$7,4)</f>
        <v>-</v>
      </c>
      <c r="AZ39" s="38" t="str">
        <f t="shared" si="49"/>
        <v>-</v>
      </c>
      <c r="BA39" s="38" t="str">
        <f>VLOOKUP(AW39,'TABEL KONVERSI'!$A$3:$D$7,4)</f>
        <v>-</v>
      </c>
      <c r="BB39" s="42"/>
      <c r="BC39" s="37"/>
      <c r="BD39" s="73"/>
      <c r="BE39" s="73"/>
      <c r="BF39" s="38" t="str">
        <f t="shared" si="50"/>
        <v/>
      </c>
      <c r="BG39" s="38" t="str">
        <f t="shared" si="51"/>
        <v/>
      </c>
      <c r="BH39" s="38" t="str">
        <f>IF(BF39&lt;&gt;"",IF(AND(BF39&gt;='TABEL KONVERSI'!$B$3,'ENTRY DATA'!BF39&lt;='TABEL KONVERSI'!$C$3),1,IF(AND(BF39&gt;='TABEL KONVERSI'!$B$4,'ENTRY DATA'!BF39&lt;='TABEL KONVERSI'!$C$4),2,IF(AND(BF39&gt;='TABEL KONVERSI'!$B$5,'ENTRY DATA'!BF39&lt;='TABEL KONVERSI'!$C$5),3,IF(AND(BF39&gt;='TABEL KONVERSI'!$B$6,'ENTRY DATA'!BF39&lt;='TABEL KONVERSI'!$C$6),4,"")))),"-")</f>
        <v>-</v>
      </c>
      <c r="BI39" s="38" t="str">
        <f>IF(BG39&lt;&gt;"",IF(AND(BG39&gt;='TABEL KONVERSI'!$B$3,'ENTRY DATA'!BG39&lt;='TABEL KONVERSI'!$C$3),1,IF(AND(BG39&gt;='TABEL KONVERSI'!$B$4,'ENTRY DATA'!BG39&lt;='TABEL KONVERSI'!$C$4),2,IF(AND(BG39&gt;='TABEL KONVERSI'!$B$5,'ENTRY DATA'!BG39&lt;='TABEL KONVERSI'!$C$5),3,IF(AND(BG39&gt;='TABEL KONVERSI'!$B$6,'ENTRY DATA'!BG39&lt;='TABEL KONVERSI'!$C$6),4,"")))),"-")</f>
        <v>-</v>
      </c>
      <c r="BJ39" s="38" t="str">
        <f t="shared" si="52"/>
        <v>-</v>
      </c>
      <c r="BK39" s="38" t="str">
        <f>VLOOKUP(BH39,'TABEL KONVERSI'!$A$3:$D$7,4)</f>
        <v>-</v>
      </c>
      <c r="BL39" s="38" t="str">
        <f t="shared" si="53"/>
        <v>-</v>
      </c>
      <c r="BM39" s="38" t="str">
        <f>VLOOKUP(BI39,'TABEL KONVERSI'!$A$3:$D$7,4)</f>
        <v>-</v>
      </c>
      <c r="BN39" s="42"/>
      <c r="BO39" s="37"/>
      <c r="BP39" s="73"/>
      <c r="BQ39" s="73"/>
      <c r="BR39" s="38" t="str">
        <f t="shared" si="54"/>
        <v/>
      </c>
      <c r="BS39" s="38" t="str">
        <f t="shared" si="55"/>
        <v/>
      </c>
      <c r="BT39" s="38" t="str">
        <f>IF(BR39&lt;&gt;"",IF(AND(BR39&gt;='TABEL KONVERSI'!$B$3,'ENTRY DATA'!BR39&lt;='TABEL KONVERSI'!$C$3),1,IF(AND(BR39&gt;='TABEL KONVERSI'!$B$4,'ENTRY DATA'!BR39&lt;='TABEL KONVERSI'!$C$4),2,IF(AND(BR39&gt;='TABEL KONVERSI'!$B$5,'ENTRY DATA'!BR39&lt;='TABEL KONVERSI'!$C$5),3,IF(AND(BR39&gt;='TABEL KONVERSI'!$B$6,'ENTRY DATA'!BR39&lt;='TABEL KONVERSI'!$C$6),4,"")))),"-")</f>
        <v>-</v>
      </c>
      <c r="BU39" s="38" t="str">
        <f>IF(BS39&lt;&gt;"",IF(AND(BS39&gt;='TABEL KONVERSI'!$B$3,'ENTRY DATA'!BS39&lt;='TABEL KONVERSI'!$C$3),1,IF(AND(BS39&gt;='TABEL KONVERSI'!$B$4,'ENTRY DATA'!BS39&lt;='TABEL KONVERSI'!$C$4),2,IF(AND(BS39&gt;='TABEL KONVERSI'!$B$5,'ENTRY DATA'!BS39&lt;='TABEL KONVERSI'!$C$5),3,IF(AND(BS39&gt;='TABEL KONVERSI'!$B$6,'ENTRY DATA'!BS39&lt;='TABEL KONVERSI'!$C$6),4,"")))),"-")</f>
        <v>-</v>
      </c>
      <c r="BV39" s="38" t="str">
        <f t="shared" si="56"/>
        <v>-</v>
      </c>
      <c r="BW39" s="38" t="str">
        <f>VLOOKUP(BT39,'TABEL KONVERSI'!$A$3:$D$7,4)</f>
        <v>-</v>
      </c>
      <c r="BX39" s="38" t="str">
        <f t="shared" si="57"/>
        <v>-</v>
      </c>
      <c r="BY39" s="38" t="str">
        <f>VLOOKUP(BU39,'TABEL KONVERSI'!$A$3:$D$7,4)</f>
        <v>-</v>
      </c>
      <c r="BZ39" s="42"/>
      <c r="CA39" s="37"/>
      <c r="CB39" s="73"/>
      <c r="CC39" s="73"/>
      <c r="CD39" s="38" t="str">
        <f t="shared" si="58"/>
        <v/>
      </c>
      <c r="CE39" s="38" t="str">
        <f t="shared" si="59"/>
        <v/>
      </c>
      <c r="CF39" s="38" t="str">
        <f>IF(CD39&lt;&gt;"",IF(AND(CD39&gt;='TABEL KONVERSI'!$B$3,'ENTRY DATA'!CD39&lt;='TABEL KONVERSI'!$C$3),1,IF(AND(CD39&gt;='TABEL KONVERSI'!$B$4,'ENTRY DATA'!CD39&lt;='TABEL KONVERSI'!$C$4),2,IF(AND(CD39&gt;='TABEL KONVERSI'!$B$5,'ENTRY DATA'!CD39&lt;='TABEL KONVERSI'!$C$5),3,IF(AND(CD39&gt;='TABEL KONVERSI'!$B$6,'ENTRY DATA'!CD39&lt;='TABEL KONVERSI'!$C$6),4,"")))),"-")</f>
        <v>-</v>
      </c>
      <c r="CG39" s="38" t="str">
        <f>IF(CE39&lt;&gt;"",IF(AND(CE39&gt;='TABEL KONVERSI'!$B$3,'ENTRY DATA'!CE39&lt;='TABEL KONVERSI'!$C$3),1,IF(AND(CE39&gt;='TABEL KONVERSI'!$B$4,'ENTRY DATA'!CE39&lt;='TABEL KONVERSI'!$C$4),2,IF(AND(CE39&gt;='TABEL KONVERSI'!$B$5,'ENTRY DATA'!CE39&lt;='TABEL KONVERSI'!$C$5),3,IF(AND(CE39&gt;='TABEL KONVERSI'!$B$6,'ENTRY DATA'!CE39&lt;='TABEL KONVERSI'!$C$6),4,"")))),"-")</f>
        <v>-</v>
      </c>
      <c r="CH39" s="38" t="str">
        <f t="shared" si="60"/>
        <v>-</v>
      </c>
      <c r="CI39" s="38" t="str">
        <f>VLOOKUP(CF39,'TABEL KONVERSI'!$A$3:$D$7,4)</f>
        <v>-</v>
      </c>
      <c r="CJ39" s="38" t="str">
        <f t="shared" si="61"/>
        <v>-</v>
      </c>
      <c r="CK39" s="38" t="str">
        <f>VLOOKUP(CG39,'TABEL KONVERSI'!$A$3:$D$7,4)</f>
        <v>-</v>
      </c>
      <c r="CL39" s="42"/>
      <c r="CM39" s="37"/>
      <c r="CN39" s="73"/>
      <c r="CO39" s="73"/>
      <c r="CP39" s="38" t="str">
        <f t="shared" si="62"/>
        <v/>
      </c>
      <c r="CQ39" s="38" t="str">
        <f t="shared" si="63"/>
        <v/>
      </c>
      <c r="CR39" s="38" t="str">
        <f>IF(CP39&lt;&gt;"",IF(AND(CP39&gt;='TABEL KONVERSI'!$B$3,'ENTRY DATA'!CP39&lt;='TABEL KONVERSI'!$C$3),1,IF(AND(CP39&gt;='TABEL KONVERSI'!$B$4,'ENTRY DATA'!CP39&lt;='TABEL KONVERSI'!$C$4),2,IF(AND(CP39&gt;='TABEL KONVERSI'!$B$5,'ENTRY DATA'!CP39&lt;='TABEL KONVERSI'!$C$5),3,IF(AND(CP39&gt;='TABEL KONVERSI'!$B$6,'ENTRY DATA'!CP39&lt;='TABEL KONVERSI'!$C$6),4,"")))),"-")</f>
        <v>-</v>
      </c>
      <c r="CS39" s="38" t="str">
        <f>IF(CQ39&lt;&gt;"",IF(AND(CQ39&gt;='TABEL KONVERSI'!$B$3,'ENTRY DATA'!CQ39&lt;='TABEL KONVERSI'!$C$3),1,IF(AND(CQ39&gt;='TABEL KONVERSI'!$B$4,'ENTRY DATA'!CQ39&lt;='TABEL KONVERSI'!$C$4),2,IF(AND(CQ39&gt;='TABEL KONVERSI'!$B$5,'ENTRY DATA'!CQ39&lt;='TABEL KONVERSI'!$C$5),3,IF(AND(CQ39&gt;='TABEL KONVERSI'!$B$6,'ENTRY DATA'!CQ39&lt;='TABEL KONVERSI'!$C$6),4,"")))),"-")</f>
        <v>-</v>
      </c>
      <c r="CT39" s="38" t="str">
        <f t="shared" si="64"/>
        <v>-</v>
      </c>
      <c r="CU39" s="38" t="str">
        <f>VLOOKUP(CR39,'TABEL KONVERSI'!$A$3:$D$7,4)</f>
        <v>-</v>
      </c>
      <c r="CV39" s="38" t="str">
        <f t="shared" si="65"/>
        <v>-</v>
      </c>
      <c r="CW39" s="38" t="str">
        <f>VLOOKUP(CS39,'TABEL KONVERSI'!$A$3:$D$7,4)</f>
        <v>-</v>
      </c>
      <c r="CX39" s="42"/>
      <c r="CY39" s="37"/>
      <c r="CZ39" s="73"/>
      <c r="DA39" s="73"/>
      <c r="DB39" s="38" t="str">
        <f t="shared" si="66"/>
        <v/>
      </c>
      <c r="DC39" s="38" t="str">
        <f t="shared" si="67"/>
        <v/>
      </c>
      <c r="DD39" s="38" t="str">
        <f>IF(DB39&lt;&gt;"",IF(AND(DB39&gt;='TABEL KONVERSI'!$B$3,'ENTRY DATA'!DB39&lt;='TABEL KONVERSI'!$C$3),1,IF(AND(DB39&gt;='TABEL KONVERSI'!$B$4,'ENTRY DATA'!DB39&lt;='TABEL KONVERSI'!$C$4),2,IF(AND(DB39&gt;='TABEL KONVERSI'!$B$5,'ENTRY DATA'!DB39&lt;='TABEL KONVERSI'!$C$5),3,IF(AND(DB39&gt;='TABEL KONVERSI'!$B$6,'ENTRY DATA'!DB39&lt;='TABEL KONVERSI'!$C$6),4,"")))),"-")</f>
        <v>-</v>
      </c>
      <c r="DE39" s="38" t="str">
        <f>IF(DC39&lt;&gt;"",IF(AND(DC39&gt;='TABEL KONVERSI'!$B$3,'ENTRY DATA'!DC39&lt;='TABEL KONVERSI'!$C$3),1,IF(AND(DC39&gt;='TABEL KONVERSI'!$B$4,'ENTRY DATA'!DC39&lt;='TABEL KONVERSI'!$C$4),2,IF(AND(DC39&gt;='TABEL KONVERSI'!$B$5,'ENTRY DATA'!DC39&lt;='TABEL KONVERSI'!$C$5),3,IF(AND(DC39&gt;='TABEL KONVERSI'!$B$6,'ENTRY DATA'!DC39&lt;='TABEL KONVERSI'!$C$6),4,"")))),"-")</f>
        <v>-</v>
      </c>
      <c r="DF39" s="38" t="str">
        <f t="shared" si="68"/>
        <v>-</v>
      </c>
      <c r="DG39" s="38" t="str">
        <f>VLOOKUP(DD39,'TABEL KONVERSI'!$A$3:$D$7,4)</f>
        <v>-</v>
      </c>
      <c r="DH39" s="38" t="str">
        <f t="shared" si="69"/>
        <v>-</v>
      </c>
      <c r="DI39" s="38" t="str">
        <f>VLOOKUP(DE39,'TABEL KONVERSI'!$A$3:$D$7,4)</f>
        <v>-</v>
      </c>
      <c r="DJ39" s="42"/>
      <c r="DK39" s="37"/>
      <c r="DL39" s="73"/>
      <c r="DM39" s="73"/>
      <c r="DN39" s="38" t="str">
        <f t="shared" si="70"/>
        <v/>
      </c>
      <c r="DO39" s="38" t="str">
        <f t="shared" si="71"/>
        <v/>
      </c>
      <c r="DP39" s="38" t="str">
        <f>IF(DN39&lt;&gt;"",IF(AND(DN39&gt;='TABEL KONVERSI'!$B$3,'ENTRY DATA'!DN39&lt;='TABEL KONVERSI'!$C$3),1,IF(AND(DN39&gt;='TABEL KONVERSI'!$B$4,'ENTRY DATA'!DN39&lt;='TABEL KONVERSI'!$C$4),2,IF(AND(DN39&gt;='TABEL KONVERSI'!$B$5,'ENTRY DATA'!DN39&lt;='TABEL KONVERSI'!$C$5),3,IF(AND(DN39&gt;='TABEL KONVERSI'!$B$6,'ENTRY DATA'!DN39&lt;='TABEL KONVERSI'!$C$6),4,"")))),"-")</f>
        <v>-</v>
      </c>
      <c r="DQ39" s="38" t="str">
        <f>IF(DO39&lt;&gt;"",IF(AND(DO39&gt;='TABEL KONVERSI'!$B$3,'ENTRY DATA'!DO39&lt;='TABEL KONVERSI'!$C$3),1,IF(AND(DO39&gt;='TABEL KONVERSI'!$B$4,'ENTRY DATA'!DO39&lt;='TABEL KONVERSI'!$C$4),2,IF(AND(DO39&gt;='TABEL KONVERSI'!$B$5,'ENTRY DATA'!DO39&lt;='TABEL KONVERSI'!$C$5),3,IF(AND(DO39&gt;='TABEL KONVERSI'!$B$6,'ENTRY DATA'!DO39&lt;='TABEL KONVERSI'!$C$6),4,"")))),"-")</f>
        <v>-</v>
      </c>
      <c r="DR39" s="38" t="str">
        <f t="shared" si="72"/>
        <v>-</v>
      </c>
      <c r="DS39" s="38" t="str">
        <f>VLOOKUP(DP39,'TABEL KONVERSI'!$A$3:$D$7,4)</f>
        <v>-</v>
      </c>
      <c r="DT39" s="38" t="str">
        <f t="shared" si="73"/>
        <v>-</v>
      </c>
      <c r="DU39" s="38" t="str">
        <f>VLOOKUP(DQ39,'TABEL KONVERSI'!$A$3:$D$7,4)</f>
        <v>-</v>
      </c>
      <c r="DV39" s="42"/>
      <c r="DW39" s="37"/>
      <c r="DX39" s="73"/>
      <c r="DY39" s="73"/>
      <c r="DZ39" s="38" t="str">
        <f t="shared" si="74"/>
        <v/>
      </c>
      <c r="EA39" s="38" t="str">
        <f t="shared" si="75"/>
        <v/>
      </c>
      <c r="EB39" s="38" t="str">
        <f>IF(DZ39&lt;&gt;"",IF(AND(DZ39&gt;='TABEL KONVERSI'!$B$3,'ENTRY DATA'!DZ39&lt;='TABEL KONVERSI'!$C$3),1,IF(AND(DZ39&gt;='TABEL KONVERSI'!$B$4,'ENTRY DATA'!DZ39&lt;='TABEL KONVERSI'!$C$4),2,IF(AND(DZ39&gt;='TABEL KONVERSI'!$B$5,'ENTRY DATA'!DZ39&lt;='TABEL KONVERSI'!$C$5),3,IF(AND(DZ39&gt;='TABEL KONVERSI'!$B$6,'ENTRY DATA'!DZ39&lt;='TABEL KONVERSI'!$C$6),4,"")))),"-")</f>
        <v>-</v>
      </c>
      <c r="EC39" s="38" t="str">
        <f>IF(EA39&lt;&gt;"",IF(AND(EA39&gt;='TABEL KONVERSI'!$B$3,'ENTRY DATA'!EA39&lt;='TABEL KONVERSI'!$C$3),1,IF(AND(EA39&gt;='TABEL KONVERSI'!$B$4,'ENTRY DATA'!EA39&lt;='TABEL KONVERSI'!$C$4),2,IF(AND(EA39&gt;='TABEL KONVERSI'!$B$5,'ENTRY DATA'!EA39&lt;='TABEL KONVERSI'!$C$5),3,IF(AND(EA39&gt;='TABEL KONVERSI'!$B$6,'ENTRY DATA'!EA39&lt;='TABEL KONVERSI'!$C$6),4,"")))),"-")</f>
        <v>-</v>
      </c>
      <c r="ED39" s="38" t="str">
        <f t="shared" si="76"/>
        <v>-</v>
      </c>
      <c r="EE39" s="38" t="str">
        <f>VLOOKUP(EB39,'TABEL KONVERSI'!$A$3:$D$7,4)</f>
        <v>-</v>
      </c>
      <c r="EF39" s="38" t="str">
        <f t="shared" si="77"/>
        <v>-</v>
      </c>
      <c r="EG39" s="38" t="str">
        <f>VLOOKUP(EC39,'TABEL KONVERSI'!$A$3:$D$7,4)</f>
        <v>-</v>
      </c>
      <c r="EH39" s="42"/>
      <c r="EI39" s="37"/>
      <c r="EJ39" s="73"/>
      <c r="EK39" s="73"/>
      <c r="EL39" s="38" t="str">
        <f t="shared" si="78"/>
        <v/>
      </c>
      <c r="EM39" s="38" t="str">
        <f t="shared" si="79"/>
        <v/>
      </c>
      <c r="EN39" s="38" t="str">
        <f>IF(EL39&lt;&gt;"",IF(AND(EL39&gt;='TABEL KONVERSI'!$B$3,'ENTRY DATA'!EL39&lt;='TABEL KONVERSI'!$C$3),1,IF(AND(EL39&gt;='TABEL KONVERSI'!$B$4,'ENTRY DATA'!EL39&lt;='TABEL KONVERSI'!$C$4),2,IF(AND(EL39&gt;='TABEL KONVERSI'!$B$5,'ENTRY DATA'!EL39&lt;='TABEL KONVERSI'!$C$5),3,IF(AND(EL39&gt;='TABEL KONVERSI'!$B$6,'ENTRY DATA'!EL39&lt;='TABEL KONVERSI'!$C$6),4,"")))),"-")</f>
        <v>-</v>
      </c>
      <c r="EO39" s="38" t="str">
        <f>IF(EM39&lt;&gt;"",IF(AND(EM39&gt;='TABEL KONVERSI'!$B$3,'ENTRY DATA'!EM39&lt;='TABEL KONVERSI'!$C$3),1,IF(AND(EM39&gt;='TABEL KONVERSI'!$B$4,'ENTRY DATA'!EM39&lt;='TABEL KONVERSI'!$C$4),2,IF(AND(EM39&gt;='TABEL KONVERSI'!$B$5,'ENTRY DATA'!EM39&lt;='TABEL KONVERSI'!$C$5),3,IF(AND(EM39&gt;='TABEL KONVERSI'!$B$6,'ENTRY DATA'!EM39&lt;='TABEL KONVERSI'!$C$6),4,"")))),"-")</f>
        <v>-</v>
      </c>
      <c r="EP39" s="38" t="str">
        <f t="shared" si="80"/>
        <v>-</v>
      </c>
      <c r="EQ39" s="38" t="str">
        <f>VLOOKUP(EN39,'TABEL KONVERSI'!$A$3:$D$7,4)</f>
        <v>-</v>
      </c>
      <c r="ER39" s="38" t="str">
        <f t="shared" si="81"/>
        <v>-</v>
      </c>
      <c r="ES39" s="38" t="str">
        <f>VLOOKUP(EO39,'TABEL KONVERSI'!$A$3:$D$7,4)</f>
        <v>-</v>
      </c>
      <c r="ET39" s="42"/>
      <c r="EU39" s="37"/>
      <c r="EV39" s="73"/>
      <c r="EW39" s="73"/>
      <c r="EX39" s="38" t="str">
        <f t="shared" si="82"/>
        <v/>
      </c>
      <c r="EY39" s="38" t="str">
        <f t="shared" si="83"/>
        <v/>
      </c>
      <c r="EZ39" s="38" t="str">
        <f>IF(EX39&lt;&gt;"",IF(AND(EX39&gt;='TABEL KONVERSI'!$B$3,'ENTRY DATA'!EX39&lt;='TABEL KONVERSI'!$C$3),1,IF(AND(EX39&gt;='TABEL KONVERSI'!$B$4,'ENTRY DATA'!EX39&lt;='TABEL KONVERSI'!$C$4),2,IF(AND(EX39&gt;='TABEL KONVERSI'!$B$5,'ENTRY DATA'!EX39&lt;='TABEL KONVERSI'!$C$5),3,IF(AND(EX39&gt;='TABEL KONVERSI'!$B$6,'ENTRY DATA'!EX39&lt;='TABEL KONVERSI'!$C$6),4,"")))),"-")</f>
        <v>-</v>
      </c>
      <c r="FA39" s="38" t="str">
        <f>IF(EY39&lt;&gt;"",IF(AND(EY39&gt;='TABEL KONVERSI'!$B$3,'ENTRY DATA'!EY39&lt;='TABEL KONVERSI'!$C$3),1,IF(AND(EY39&gt;='TABEL KONVERSI'!$B$4,'ENTRY DATA'!EY39&lt;='TABEL KONVERSI'!$C$4),2,IF(AND(EY39&gt;='TABEL KONVERSI'!$B$5,'ENTRY DATA'!EY39&lt;='TABEL KONVERSI'!$C$5),3,IF(AND(EY39&gt;='TABEL KONVERSI'!$B$6,'ENTRY DATA'!EY39&lt;='TABEL KONVERSI'!$C$6),4,"")))),"-")</f>
        <v>-</v>
      </c>
      <c r="FB39" s="38" t="str">
        <f t="shared" si="84"/>
        <v>-</v>
      </c>
      <c r="FC39" s="38" t="str">
        <f>VLOOKUP(EZ39,'TABEL KONVERSI'!$A$3:$D$7,4)</f>
        <v>-</v>
      </c>
      <c r="FD39" s="38" t="str">
        <f t="shared" si="85"/>
        <v>-</v>
      </c>
      <c r="FE39" s="38" t="str">
        <f>VLOOKUP(FA39,'TABEL KONVERSI'!$A$3:$D$7,4)</f>
        <v>-</v>
      </c>
      <c r="FF39" s="42"/>
      <c r="FG39" s="37"/>
      <c r="FH39" s="73"/>
      <c r="FI39" s="73"/>
      <c r="FJ39" s="38" t="str">
        <f t="shared" si="86"/>
        <v/>
      </c>
      <c r="FK39" s="38" t="str">
        <f t="shared" si="87"/>
        <v/>
      </c>
      <c r="FL39" s="38" t="str">
        <f>IF(FJ39&lt;&gt;"",IF(AND(FJ39&gt;='TABEL KONVERSI'!$B$3,'ENTRY DATA'!FJ39&lt;='TABEL KONVERSI'!$C$3),1,IF(AND(FJ39&gt;='TABEL KONVERSI'!$B$4,'ENTRY DATA'!FJ39&lt;='TABEL KONVERSI'!$C$4),2,IF(AND(FJ39&gt;='TABEL KONVERSI'!$B$5,'ENTRY DATA'!FJ39&lt;='TABEL KONVERSI'!$C$5),3,IF(AND(FJ39&gt;='TABEL KONVERSI'!$B$6,'ENTRY DATA'!FJ39&lt;='TABEL KONVERSI'!$C$6),4,"")))),"-")</f>
        <v>-</v>
      </c>
      <c r="FM39" s="38" t="str">
        <f>IF(FK39&lt;&gt;"",IF(AND(FK39&gt;='TABEL KONVERSI'!$B$3,'ENTRY DATA'!FK39&lt;='TABEL KONVERSI'!$C$3),1,IF(AND(FK39&gt;='TABEL KONVERSI'!$B$4,'ENTRY DATA'!FK39&lt;='TABEL KONVERSI'!$C$4),2,IF(AND(FK39&gt;='TABEL KONVERSI'!$B$5,'ENTRY DATA'!FK39&lt;='TABEL KONVERSI'!$C$5),3,IF(AND(FK39&gt;='TABEL KONVERSI'!$B$6,'ENTRY DATA'!FK39&lt;='TABEL KONVERSI'!$C$6),4,"")))),"-")</f>
        <v>-</v>
      </c>
      <c r="FN39" s="38" t="str">
        <f t="shared" si="88"/>
        <v>-</v>
      </c>
      <c r="FO39" s="38" t="str">
        <f>VLOOKUP(FL39,'TABEL KONVERSI'!$A$3:$D$7,4)</f>
        <v>-</v>
      </c>
      <c r="FP39" s="38" t="str">
        <f t="shared" si="89"/>
        <v>-</v>
      </c>
      <c r="FQ39" s="38" t="str">
        <f>VLOOKUP(FM39,'TABEL KONVERSI'!$A$3:$D$7,4)</f>
        <v>-</v>
      </c>
      <c r="FR39" s="42"/>
      <c r="FS39" s="37"/>
      <c r="FT39" s="73"/>
      <c r="FU39" s="73"/>
      <c r="FV39" s="38" t="str">
        <f t="shared" si="90"/>
        <v/>
      </c>
      <c r="FW39" s="38" t="str">
        <f t="shared" si="91"/>
        <v/>
      </c>
      <c r="FX39" s="38" t="str">
        <f>IF(FV39&lt;&gt;"",IF(AND(FV39&gt;='TABEL KONVERSI'!$B$3,'ENTRY DATA'!FV39&lt;='TABEL KONVERSI'!$C$3),1,IF(AND(FV39&gt;='TABEL KONVERSI'!$B$4,'ENTRY DATA'!FV39&lt;='TABEL KONVERSI'!$C$4),2,IF(AND(FV39&gt;='TABEL KONVERSI'!$B$5,'ENTRY DATA'!FV39&lt;='TABEL KONVERSI'!$C$5),3,IF(AND(FV39&gt;='TABEL KONVERSI'!$B$6,'ENTRY DATA'!FV39&lt;='TABEL KONVERSI'!$C$6),4,"")))),"-")</f>
        <v>-</v>
      </c>
      <c r="FY39" s="38" t="str">
        <f>IF(FW39&lt;&gt;"",IF(AND(FW39&gt;='TABEL KONVERSI'!$B$3,'ENTRY DATA'!FW39&lt;='TABEL KONVERSI'!$C$3),1,IF(AND(FW39&gt;='TABEL KONVERSI'!$B$4,'ENTRY DATA'!FW39&lt;='TABEL KONVERSI'!$C$4),2,IF(AND(FW39&gt;='TABEL KONVERSI'!$B$5,'ENTRY DATA'!FW39&lt;='TABEL KONVERSI'!$C$5),3,IF(AND(FW39&gt;='TABEL KONVERSI'!$B$6,'ENTRY DATA'!FW39&lt;='TABEL KONVERSI'!$C$6),4,"")))),"-")</f>
        <v>-</v>
      </c>
      <c r="FZ39" s="38" t="str">
        <f t="shared" si="92"/>
        <v>-</v>
      </c>
      <c r="GA39" s="38" t="str">
        <f>VLOOKUP(FX39,'TABEL KONVERSI'!$A$3:$D$7,4)</f>
        <v>-</v>
      </c>
      <c r="GB39" s="38" t="str">
        <f t="shared" si="93"/>
        <v>-</v>
      </c>
      <c r="GC39" s="38" t="str">
        <f>VLOOKUP(FY39,'TABEL KONVERSI'!$A$3:$D$7,4)</f>
        <v>-</v>
      </c>
      <c r="GD39" s="42"/>
      <c r="GE39" s="37"/>
      <c r="GF39" s="73"/>
      <c r="GG39" s="73"/>
      <c r="GH39" s="38" t="str">
        <f t="shared" si="94"/>
        <v/>
      </c>
      <c r="GI39" s="38" t="str">
        <f t="shared" si="95"/>
        <v/>
      </c>
      <c r="GJ39" s="38" t="str">
        <f>IF(GH39&lt;&gt;"",IF(AND(GH39&gt;='TABEL KONVERSI'!$B$3,'ENTRY DATA'!GH39&lt;='TABEL KONVERSI'!$C$3),1,IF(AND(GH39&gt;='TABEL KONVERSI'!$B$4,'ENTRY DATA'!GH39&lt;='TABEL KONVERSI'!$C$4),2,IF(AND(GH39&gt;='TABEL KONVERSI'!$B$5,'ENTRY DATA'!GH39&lt;='TABEL KONVERSI'!$C$5),3,IF(AND(GH39&gt;='TABEL KONVERSI'!$B$6,'ENTRY DATA'!GH39&lt;='TABEL KONVERSI'!$C$6),4,"")))),"-")</f>
        <v>-</v>
      </c>
      <c r="GK39" s="38" t="str">
        <f>IF(GI39&lt;&gt;"",IF(AND(GI39&gt;='TABEL KONVERSI'!$B$3,'ENTRY DATA'!GI39&lt;='TABEL KONVERSI'!$C$3),1,IF(AND(GI39&gt;='TABEL KONVERSI'!$B$4,'ENTRY DATA'!GI39&lt;='TABEL KONVERSI'!$C$4),2,IF(AND(GI39&gt;='TABEL KONVERSI'!$B$5,'ENTRY DATA'!GI39&lt;='TABEL KONVERSI'!$C$5),3,IF(AND(GI39&gt;='TABEL KONVERSI'!$B$6,'ENTRY DATA'!GI39&lt;='TABEL KONVERSI'!$C$6),4,"")))),"-")</f>
        <v>-</v>
      </c>
      <c r="GL39" s="38" t="str">
        <f t="shared" si="96"/>
        <v>-</v>
      </c>
      <c r="GM39" s="38" t="str">
        <f>VLOOKUP(GJ39,'TABEL KONVERSI'!$A$3:$D$7,4)</f>
        <v>-</v>
      </c>
      <c r="GN39" s="38" t="str">
        <f t="shared" si="97"/>
        <v>-</v>
      </c>
      <c r="GO39" s="38" t="str">
        <f>VLOOKUP(GK39,'TABEL KONVERSI'!$A$3:$D$7,4)</f>
        <v>-</v>
      </c>
      <c r="GP39" s="43">
        <f t="shared" si="0"/>
        <v>0</v>
      </c>
      <c r="GQ39" s="43">
        <f t="shared" si="1"/>
        <v>0</v>
      </c>
      <c r="GR39" s="43">
        <f t="shared" si="2"/>
        <v>0</v>
      </c>
      <c r="GS39" s="43">
        <f t="shared" si="3"/>
        <v>0</v>
      </c>
      <c r="GT39" s="43">
        <f t="shared" si="4"/>
        <v>0</v>
      </c>
      <c r="GU39" s="43">
        <f t="shared" si="5"/>
        <v>0</v>
      </c>
      <c r="GV39" s="43">
        <f t="shared" si="6"/>
        <v>0</v>
      </c>
      <c r="GW39" s="43">
        <f t="shared" si="7"/>
        <v>0</v>
      </c>
      <c r="GX39" s="43">
        <f t="shared" si="8"/>
        <v>0</v>
      </c>
      <c r="GY39" s="43">
        <f t="shared" si="9"/>
        <v>0</v>
      </c>
      <c r="GZ39" s="43">
        <f t="shared" si="10"/>
        <v>0</v>
      </c>
      <c r="HA39" s="43">
        <f t="shared" si="11"/>
        <v>0</v>
      </c>
      <c r="HB39" s="43">
        <f t="shared" si="12"/>
        <v>0</v>
      </c>
      <c r="HC39" s="43">
        <f t="shared" si="13"/>
        <v>0</v>
      </c>
      <c r="HD39" s="43">
        <f t="shared" si="14"/>
        <v>0</v>
      </c>
      <c r="HE39" s="43">
        <f t="shared" si="15"/>
        <v>0</v>
      </c>
      <c r="HF39" s="38">
        <f t="shared" si="98"/>
        <v>0</v>
      </c>
      <c r="HG39" s="38">
        <f t="shared" si="99"/>
        <v>0</v>
      </c>
      <c r="HH39" s="38">
        <f t="shared" si="100"/>
        <v>0</v>
      </c>
      <c r="HI39" s="39">
        <f t="shared" si="101"/>
        <v>0</v>
      </c>
      <c r="HJ39" s="44" t="str">
        <f t="shared" si="102"/>
        <v>-</v>
      </c>
      <c r="HK39" s="45" t="str">
        <f>VLOOKUP(HJ39,'TABEL KONVERSI'!$B$11:$D$15,2,0)</f>
        <v>-</v>
      </c>
      <c r="HL39" s="43">
        <f t="shared" si="16"/>
        <v>0</v>
      </c>
      <c r="HM39" s="43">
        <f t="shared" si="17"/>
        <v>0</v>
      </c>
      <c r="HN39" s="43">
        <f t="shared" si="18"/>
        <v>0</v>
      </c>
      <c r="HO39" s="43">
        <f t="shared" si="19"/>
        <v>0</v>
      </c>
      <c r="HP39" s="43">
        <f t="shared" si="20"/>
        <v>0</v>
      </c>
      <c r="HQ39" s="43">
        <f t="shared" si="21"/>
        <v>0</v>
      </c>
      <c r="HR39" s="43">
        <f t="shared" si="22"/>
        <v>0</v>
      </c>
      <c r="HS39" s="43">
        <f t="shared" si="23"/>
        <v>0</v>
      </c>
      <c r="HT39" s="43">
        <f t="shared" si="24"/>
        <v>0</v>
      </c>
      <c r="HU39" s="43">
        <f t="shared" si="25"/>
        <v>0</v>
      </c>
      <c r="HV39" s="43">
        <f t="shared" si="26"/>
        <v>0</v>
      </c>
      <c r="HW39" s="43">
        <f t="shared" si="27"/>
        <v>0</v>
      </c>
      <c r="HX39" s="43">
        <f t="shared" si="28"/>
        <v>0</v>
      </c>
      <c r="HY39" s="43">
        <f t="shared" si="29"/>
        <v>0</v>
      </c>
      <c r="HZ39" s="43">
        <f t="shared" si="30"/>
        <v>0</v>
      </c>
      <c r="IA39" s="43">
        <f t="shared" si="31"/>
        <v>0</v>
      </c>
      <c r="IB39" s="38">
        <f t="shared" si="103"/>
        <v>0</v>
      </c>
      <c r="IC39" s="38">
        <f t="shared" si="104"/>
        <v>0</v>
      </c>
      <c r="ID39" s="38">
        <f t="shared" si="105"/>
        <v>0</v>
      </c>
      <c r="IE39" s="38">
        <f t="shared" si="106"/>
        <v>0</v>
      </c>
      <c r="IF39" s="46" t="str">
        <f t="shared" si="107"/>
        <v>-</v>
      </c>
      <c r="IG39" s="45" t="str">
        <f>VLOOKUP(IF39,'TABEL KONVERSI'!$B$11:$D$15,3,0)</f>
        <v>-</v>
      </c>
      <c r="IH39" s="40" t="s">
        <v>223</v>
      </c>
      <c r="II39" s="41" t="s">
        <v>106</v>
      </c>
      <c r="IJ39" s="45" t="str">
        <f>IF(II39&lt;&gt;"",VLOOKUP(II39,'TABEL KONVERSI'!$A$19:$B$23,2,0),"")</f>
        <v>Aktif dalam mengikuti kegiatan</v>
      </c>
      <c r="IK39" s="47" t="s">
        <v>58</v>
      </c>
      <c r="IL39" s="50" t="s">
        <v>58</v>
      </c>
      <c r="IM39" s="45" t="str">
        <f>IF(IL39&lt;&gt;"",VLOOKUP(IL39,'TABEL KONVERSI'!$A$19:$B$23,2,0),"")</f>
        <v>-</v>
      </c>
      <c r="IN39" s="49" t="s">
        <v>58</v>
      </c>
      <c r="IO39" s="48" t="s">
        <v>58</v>
      </c>
      <c r="IP39" s="45" t="str">
        <f>IF(IO39&lt;&gt;"",VLOOKUP(IO39,'TABEL KONVERSI'!$A$19:$B$23,2,0),"")</f>
        <v>-</v>
      </c>
      <c r="IQ39" s="49" t="s">
        <v>58</v>
      </c>
      <c r="IR39" s="50" t="s">
        <v>58</v>
      </c>
      <c r="IS39" s="45" t="str">
        <f>IF(IR39&lt;&gt;"",VLOOKUP(IR39,'TABEL KONVERSI'!$A$19:$B$23,2,0),"")</f>
        <v>-</v>
      </c>
      <c r="IT39" s="49" t="s">
        <v>58</v>
      </c>
      <c r="IU39" s="50" t="s">
        <v>58</v>
      </c>
      <c r="IV39" s="45" t="str">
        <f>IF(IU39&lt;&gt;"",VLOOKUP(IU39,'TABEL KONVERSI'!$A$19:$B$23,2,0),"")</f>
        <v>-</v>
      </c>
      <c r="IW39" s="48" t="s">
        <v>58</v>
      </c>
      <c r="IX39" s="48" t="s">
        <v>58</v>
      </c>
      <c r="IY39" s="48" t="s">
        <v>58</v>
      </c>
      <c r="IZ39" s="47" t="s">
        <v>58</v>
      </c>
      <c r="JA39" s="45">
        <f t="shared" si="32"/>
        <v>0</v>
      </c>
      <c r="JB39" s="45">
        <f t="shared" si="33"/>
        <v>1</v>
      </c>
    </row>
    <row r="40" spans="1:262" x14ac:dyDescent="0.25">
      <c r="A40" s="33">
        <v>28</v>
      </c>
      <c r="B40" s="51"/>
      <c r="C40" s="51"/>
      <c r="D40" s="77"/>
      <c r="E40" s="52"/>
      <c r="F40" s="42"/>
      <c r="G40" s="37"/>
      <c r="H40" s="73"/>
      <c r="I40" s="73"/>
      <c r="J40" s="38" t="str">
        <f t="shared" si="34"/>
        <v/>
      </c>
      <c r="K40" s="38" t="str">
        <f t="shared" si="35"/>
        <v/>
      </c>
      <c r="L40" s="38" t="str">
        <f>IF(J40&lt;&gt;"",IF(AND(J40&gt;='TABEL KONVERSI'!$B$3,'ENTRY DATA'!J40&lt;='TABEL KONVERSI'!$C$3),1,IF(AND(J40&gt;='TABEL KONVERSI'!$B$4,'ENTRY DATA'!J40&lt;='TABEL KONVERSI'!$C$4),2,IF(AND(J40&gt;='TABEL KONVERSI'!$B$5,'ENTRY DATA'!J40&lt;='TABEL KONVERSI'!$C$5),3,IF(AND(J40&gt;='TABEL KONVERSI'!$B$6,'ENTRY DATA'!J40&lt;='TABEL KONVERSI'!$C$6),4,"")))),"-")</f>
        <v>-</v>
      </c>
      <c r="M40" s="38" t="str">
        <f>IF(K40&lt;&gt;"",IF(AND(K40&gt;='TABEL KONVERSI'!$B$3,'ENTRY DATA'!K40&lt;='TABEL KONVERSI'!$C$3),1,IF(AND(K40&gt;='TABEL KONVERSI'!$B$4,'ENTRY DATA'!K40&lt;='TABEL KONVERSI'!$C$4),2,IF(AND(K40&gt;='TABEL KONVERSI'!$B$5,'ENTRY DATA'!K40&lt;='TABEL KONVERSI'!$C$5),3,IF(AND(K40&gt;='TABEL KONVERSI'!$B$6,'ENTRY DATA'!K40&lt;='TABEL KONVERSI'!$C$6),4,"")))),"-")</f>
        <v>-</v>
      </c>
      <c r="N40" s="38" t="str">
        <f t="shared" si="36"/>
        <v>-</v>
      </c>
      <c r="O40" s="38" t="str">
        <f>VLOOKUP(L40,'TABEL KONVERSI'!$A$3:$D$7,4)</f>
        <v>-</v>
      </c>
      <c r="P40" s="38" t="str">
        <f t="shared" si="37"/>
        <v>-</v>
      </c>
      <c r="Q40" s="38" t="str">
        <f>VLOOKUP(M40,'TABEL KONVERSI'!$A$3:$D$7,4)</f>
        <v>-</v>
      </c>
      <c r="R40" s="42"/>
      <c r="S40" s="37"/>
      <c r="T40" s="73"/>
      <c r="U40" s="73"/>
      <c r="V40" s="38" t="str">
        <f t="shared" si="38"/>
        <v/>
      </c>
      <c r="W40" s="38" t="str">
        <f t="shared" si="39"/>
        <v/>
      </c>
      <c r="X40" s="38" t="str">
        <f>IF(V40&lt;&gt;"",IF(AND(V40&gt;='TABEL KONVERSI'!$B$3,'ENTRY DATA'!V40&lt;='TABEL KONVERSI'!$C$3),1,IF(AND(V40&gt;='TABEL KONVERSI'!$B$4,'ENTRY DATA'!V40&lt;='TABEL KONVERSI'!$C$4),2,IF(AND(V40&gt;='TABEL KONVERSI'!$B$5,'ENTRY DATA'!V40&lt;='TABEL KONVERSI'!$C$5),3,IF(AND(V40&gt;='TABEL KONVERSI'!$B$6,'ENTRY DATA'!V40&lt;='TABEL KONVERSI'!$C$6),4,"")))),"-")</f>
        <v>-</v>
      </c>
      <c r="Y40" s="38" t="str">
        <f>IF(W40&lt;&gt;"",IF(AND(W40&gt;='TABEL KONVERSI'!$B$3,'ENTRY DATA'!W40&lt;='TABEL KONVERSI'!$C$3),1,IF(AND(W40&gt;='TABEL KONVERSI'!$B$4,'ENTRY DATA'!W40&lt;='TABEL KONVERSI'!$C$4),2,IF(AND(W40&gt;='TABEL KONVERSI'!$B$5,'ENTRY DATA'!W40&lt;='TABEL KONVERSI'!$C$5),3,IF(AND(W40&gt;='TABEL KONVERSI'!$B$6,'ENTRY DATA'!W40&lt;='TABEL KONVERSI'!$C$6),4,"")))),"-")</f>
        <v>-</v>
      </c>
      <c r="Z40" s="38" t="str">
        <f t="shared" si="40"/>
        <v>-</v>
      </c>
      <c r="AA40" s="38" t="str">
        <f>VLOOKUP(X40,'TABEL KONVERSI'!$A$3:$D$7,4)</f>
        <v>-</v>
      </c>
      <c r="AB40" s="38" t="str">
        <f t="shared" si="41"/>
        <v>-</v>
      </c>
      <c r="AC40" s="38" t="str">
        <f>VLOOKUP(Y40,'TABEL KONVERSI'!$A$3:$D$7,4)</f>
        <v>-</v>
      </c>
      <c r="AD40" s="42"/>
      <c r="AE40" s="37"/>
      <c r="AF40" s="73"/>
      <c r="AG40" s="73"/>
      <c r="AH40" s="38" t="str">
        <f t="shared" si="42"/>
        <v/>
      </c>
      <c r="AI40" s="38" t="str">
        <f t="shared" si="43"/>
        <v/>
      </c>
      <c r="AJ40" s="38" t="str">
        <f>IF(AH40&lt;&gt;"",IF(AND(AH40&gt;='TABEL KONVERSI'!$B$3,'ENTRY DATA'!AH40&lt;='TABEL KONVERSI'!$C$3),1,IF(AND(AH40&gt;='TABEL KONVERSI'!$B$4,'ENTRY DATA'!AH40&lt;='TABEL KONVERSI'!$C$4),2,IF(AND(AH40&gt;='TABEL KONVERSI'!$B$5,'ENTRY DATA'!AH40&lt;='TABEL KONVERSI'!$C$5),3,IF(AND(AH40&gt;='TABEL KONVERSI'!$B$6,'ENTRY DATA'!AH40&lt;='TABEL KONVERSI'!$C$6),4,"")))),"-")</f>
        <v>-</v>
      </c>
      <c r="AK40" s="38" t="str">
        <f>IF(AI40&lt;&gt;"",IF(AND(AI40&gt;='TABEL KONVERSI'!$B$3,'ENTRY DATA'!AI40&lt;='TABEL KONVERSI'!$C$3),1,IF(AND(AI40&gt;='TABEL KONVERSI'!$B$4,'ENTRY DATA'!AI40&lt;='TABEL KONVERSI'!$C$4),2,IF(AND(AI40&gt;='TABEL KONVERSI'!$B$5,'ENTRY DATA'!AI40&lt;='TABEL KONVERSI'!$C$5),3,IF(AND(AI40&gt;='TABEL KONVERSI'!$B$6,'ENTRY DATA'!AI40&lt;='TABEL KONVERSI'!$C$6),4,"")))),"-")</f>
        <v>-</v>
      </c>
      <c r="AL40" s="38" t="str">
        <f t="shared" si="44"/>
        <v>-</v>
      </c>
      <c r="AM40" s="38" t="str">
        <f>VLOOKUP(AJ40,'TABEL KONVERSI'!$A$3:$D$7,4)</f>
        <v>-</v>
      </c>
      <c r="AN40" s="38" t="str">
        <f t="shared" si="45"/>
        <v>-</v>
      </c>
      <c r="AO40" s="38" t="str">
        <f>VLOOKUP(AK40,'TABEL KONVERSI'!$A$3:$D$7,4)</f>
        <v>-</v>
      </c>
      <c r="AP40" s="42"/>
      <c r="AQ40" s="37"/>
      <c r="AR40" s="73"/>
      <c r="AS40" s="73"/>
      <c r="AT40" s="38" t="str">
        <f t="shared" si="46"/>
        <v/>
      </c>
      <c r="AU40" s="38" t="str">
        <f t="shared" si="47"/>
        <v/>
      </c>
      <c r="AV40" s="38" t="str">
        <f>IF(AT40&lt;&gt;"",IF(AND(AT40&gt;='TABEL KONVERSI'!$B$3,'ENTRY DATA'!AT40&lt;='TABEL KONVERSI'!$C$3),1,IF(AND(AT40&gt;='TABEL KONVERSI'!$B$4,'ENTRY DATA'!AT40&lt;='TABEL KONVERSI'!$C$4),2,IF(AND(AT40&gt;='TABEL KONVERSI'!$B$5,'ENTRY DATA'!AT40&lt;='TABEL KONVERSI'!$C$5),3,IF(AND(AT40&gt;='TABEL KONVERSI'!$B$6,'ENTRY DATA'!AT40&lt;='TABEL KONVERSI'!$C$6),4,"")))),"-")</f>
        <v>-</v>
      </c>
      <c r="AW40" s="38" t="str">
        <f>IF(AU40&lt;&gt;"",IF(AND(AU40&gt;='TABEL KONVERSI'!$B$3,'ENTRY DATA'!AU40&lt;='TABEL KONVERSI'!$C$3),1,IF(AND(AU40&gt;='TABEL KONVERSI'!$B$4,'ENTRY DATA'!AU40&lt;='TABEL KONVERSI'!$C$4),2,IF(AND(AU40&gt;='TABEL KONVERSI'!$B$5,'ENTRY DATA'!AU40&lt;='TABEL KONVERSI'!$C$5),3,IF(AND(AU40&gt;='TABEL KONVERSI'!$B$6,'ENTRY DATA'!AU40&lt;='TABEL KONVERSI'!$C$6),4,"")))),"-")</f>
        <v>-</v>
      </c>
      <c r="AX40" s="38" t="str">
        <f t="shared" si="48"/>
        <v>-</v>
      </c>
      <c r="AY40" s="38" t="str">
        <f>VLOOKUP(AV40,'TABEL KONVERSI'!$A$3:$D$7,4)</f>
        <v>-</v>
      </c>
      <c r="AZ40" s="38" t="str">
        <f t="shared" si="49"/>
        <v>-</v>
      </c>
      <c r="BA40" s="38" t="str">
        <f>VLOOKUP(AW40,'TABEL KONVERSI'!$A$3:$D$7,4)</f>
        <v>-</v>
      </c>
      <c r="BB40" s="42"/>
      <c r="BC40" s="37"/>
      <c r="BD40" s="73"/>
      <c r="BE40" s="73"/>
      <c r="BF40" s="38" t="str">
        <f t="shared" si="50"/>
        <v/>
      </c>
      <c r="BG40" s="38" t="str">
        <f t="shared" si="51"/>
        <v/>
      </c>
      <c r="BH40" s="38" t="str">
        <f>IF(BF40&lt;&gt;"",IF(AND(BF40&gt;='TABEL KONVERSI'!$B$3,'ENTRY DATA'!BF40&lt;='TABEL KONVERSI'!$C$3),1,IF(AND(BF40&gt;='TABEL KONVERSI'!$B$4,'ENTRY DATA'!BF40&lt;='TABEL KONVERSI'!$C$4),2,IF(AND(BF40&gt;='TABEL KONVERSI'!$B$5,'ENTRY DATA'!BF40&lt;='TABEL KONVERSI'!$C$5),3,IF(AND(BF40&gt;='TABEL KONVERSI'!$B$6,'ENTRY DATA'!BF40&lt;='TABEL KONVERSI'!$C$6),4,"")))),"-")</f>
        <v>-</v>
      </c>
      <c r="BI40" s="38" t="str">
        <f>IF(BG40&lt;&gt;"",IF(AND(BG40&gt;='TABEL KONVERSI'!$B$3,'ENTRY DATA'!BG40&lt;='TABEL KONVERSI'!$C$3),1,IF(AND(BG40&gt;='TABEL KONVERSI'!$B$4,'ENTRY DATA'!BG40&lt;='TABEL KONVERSI'!$C$4),2,IF(AND(BG40&gt;='TABEL KONVERSI'!$B$5,'ENTRY DATA'!BG40&lt;='TABEL KONVERSI'!$C$5),3,IF(AND(BG40&gt;='TABEL KONVERSI'!$B$6,'ENTRY DATA'!BG40&lt;='TABEL KONVERSI'!$C$6),4,"")))),"-")</f>
        <v>-</v>
      </c>
      <c r="BJ40" s="38" t="str">
        <f t="shared" si="52"/>
        <v>-</v>
      </c>
      <c r="BK40" s="38" t="str">
        <f>VLOOKUP(BH40,'TABEL KONVERSI'!$A$3:$D$7,4)</f>
        <v>-</v>
      </c>
      <c r="BL40" s="38" t="str">
        <f t="shared" si="53"/>
        <v>-</v>
      </c>
      <c r="BM40" s="38" t="str">
        <f>VLOOKUP(BI40,'TABEL KONVERSI'!$A$3:$D$7,4)</f>
        <v>-</v>
      </c>
      <c r="BN40" s="42"/>
      <c r="BO40" s="37"/>
      <c r="BP40" s="73"/>
      <c r="BQ40" s="73"/>
      <c r="BR40" s="38" t="str">
        <f t="shared" si="54"/>
        <v/>
      </c>
      <c r="BS40" s="38" t="str">
        <f t="shared" si="55"/>
        <v/>
      </c>
      <c r="BT40" s="38" t="str">
        <f>IF(BR40&lt;&gt;"",IF(AND(BR40&gt;='TABEL KONVERSI'!$B$3,'ENTRY DATA'!BR40&lt;='TABEL KONVERSI'!$C$3),1,IF(AND(BR40&gt;='TABEL KONVERSI'!$B$4,'ENTRY DATA'!BR40&lt;='TABEL KONVERSI'!$C$4),2,IF(AND(BR40&gt;='TABEL KONVERSI'!$B$5,'ENTRY DATA'!BR40&lt;='TABEL KONVERSI'!$C$5),3,IF(AND(BR40&gt;='TABEL KONVERSI'!$B$6,'ENTRY DATA'!BR40&lt;='TABEL KONVERSI'!$C$6),4,"")))),"-")</f>
        <v>-</v>
      </c>
      <c r="BU40" s="38" t="str">
        <f>IF(BS40&lt;&gt;"",IF(AND(BS40&gt;='TABEL KONVERSI'!$B$3,'ENTRY DATA'!BS40&lt;='TABEL KONVERSI'!$C$3),1,IF(AND(BS40&gt;='TABEL KONVERSI'!$B$4,'ENTRY DATA'!BS40&lt;='TABEL KONVERSI'!$C$4),2,IF(AND(BS40&gt;='TABEL KONVERSI'!$B$5,'ENTRY DATA'!BS40&lt;='TABEL KONVERSI'!$C$5),3,IF(AND(BS40&gt;='TABEL KONVERSI'!$B$6,'ENTRY DATA'!BS40&lt;='TABEL KONVERSI'!$C$6),4,"")))),"-")</f>
        <v>-</v>
      </c>
      <c r="BV40" s="38" t="str">
        <f t="shared" si="56"/>
        <v>-</v>
      </c>
      <c r="BW40" s="38" t="str">
        <f>VLOOKUP(BT40,'TABEL KONVERSI'!$A$3:$D$7,4)</f>
        <v>-</v>
      </c>
      <c r="BX40" s="38" t="str">
        <f t="shared" si="57"/>
        <v>-</v>
      </c>
      <c r="BY40" s="38" t="str">
        <f>VLOOKUP(BU40,'TABEL KONVERSI'!$A$3:$D$7,4)</f>
        <v>-</v>
      </c>
      <c r="BZ40" s="42"/>
      <c r="CA40" s="37"/>
      <c r="CB40" s="73"/>
      <c r="CC40" s="73"/>
      <c r="CD40" s="38" t="str">
        <f t="shared" si="58"/>
        <v/>
      </c>
      <c r="CE40" s="38" t="str">
        <f t="shared" si="59"/>
        <v/>
      </c>
      <c r="CF40" s="38" t="str">
        <f>IF(CD40&lt;&gt;"",IF(AND(CD40&gt;='TABEL KONVERSI'!$B$3,'ENTRY DATA'!CD40&lt;='TABEL KONVERSI'!$C$3),1,IF(AND(CD40&gt;='TABEL KONVERSI'!$B$4,'ENTRY DATA'!CD40&lt;='TABEL KONVERSI'!$C$4),2,IF(AND(CD40&gt;='TABEL KONVERSI'!$B$5,'ENTRY DATA'!CD40&lt;='TABEL KONVERSI'!$C$5),3,IF(AND(CD40&gt;='TABEL KONVERSI'!$B$6,'ENTRY DATA'!CD40&lt;='TABEL KONVERSI'!$C$6),4,"")))),"-")</f>
        <v>-</v>
      </c>
      <c r="CG40" s="38" t="str">
        <f>IF(CE40&lt;&gt;"",IF(AND(CE40&gt;='TABEL KONVERSI'!$B$3,'ENTRY DATA'!CE40&lt;='TABEL KONVERSI'!$C$3),1,IF(AND(CE40&gt;='TABEL KONVERSI'!$B$4,'ENTRY DATA'!CE40&lt;='TABEL KONVERSI'!$C$4),2,IF(AND(CE40&gt;='TABEL KONVERSI'!$B$5,'ENTRY DATA'!CE40&lt;='TABEL KONVERSI'!$C$5),3,IF(AND(CE40&gt;='TABEL KONVERSI'!$B$6,'ENTRY DATA'!CE40&lt;='TABEL KONVERSI'!$C$6),4,"")))),"-")</f>
        <v>-</v>
      </c>
      <c r="CH40" s="38" t="str">
        <f t="shared" si="60"/>
        <v>-</v>
      </c>
      <c r="CI40" s="38" t="str">
        <f>VLOOKUP(CF40,'TABEL KONVERSI'!$A$3:$D$7,4)</f>
        <v>-</v>
      </c>
      <c r="CJ40" s="38" t="str">
        <f t="shared" si="61"/>
        <v>-</v>
      </c>
      <c r="CK40" s="38" t="str">
        <f>VLOOKUP(CG40,'TABEL KONVERSI'!$A$3:$D$7,4)</f>
        <v>-</v>
      </c>
      <c r="CL40" s="42"/>
      <c r="CM40" s="37"/>
      <c r="CN40" s="73"/>
      <c r="CO40" s="73"/>
      <c r="CP40" s="38" t="str">
        <f t="shared" si="62"/>
        <v/>
      </c>
      <c r="CQ40" s="38" t="str">
        <f t="shared" si="63"/>
        <v/>
      </c>
      <c r="CR40" s="38" t="str">
        <f>IF(CP40&lt;&gt;"",IF(AND(CP40&gt;='TABEL KONVERSI'!$B$3,'ENTRY DATA'!CP40&lt;='TABEL KONVERSI'!$C$3),1,IF(AND(CP40&gt;='TABEL KONVERSI'!$B$4,'ENTRY DATA'!CP40&lt;='TABEL KONVERSI'!$C$4),2,IF(AND(CP40&gt;='TABEL KONVERSI'!$B$5,'ENTRY DATA'!CP40&lt;='TABEL KONVERSI'!$C$5),3,IF(AND(CP40&gt;='TABEL KONVERSI'!$B$6,'ENTRY DATA'!CP40&lt;='TABEL KONVERSI'!$C$6),4,"")))),"-")</f>
        <v>-</v>
      </c>
      <c r="CS40" s="38" t="str">
        <f>IF(CQ40&lt;&gt;"",IF(AND(CQ40&gt;='TABEL KONVERSI'!$B$3,'ENTRY DATA'!CQ40&lt;='TABEL KONVERSI'!$C$3),1,IF(AND(CQ40&gt;='TABEL KONVERSI'!$B$4,'ENTRY DATA'!CQ40&lt;='TABEL KONVERSI'!$C$4),2,IF(AND(CQ40&gt;='TABEL KONVERSI'!$B$5,'ENTRY DATA'!CQ40&lt;='TABEL KONVERSI'!$C$5),3,IF(AND(CQ40&gt;='TABEL KONVERSI'!$B$6,'ENTRY DATA'!CQ40&lt;='TABEL KONVERSI'!$C$6),4,"")))),"-")</f>
        <v>-</v>
      </c>
      <c r="CT40" s="38" t="str">
        <f t="shared" si="64"/>
        <v>-</v>
      </c>
      <c r="CU40" s="38" t="str">
        <f>VLOOKUP(CR40,'TABEL KONVERSI'!$A$3:$D$7,4)</f>
        <v>-</v>
      </c>
      <c r="CV40" s="38" t="str">
        <f t="shared" si="65"/>
        <v>-</v>
      </c>
      <c r="CW40" s="38" t="str">
        <f>VLOOKUP(CS40,'TABEL KONVERSI'!$A$3:$D$7,4)</f>
        <v>-</v>
      </c>
      <c r="CX40" s="42"/>
      <c r="CY40" s="37"/>
      <c r="CZ40" s="73"/>
      <c r="DA40" s="73"/>
      <c r="DB40" s="38" t="str">
        <f t="shared" si="66"/>
        <v/>
      </c>
      <c r="DC40" s="38" t="str">
        <f t="shared" si="67"/>
        <v/>
      </c>
      <c r="DD40" s="38" t="str">
        <f>IF(DB40&lt;&gt;"",IF(AND(DB40&gt;='TABEL KONVERSI'!$B$3,'ENTRY DATA'!DB40&lt;='TABEL KONVERSI'!$C$3),1,IF(AND(DB40&gt;='TABEL KONVERSI'!$B$4,'ENTRY DATA'!DB40&lt;='TABEL KONVERSI'!$C$4),2,IF(AND(DB40&gt;='TABEL KONVERSI'!$B$5,'ENTRY DATA'!DB40&lt;='TABEL KONVERSI'!$C$5),3,IF(AND(DB40&gt;='TABEL KONVERSI'!$B$6,'ENTRY DATA'!DB40&lt;='TABEL KONVERSI'!$C$6),4,"")))),"-")</f>
        <v>-</v>
      </c>
      <c r="DE40" s="38" t="str">
        <f>IF(DC40&lt;&gt;"",IF(AND(DC40&gt;='TABEL KONVERSI'!$B$3,'ENTRY DATA'!DC40&lt;='TABEL KONVERSI'!$C$3),1,IF(AND(DC40&gt;='TABEL KONVERSI'!$B$4,'ENTRY DATA'!DC40&lt;='TABEL KONVERSI'!$C$4),2,IF(AND(DC40&gt;='TABEL KONVERSI'!$B$5,'ENTRY DATA'!DC40&lt;='TABEL KONVERSI'!$C$5),3,IF(AND(DC40&gt;='TABEL KONVERSI'!$B$6,'ENTRY DATA'!DC40&lt;='TABEL KONVERSI'!$C$6),4,"")))),"-")</f>
        <v>-</v>
      </c>
      <c r="DF40" s="38" t="str">
        <f t="shared" si="68"/>
        <v>-</v>
      </c>
      <c r="DG40" s="38" t="str">
        <f>VLOOKUP(DD40,'TABEL KONVERSI'!$A$3:$D$7,4)</f>
        <v>-</v>
      </c>
      <c r="DH40" s="38" t="str">
        <f t="shared" si="69"/>
        <v>-</v>
      </c>
      <c r="DI40" s="38" t="str">
        <f>VLOOKUP(DE40,'TABEL KONVERSI'!$A$3:$D$7,4)</f>
        <v>-</v>
      </c>
      <c r="DJ40" s="42"/>
      <c r="DK40" s="37"/>
      <c r="DL40" s="73"/>
      <c r="DM40" s="73"/>
      <c r="DN40" s="38" t="str">
        <f t="shared" si="70"/>
        <v/>
      </c>
      <c r="DO40" s="38" t="str">
        <f t="shared" si="71"/>
        <v/>
      </c>
      <c r="DP40" s="38" t="str">
        <f>IF(DN40&lt;&gt;"",IF(AND(DN40&gt;='TABEL KONVERSI'!$B$3,'ENTRY DATA'!DN40&lt;='TABEL KONVERSI'!$C$3),1,IF(AND(DN40&gt;='TABEL KONVERSI'!$B$4,'ENTRY DATA'!DN40&lt;='TABEL KONVERSI'!$C$4),2,IF(AND(DN40&gt;='TABEL KONVERSI'!$B$5,'ENTRY DATA'!DN40&lt;='TABEL KONVERSI'!$C$5),3,IF(AND(DN40&gt;='TABEL KONVERSI'!$B$6,'ENTRY DATA'!DN40&lt;='TABEL KONVERSI'!$C$6),4,"")))),"-")</f>
        <v>-</v>
      </c>
      <c r="DQ40" s="38" t="str">
        <f>IF(DO40&lt;&gt;"",IF(AND(DO40&gt;='TABEL KONVERSI'!$B$3,'ENTRY DATA'!DO40&lt;='TABEL KONVERSI'!$C$3),1,IF(AND(DO40&gt;='TABEL KONVERSI'!$B$4,'ENTRY DATA'!DO40&lt;='TABEL KONVERSI'!$C$4),2,IF(AND(DO40&gt;='TABEL KONVERSI'!$B$5,'ENTRY DATA'!DO40&lt;='TABEL KONVERSI'!$C$5),3,IF(AND(DO40&gt;='TABEL KONVERSI'!$B$6,'ENTRY DATA'!DO40&lt;='TABEL KONVERSI'!$C$6),4,"")))),"-")</f>
        <v>-</v>
      </c>
      <c r="DR40" s="38" t="str">
        <f t="shared" si="72"/>
        <v>-</v>
      </c>
      <c r="DS40" s="38" t="str">
        <f>VLOOKUP(DP40,'TABEL KONVERSI'!$A$3:$D$7,4)</f>
        <v>-</v>
      </c>
      <c r="DT40" s="38" t="str">
        <f t="shared" si="73"/>
        <v>-</v>
      </c>
      <c r="DU40" s="38" t="str">
        <f>VLOOKUP(DQ40,'TABEL KONVERSI'!$A$3:$D$7,4)</f>
        <v>-</v>
      </c>
      <c r="DV40" s="42"/>
      <c r="DW40" s="37"/>
      <c r="DX40" s="73"/>
      <c r="DY40" s="73"/>
      <c r="DZ40" s="38" t="str">
        <f t="shared" si="74"/>
        <v/>
      </c>
      <c r="EA40" s="38" t="str">
        <f t="shared" si="75"/>
        <v/>
      </c>
      <c r="EB40" s="38" t="str">
        <f>IF(DZ40&lt;&gt;"",IF(AND(DZ40&gt;='TABEL KONVERSI'!$B$3,'ENTRY DATA'!DZ40&lt;='TABEL KONVERSI'!$C$3),1,IF(AND(DZ40&gt;='TABEL KONVERSI'!$B$4,'ENTRY DATA'!DZ40&lt;='TABEL KONVERSI'!$C$4),2,IF(AND(DZ40&gt;='TABEL KONVERSI'!$B$5,'ENTRY DATA'!DZ40&lt;='TABEL KONVERSI'!$C$5),3,IF(AND(DZ40&gt;='TABEL KONVERSI'!$B$6,'ENTRY DATA'!DZ40&lt;='TABEL KONVERSI'!$C$6),4,"")))),"-")</f>
        <v>-</v>
      </c>
      <c r="EC40" s="38" t="str">
        <f>IF(EA40&lt;&gt;"",IF(AND(EA40&gt;='TABEL KONVERSI'!$B$3,'ENTRY DATA'!EA40&lt;='TABEL KONVERSI'!$C$3),1,IF(AND(EA40&gt;='TABEL KONVERSI'!$B$4,'ENTRY DATA'!EA40&lt;='TABEL KONVERSI'!$C$4),2,IF(AND(EA40&gt;='TABEL KONVERSI'!$B$5,'ENTRY DATA'!EA40&lt;='TABEL KONVERSI'!$C$5),3,IF(AND(EA40&gt;='TABEL KONVERSI'!$B$6,'ENTRY DATA'!EA40&lt;='TABEL KONVERSI'!$C$6),4,"")))),"-")</f>
        <v>-</v>
      </c>
      <c r="ED40" s="38" t="str">
        <f t="shared" si="76"/>
        <v>-</v>
      </c>
      <c r="EE40" s="38" t="str">
        <f>VLOOKUP(EB40,'TABEL KONVERSI'!$A$3:$D$7,4)</f>
        <v>-</v>
      </c>
      <c r="EF40" s="38" t="str">
        <f t="shared" si="77"/>
        <v>-</v>
      </c>
      <c r="EG40" s="38" t="str">
        <f>VLOOKUP(EC40,'TABEL KONVERSI'!$A$3:$D$7,4)</f>
        <v>-</v>
      </c>
      <c r="EH40" s="42"/>
      <c r="EI40" s="37"/>
      <c r="EJ40" s="73"/>
      <c r="EK40" s="73"/>
      <c r="EL40" s="38" t="str">
        <f t="shared" si="78"/>
        <v/>
      </c>
      <c r="EM40" s="38" t="str">
        <f t="shared" si="79"/>
        <v/>
      </c>
      <c r="EN40" s="38" t="str">
        <f>IF(EL40&lt;&gt;"",IF(AND(EL40&gt;='TABEL KONVERSI'!$B$3,'ENTRY DATA'!EL40&lt;='TABEL KONVERSI'!$C$3),1,IF(AND(EL40&gt;='TABEL KONVERSI'!$B$4,'ENTRY DATA'!EL40&lt;='TABEL KONVERSI'!$C$4),2,IF(AND(EL40&gt;='TABEL KONVERSI'!$B$5,'ENTRY DATA'!EL40&lt;='TABEL KONVERSI'!$C$5),3,IF(AND(EL40&gt;='TABEL KONVERSI'!$B$6,'ENTRY DATA'!EL40&lt;='TABEL KONVERSI'!$C$6),4,"")))),"-")</f>
        <v>-</v>
      </c>
      <c r="EO40" s="38" t="str">
        <f>IF(EM40&lt;&gt;"",IF(AND(EM40&gt;='TABEL KONVERSI'!$B$3,'ENTRY DATA'!EM40&lt;='TABEL KONVERSI'!$C$3),1,IF(AND(EM40&gt;='TABEL KONVERSI'!$B$4,'ENTRY DATA'!EM40&lt;='TABEL KONVERSI'!$C$4),2,IF(AND(EM40&gt;='TABEL KONVERSI'!$B$5,'ENTRY DATA'!EM40&lt;='TABEL KONVERSI'!$C$5),3,IF(AND(EM40&gt;='TABEL KONVERSI'!$B$6,'ENTRY DATA'!EM40&lt;='TABEL KONVERSI'!$C$6),4,"")))),"-")</f>
        <v>-</v>
      </c>
      <c r="EP40" s="38" t="str">
        <f t="shared" si="80"/>
        <v>-</v>
      </c>
      <c r="EQ40" s="38" t="str">
        <f>VLOOKUP(EN40,'TABEL KONVERSI'!$A$3:$D$7,4)</f>
        <v>-</v>
      </c>
      <c r="ER40" s="38" t="str">
        <f t="shared" si="81"/>
        <v>-</v>
      </c>
      <c r="ES40" s="38" t="str">
        <f>VLOOKUP(EO40,'TABEL KONVERSI'!$A$3:$D$7,4)</f>
        <v>-</v>
      </c>
      <c r="ET40" s="42"/>
      <c r="EU40" s="37"/>
      <c r="EV40" s="73"/>
      <c r="EW40" s="73"/>
      <c r="EX40" s="38" t="str">
        <f t="shared" si="82"/>
        <v/>
      </c>
      <c r="EY40" s="38" t="str">
        <f t="shared" si="83"/>
        <v/>
      </c>
      <c r="EZ40" s="38" t="str">
        <f>IF(EX40&lt;&gt;"",IF(AND(EX40&gt;='TABEL KONVERSI'!$B$3,'ENTRY DATA'!EX40&lt;='TABEL KONVERSI'!$C$3),1,IF(AND(EX40&gt;='TABEL KONVERSI'!$B$4,'ENTRY DATA'!EX40&lt;='TABEL KONVERSI'!$C$4),2,IF(AND(EX40&gt;='TABEL KONVERSI'!$B$5,'ENTRY DATA'!EX40&lt;='TABEL KONVERSI'!$C$5),3,IF(AND(EX40&gt;='TABEL KONVERSI'!$B$6,'ENTRY DATA'!EX40&lt;='TABEL KONVERSI'!$C$6),4,"")))),"-")</f>
        <v>-</v>
      </c>
      <c r="FA40" s="38" t="str">
        <f>IF(EY40&lt;&gt;"",IF(AND(EY40&gt;='TABEL KONVERSI'!$B$3,'ENTRY DATA'!EY40&lt;='TABEL KONVERSI'!$C$3),1,IF(AND(EY40&gt;='TABEL KONVERSI'!$B$4,'ENTRY DATA'!EY40&lt;='TABEL KONVERSI'!$C$4),2,IF(AND(EY40&gt;='TABEL KONVERSI'!$B$5,'ENTRY DATA'!EY40&lt;='TABEL KONVERSI'!$C$5),3,IF(AND(EY40&gt;='TABEL KONVERSI'!$B$6,'ENTRY DATA'!EY40&lt;='TABEL KONVERSI'!$C$6),4,"")))),"-")</f>
        <v>-</v>
      </c>
      <c r="FB40" s="38" t="str">
        <f t="shared" si="84"/>
        <v>-</v>
      </c>
      <c r="FC40" s="38" t="str">
        <f>VLOOKUP(EZ40,'TABEL KONVERSI'!$A$3:$D$7,4)</f>
        <v>-</v>
      </c>
      <c r="FD40" s="38" t="str">
        <f t="shared" si="85"/>
        <v>-</v>
      </c>
      <c r="FE40" s="38" t="str">
        <f>VLOOKUP(FA40,'TABEL KONVERSI'!$A$3:$D$7,4)</f>
        <v>-</v>
      </c>
      <c r="FF40" s="42"/>
      <c r="FG40" s="37"/>
      <c r="FH40" s="73"/>
      <c r="FI40" s="73"/>
      <c r="FJ40" s="38" t="str">
        <f t="shared" si="86"/>
        <v/>
      </c>
      <c r="FK40" s="38" t="str">
        <f t="shared" si="87"/>
        <v/>
      </c>
      <c r="FL40" s="38" t="str">
        <f>IF(FJ40&lt;&gt;"",IF(AND(FJ40&gt;='TABEL KONVERSI'!$B$3,'ENTRY DATA'!FJ40&lt;='TABEL KONVERSI'!$C$3),1,IF(AND(FJ40&gt;='TABEL KONVERSI'!$B$4,'ENTRY DATA'!FJ40&lt;='TABEL KONVERSI'!$C$4),2,IF(AND(FJ40&gt;='TABEL KONVERSI'!$B$5,'ENTRY DATA'!FJ40&lt;='TABEL KONVERSI'!$C$5),3,IF(AND(FJ40&gt;='TABEL KONVERSI'!$B$6,'ENTRY DATA'!FJ40&lt;='TABEL KONVERSI'!$C$6),4,"")))),"-")</f>
        <v>-</v>
      </c>
      <c r="FM40" s="38" t="str">
        <f>IF(FK40&lt;&gt;"",IF(AND(FK40&gt;='TABEL KONVERSI'!$B$3,'ENTRY DATA'!FK40&lt;='TABEL KONVERSI'!$C$3),1,IF(AND(FK40&gt;='TABEL KONVERSI'!$B$4,'ENTRY DATA'!FK40&lt;='TABEL KONVERSI'!$C$4),2,IF(AND(FK40&gt;='TABEL KONVERSI'!$B$5,'ENTRY DATA'!FK40&lt;='TABEL KONVERSI'!$C$5),3,IF(AND(FK40&gt;='TABEL KONVERSI'!$B$6,'ENTRY DATA'!FK40&lt;='TABEL KONVERSI'!$C$6),4,"")))),"-")</f>
        <v>-</v>
      </c>
      <c r="FN40" s="38" t="str">
        <f t="shared" si="88"/>
        <v>-</v>
      </c>
      <c r="FO40" s="38" t="str">
        <f>VLOOKUP(FL40,'TABEL KONVERSI'!$A$3:$D$7,4)</f>
        <v>-</v>
      </c>
      <c r="FP40" s="38" t="str">
        <f t="shared" si="89"/>
        <v>-</v>
      </c>
      <c r="FQ40" s="38" t="str">
        <f>VLOOKUP(FM40,'TABEL KONVERSI'!$A$3:$D$7,4)</f>
        <v>-</v>
      </c>
      <c r="FR40" s="42"/>
      <c r="FS40" s="37"/>
      <c r="FT40" s="73"/>
      <c r="FU40" s="73"/>
      <c r="FV40" s="38" t="str">
        <f t="shared" si="90"/>
        <v/>
      </c>
      <c r="FW40" s="38" t="str">
        <f t="shared" si="91"/>
        <v/>
      </c>
      <c r="FX40" s="38" t="str">
        <f>IF(FV40&lt;&gt;"",IF(AND(FV40&gt;='TABEL KONVERSI'!$B$3,'ENTRY DATA'!FV40&lt;='TABEL KONVERSI'!$C$3),1,IF(AND(FV40&gt;='TABEL KONVERSI'!$B$4,'ENTRY DATA'!FV40&lt;='TABEL KONVERSI'!$C$4),2,IF(AND(FV40&gt;='TABEL KONVERSI'!$B$5,'ENTRY DATA'!FV40&lt;='TABEL KONVERSI'!$C$5),3,IF(AND(FV40&gt;='TABEL KONVERSI'!$B$6,'ENTRY DATA'!FV40&lt;='TABEL KONVERSI'!$C$6),4,"")))),"-")</f>
        <v>-</v>
      </c>
      <c r="FY40" s="38" t="str">
        <f>IF(FW40&lt;&gt;"",IF(AND(FW40&gt;='TABEL KONVERSI'!$B$3,'ENTRY DATA'!FW40&lt;='TABEL KONVERSI'!$C$3),1,IF(AND(FW40&gt;='TABEL KONVERSI'!$B$4,'ENTRY DATA'!FW40&lt;='TABEL KONVERSI'!$C$4),2,IF(AND(FW40&gt;='TABEL KONVERSI'!$B$5,'ENTRY DATA'!FW40&lt;='TABEL KONVERSI'!$C$5),3,IF(AND(FW40&gt;='TABEL KONVERSI'!$B$6,'ENTRY DATA'!FW40&lt;='TABEL KONVERSI'!$C$6),4,"")))),"-")</f>
        <v>-</v>
      </c>
      <c r="FZ40" s="38" t="str">
        <f t="shared" si="92"/>
        <v>-</v>
      </c>
      <c r="GA40" s="38" t="str">
        <f>VLOOKUP(FX40,'TABEL KONVERSI'!$A$3:$D$7,4)</f>
        <v>-</v>
      </c>
      <c r="GB40" s="38" t="str">
        <f t="shared" si="93"/>
        <v>-</v>
      </c>
      <c r="GC40" s="38" t="str">
        <f>VLOOKUP(FY40,'TABEL KONVERSI'!$A$3:$D$7,4)</f>
        <v>-</v>
      </c>
      <c r="GD40" s="42"/>
      <c r="GE40" s="37"/>
      <c r="GF40" s="73"/>
      <c r="GG40" s="73"/>
      <c r="GH40" s="38" t="str">
        <f t="shared" si="94"/>
        <v/>
      </c>
      <c r="GI40" s="38" t="str">
        <f t="shared" si="95"/>
        <v/>
      </c>
      <c r="GJ40" s="38" t="str">
        <f>IF(GH40&lt;&gt;"",IF(AND(GH40&gt;='TABEL KONVERSI'!$B$3,'ENTRY DATA'!GH40&lt;='TABEL KONVERSI'!$C$3),1,IF(AND(GH40&gt;='TABEL KONVERSI'!$B$4,'ENTRY DATA'!GH40&lt;='TABEL KONVERSI'!$C$4),2,IF(AND(GH40&gt;='TABEL KONVERSI'!$B$5,'ENTRY DATA'!GH40&lt;='TABEL KONVERSI'!$C$5),3,IF(AND(GH40&gt;='TABEL KONVERSI'!$B$6,'ENTRY DATA'!GH40&lt;='TABEL KONVERSI'!$C$6),4,"")))),"-")</f>
        <v>-</v>
      </c>
      <c r="GK40" s="38" t="str">
        <f>IF(GI40&lt;&gt;"",IF(AND(GI40&gt;='TABEL KONVERSI'!$B$3,'ENTRY DATA'!GI40&lt;='TABEL KONVERSI'!$C$3),1,IF(AND(GI40&gt;='TABEL KONVERSI'!$B$4,'ENTRY DATA'!GI40&lt;='TABEL KONVERSI'!$C$4),2,IF(AND(GI40&gt;='TABEL KONVERSI'!$B$5,'ENTRY DATA'!GI40&lt;='TABEL KONVERSI'!$C$5),3,IF(AND(GI40&gt;='TABEL KONVERSI'!$B$6,'ENTRY DATA'!GI40&lt;='TABEL KONVERSI'!$C$6),4,"")))),"-")</f>
        <v>-</v>
      </c>
      <c r="GL40" s="38" t="str">
        <f t="shared" si="96"/>
        <v>-</v>
      </c>
      <c r="GM40" s="38" t="str">
        <f>VLOOKUP(GJ40,'TABEL KONVERSI'!$A$3:$D$7,4)</f>
        <v>-</v>
      </c>
      <c r="GN40" s="38" t="str">
        <f t="shared" si="97"/>
        <v>-</v>
      </c>
      <c r="GO40" s="38" t="str">
        <f>VLOOKUP(GK40,'TABEL KONVERSI'!$A$3:$D$7,4)</f>
        <v>-</v>
      </c>
      <c r="GP40" s="43">
        <f t="shared" si="0"/>
        <v>0</v>
      </c>
      <c r="GQ40" s="43">
        <f t="shared" si="1"/>
        <v>0</v>
      </c>
      <c r="GR40" s="43">
        <f t="shared" si="2"/>
        <v>0</v>
      </c>
      <c r="GS40" s="43">
        <f t="shared" si="3"/>
        <v>0</v>
      </c>
      <c r="GT40" s="43">
        <f t="shared" si="4"/>
        <v>0</v>
      </c>
      <c r="GU40" s="43">
        <f t="shared" si="5"/>
        <v>0</v>
      </c>
      <c r="GV40" s="43">
        <f t="shared" si="6"/>
        <v>0</v>
      </c>
      <c r="GW40" s="43">
        <f t="shared" si="7"/>
        <v>0</v>
      </c>
      <c r="GX40" s="43">
        <f t="shared" si="8"/>
        <v>0</v>
      </c>
      <c r="GY40" s="43">
        <f t="shared" si="9"/>
        <v>0</v>
      </c>
      <c r="GZ40" s="43">
        <f t="shared" si="10"/>
        <v>0</v>
      </c>
      <c r="HA40" s="43">
        <f t="shared" si="11"/>
        <v>0</v>
      </c>
      <c r="HB40" s="43">
        <f t="shared" si="12"/>
        <v>0</v>
      </c>
      <c r="HC40" s="43">
        <f t="shared" si="13"/>
        <v>0</v>
      </c>
      <c r="HD40" s="43">
        <f t="shared" si="14"/>
        <v>0</v>
      </c>
      <c r="HE40" s="43">
        <f t="shared" si="15"/>
        <v>0</v>
      </c>
      <c r="HF40" s="38">
        <f t="shared" si="98"/>
        <v>0</v>
      </c>
      <c r="HG40" s="38">
        <f t="shared" si="99"/>
        <v>0</v>
      </c>
      <c r="HH40" s="38">
        <f t="shared" si="100"/>
        <v>0</v>
      </c>
      <c r="HI40" s="39">
        <f t="shared" si="101"/>
        <v>0</v>
      </c>
      <c r="HJ40" s="44" t="str">
        <f t="shared" si="102"/>
        <v>-</v>
      </c>
      <c r="HK40" s="45" t="str">
        <f>VLOOKUP(HJ40,'TABEL KONVERSI'!$B$11:$D$15,2,0)</f>
        <v>-</v>
      </c>
      <c r="HL40" s="43">
        <f t="shared" si="16"/>
        <v>0</v>
      </c>
      <c r="HM40" s="43">
        <f t="shared" si="17"/>
        <v>0</v>
      </c>
      <c r="HN40" s="43">
        <f t="shared" si="18"/>
        <v>0</v>
      </c>
      <c r="HO40" s="43">
        <f t="shared" si="19"/>
        <v>0</v>
      </c>
      <c r="HP40" s="43">
        <f t="shared" si="20"/>
        <v>0</v>
      </c>
      <c r="HQ40" s="43">
        <f t="shared" si="21"/>
        <v>0</v>
      </c>
      <c r="HR40" s="43">
        <f t="shared" si="22"/>
        <v>0</v>
      </c>
      <c r="HS40" s="43">
        <f t="shared" si="23"/>
        <v>0</v>
      </c>
      <c r="HT40" s="43">
        <f t="shared" si="24"/>
        <v>0</v>
      </c>
      <c r="HU40" s="43">
        <f t="shared" si="25"/>
        <v>0</v>
      </c>
      <c r="HV40" s="43">
        <f t="shared" si="26"/>
        <v>0</v>
      </c>
      <c r="HW40" s="43">
        <f t="shared" si="27"/>
        <v>0</v>
      </c>
      <c r="HX40" s="43">
        <f t="shared" si="28"/>
        <v>0</v>
      </c>
      <c r="HY40" s="43">
        <f t="shared" si="29"/>
        <v>0</v>
      </c>
      <c r="HZ40" s="43">
        <f t="shared" si="30"/>
        <v>0</v>
      </c>
      <c r="IA40" s="43">
        <f t="shared" si="31"/>
        <v>0</v>
      </c>
      <c r="IB40" s="38">
        <f t="shared" si="103"/>
        <v>0</v>
      </c>
      <c r="IC40" s="38">
        <f t="shared" si="104"/>
        <v>0</v>
      </c>
      <c r="ID40" s="38">
        <f t="shared" si="105"/>
        <v>0</v>
      </c>
      <c r="IE40" s="38">
        <f t="shared" si="106"/>
        <v>0</v>
      </c>
      <c r="IF40" s="46" t="str">
        <f t="shared" si="107"/>
        <v>-</v>
      </c>
      <c r="IG40" s="45" t="str">
        <f>VLOOKUP(IF40,'TABEL KONVERSI'!$B$11:$D$15,3,0)</f>
        <v>-</v>
      </c>
      <c r="IH40" s="40" t="s">
        <v>223</v>
      </c>
      <c r="II40" s="41" t="s">
        <v>106</v>
      </c>
      <c r="IJ40" s="45" t="str">
        <f>IF(II40&lt;&gt;"",VLOOKUP(II40,'TABEL KONVERSI'!$A$19:$B$23,2,0),"")</f>
        <v>Aktif dalam mengikuti kegiatan</v>
      </c>
      <c r="IK40" s="47" t="s">
        <v>58</v>
      </c>
      <c r="IL40" s="50" t="s">
        <v>58</v>
      </c>
      <c r="IM40" s="45" t="str">
        <f>IF(IL40&lt;&gt;"",VLOOKUP(IL40,'TABEL KONVERSI'!$A$19:$B$23,2,0),"")</f>
        <v>-</v>
      </c>
      <c r="IN40" s="49" t="s">
        <v>58</v>
      </c>
      <c r="IO40" s="48" t="s">
        <v>58</v>
      </c>
      <c r="IP40" s="45" t="str">
        <f>IF(IO40&lt;&gt;"",VLOOKUP(IO40,'TABEL KONVERSI'!$A$19:$B$23,2,0),"")</f>
        <v>-</v>
      </c>
      <c r="IQ40" s="49" t="s">
        <v>58</v>
      </c>
      <c r="IR40" s="50" t="s">
        <v>58</v>
      </c>
      <c r="IS40" s="45" t="str">
        <f>IF(IR40&lt;&gt;"",VLOOKUP(IR40,'TABEL KONVERSI'!$A$19:$B$23,2,0),"")</f>
        <v>-</v>
      </c>
      <c r="IT40" s="49" t="s">
        <v>58</v>
      </c>
      <c r="IU40" s="50" t="s">
        <v>58</v>
      </c>
      <c r="IV40" s="45" t="str">
        <f>IF(IU40&lt;&gt;"",VLOOKUP(IU40,'TABEL KONVERSI'!$A$19:$B$23,2,0),"")</f>
        <v>-</v>
      </c>
      <c r="IW40" s="48" t="s">
        <v>58</v>
      </c>
      <c r="IX40" s="48" t="s">
        <v>58</v>
      </c>
      <c r="IY40" s="48" t="s">
        <v>58</v>
      </c>
      <c r="IZ40" s="47" t="s">
        <v>58</v>
      </c>
      <c r="JA40" s="45">
        <f t="shared" si="32"/>
        <v>0</v>
      </c>
      <c r="JB40" s="45">
        <f t="shared" si="33"/>
        <v>1</v>
      </c>
    </row>
    <row r="41" spans="1:262" x14ac:dyDescent="0.25">
      <c r="A41" s="33">
        <v>29</v>
      </c>
      <c r="B41" s="51"/>
      <c r="C41" s="51"/>
      <c r="D41" s="77"/>
      <c r="E41" s="52"/>
      <c r="F41" s="42"/>
      <c r="G41" s="37"/>
      <c r="H41" s="73"/>
      <c r="I41" s="73"/>
      <c r="J41" s="38" t="str">
        <f t="shared" si="34"/>
        <v/>
      </c>
      <c r="K41" s="38" t="str">
        <f t="shared" si="35"/>
        <v/>
      </c>
      <c r="L41" s="38" t="str">
        <f>IF(J41&lt;&gt;"",IF(AND(J41&gt;='TABEL KONVERSI'!$B$3,'ENTRY DATA'!J41&lt;='TABEL KONVERSI'!$C$3),1,IF(AND(J41&gt;='TABEL KONVERSI'!$B$4,'ENTRY DATA'!J41&lt;='TABEL KONVERSI'!$C$4),2,IF(AND(J41&gt;='TABEL KONVERSI'!$B$5,'ENTRY DATA'!J41&lt;='TABEL KONVERSI'!$C$5),3,IF(AND(J41&gt;='TABEL KONVERSI'!$B$6,'ENTRY DATA'!J41&lt;='TABEL KONVERSI'!$C$6),4,"")))),"-")</f>
        <v>-</v>
      </c>
      <c r="M41" s="38" t="str">
        <f>IF(K41&lt;&gt;"",IF(AND(K41&gt;='TABEL KONVERSI'!$B$3,'ENTRY DATA'!K41&lt;='TABEL KONVERSI'!$C$3),1,IF(AND(K41&gt;='TABEL KONVERSI'!$B$4,'ENTRY DATA'!K41&lt;='TABEL KONVERSI'!$C$4),2,IF(AND(K41&gt;='TABEL KONVERSI'!$B$5,'ENTRY DATA'!K41&lt;='TABEL KONVERSI'!$C$5),3,IF(AND(K41&gt;='TABEL KONVERSI'!$B$6,'ENTRY DATA'!K41&lt;='TABEL KONVERSI'!$C$6),4,"")))),"-")</f>
        <v>-</v>
      </c>
      <c r="N41" s="38" t="str">
        <f t="shared" si="36"/>
        <v>-</v>
      </c>
      <c r="O41" s="38" t="str">
        <f>VLOOKUP(L41,'TABEL KONVERSI'!$A$3:$D$7,4)</f>
        <v>-</v>
      </c>
      <c r="P41" s="38" t="str">
        <f t="shared" si="37"/>
        <v>-</v>
      </c>
      <c r="Q41" s="38" t="str">
        <f>VLOOKUP(M41,'TABEL KONVERSI'!$A$3:$D$7,4)</f>
        <v>-</v>
      </c>
      <c r="R41" s="42"/>
      <c r="S41" s="37"/>
      <c r="T41" s="73"/>
      <c r="U41" s="73"/>
      <c r="V41" s="38" t="str">
        <f t="shared" si="38"/>
        <v/>
      </c>
      <c r="W41" s="38" t="str">
        <f t="shared" si="39"/>
        <v/>
      </c>
      <c r="X41" s="38" t="str">
        <f>IF(V41&lt;&gt;"",IF(AND(V41&gt;='TABEL KONVERSI'!$B$3,'ENTRY DATA'!V41&lt;='TABEL KONVERSI'!$C$3),1,IF(AND(V41&gt;='TABEL KONVERSI'!$B$4,'ENTRY DATA'!V41&lt;='TABEL KONVERSI'!$C$4),2,IF(AND(V41&gt;='TABEL KONVERSI'!$B$5,'ENTRY DATA'!V41&lt;='TABEL KONVERSI'!$C$5),3,IF(AND(V41&gt;='TABEL KONVERSI'!$B$6,'ENTRY DATA'!V41&lt;='TABEL KONVERSI'!$C$6),4,"")))),"-")</f>
        <v>-</v>
      </c>
      <c r="Y41" s="38" t="str">
        <f>IF(W41&lt;&gt;"",IF(AND(W41&gt;='TABEL KONVERSI'!$B$3,'ENTRY DATA'!W41&lt;='TABEL KONVERSI'!$C$3),1,IF(AND(W41&gt;='TABEL KONVERSI'!$B$4,'ENTRY DATA'!W41&lt;='TABEL KONVERSI'!$C$4),2,IF(AND(W41&gt;='TABEL KONVERSI'!$B$5,'ENTRY DATA'!W41&lt;='TABEL KONVERSI'!$C$5),3,IF(AND(W41&gt;='TABEL KONVERSI'!$B$6,'ENTRY DATA'!W41&lt;='TABEL KONVERSI'!$C$6),4,"")))),"-")</f>
        <v>-</v>
      </c>
      <c r="Z41" s="38" t="str">
        <f t="shared" si="40"/>
        <v>-</v>
      </c>
      <c r="AA41" s="38" t="str">
        <f>VLOOKUP(X41,'TABEL KONVERSI'!$A$3:$D$7,4)</f>
        <v>-</v>
      </c>
      <c r="AB41" s="38" t="str">
        <f t="shared" si="41"/>
        <v>-</v>
      </c>
      <c r="AC41" s="38" t="str">
        <f>VLOOKUP(Y41,'TABEL KONVERSI'!$A$3:$D$7,4)</f>
        <v>-</v>
      </c>
      <c r="AD41" s="42"/>
      <c r="AE41" s="37"/>
      <c r="AF41" s="73"/>
      <c r="AG41" s="73"/>
      <c r="AH41" s="38" t="str">
        <f t="shared" si="42"/>
        <v/>
      </c>
      <c r="AI41" s="38" t="str">
        <f t="shared" si="43"/>
        <v/>
      </c>
      <c r="AJ41" s="38" t="str">
        <f>IF(AH41&lt;&gt;"",IF(AND(AH41&gt;='TABEL KONVERSI'!$B$3,'ENTRY DATA'!AH41&lt;='TABEL KONVERSI'!$C$3),1,IF(AND(AH41&gt;='TABEL KONVERSI'!$B$4,'ENTRY DATA'!AH41&lt;='TABEL KONVERSI'!$C$4),2,IF(AND(AH41&gt;='TABEL KONVERSI'!$B$5,'ENTRY DATA'!AH41&lt;='TABEL KONVERSI'!$C$5),3,IF(AND(AH41&gt;='TABEL KONVERSI'!$B$6,'ENTRY DATA'!AH41&lt;='TABEL KONVERSI'!$C$6),4,"")))),"-")</f>
        <v>-</v>
      </c>
      <c r="AK41" s="38" t="str">
        <f>IF(AI41&lt;&gt;"",IF(AND(AI41&gt;='TABEL KONVERSI'!$B$3,'ENTRY DATA'!AI41&lt;='TABEL KONVERSI'!$C$3),1,IF(AND(AI41&gt;='TABEL KONVERSI'!$B$4,'ENTRY DATA'!AI41&lt;='TABEL KONVERSI'!$C$4),2,IF(AND(AI41&gt;='TABEL KONVERSI'!$B$5,'ENTRY DATA'!AI41&lt;='TABEL KONVERSI'!$C$5),3,IF(AND(AI41&gt;='TABEL KONVERSI'!$B$6,'ENTRY DATA'!AI41&lt;='TABEL KONVERSI'!$C$6),4,"")))),"-")</f>
        <v>-</v>
      </c>
      <c r="AL41" s="38" t="str">
        <f t="shared" si="44"/>
        <v>-</v>
      </c>
      <c r="AM41" s="38" t="str">
        <f>VLOOKUP(AJ41,'TABEL KONVERSI'!$A$3:$D$7,4)</f>
        <v>-</v>
      </c>
      <c r="AN41" s="38" t="str">
        <f t="shared" si="45"/>
        <v>-</v>
      </c>
      <c r="AO41" s="38" t="str">
        <f>VLOOKUP(AK41,'TABEL KONVERSI'!$A$3:$D$7,4)</f>
        <v>-</v>
      </c>
      <c r="AP41" s="42"/>
      <c r="AQ41" s="37"/>
      <c r="AR41" s="73"/>
      <c r="AS41" s="73"/>
      <c r="AT41" s="38" t="str">
        <f t="shared" si="46"/>
        <v/>
      </c>
      <c r="AU41" s="38" t="str">
        <f t="shared" si="47"/>
        <v/>
      </c>
      <c r="AV41" s="38" t="str">
        <f>IF(AT41&lt;&gt;"",IF(AND(AT41&gt;='TABEL KONVERSI'!$B$3,'ENTRY DATA'!AT41&lt;='TABEL KONVERSI'!$C$3),1,IF(AND(AT41&gt;='TABEL KONVERSI'!$B$4,'ENTRY DATA'!AT41&lt;='TABEL KONVERSI'!$C$4),2,IF(AND(AT41&gt;='TABEL KONVERSI'!$B$5,'ENTRY DATA'!AT41&lt;='TABEL KONVERSI'!$C$5),3,IF(AND(AT41&gt;='TABEL KONVERSI'!$B$6,'ENTRY DATA'!AT41&lt;='TABEL KONVERSI'!$C$6),4,"")))),"-")</f>
        <v>-</v>
      </c>
      <c r="AW41" s="38" t="str">
        <f>IF(AU41&lt;&gt;"",IF(AND(AU41&gt;='TABEL KONVERSI'!$B$3,'ENTRY DATA'!AU41&lt;='TABEL KONVERSI'!$C$3),1,IF(AND(AU41&gt;='TABEL KONVERSI'!$B$4,'ENTRY DATA'!AU41&lt;='TABEL KONVERSI'!$C$4),2,IF(AND(AU41&gt;='TABEL KONVERSI'!$B$5,'ENTRY DATA'!AU41&lt;='TABEL KONVERSI'!$C$5),3,IF(AND(AU41&gt;='TABEL KONVERSI'!$B$6,'ENTRY DATA'!AU41&lt;='TABEL KONVERSI'!$C$6),4,"")))),"-")</f>
        <v>-</v>
      </c>
      <c r="AX41" s="38" t="str">
        <f t="shared" si="48"/>
        <v>-</v>
      </c>
      <c r="AY41" s="38" t="str">
        <f>VLOOKUP(AV41,'TABEL KONVERSI'!$A$3:$D$7,4)</f>
        <v>-</v>
      </c>
      <c r="AZ41" s="38" t="str">
        <f t="shared" si="49"/>
        <v>-</v>
      </c>
      <c r="BA41" s="38" t="str">
        <f>VLOOKUP(AW41,'TABEL KONVERSI'!$A$3:$D$7,4)</f>
        <v>-</v>
      </c>
      <c r="BB41" s="42"/>
      <c r="BC41" s="37"/>
      <c r="BD41" s="73"/>
      <c r="BE41" s="73"/>
      <c r="BF41" s="38" t="str">
        <f t="shared" si="50"/>
        <v/>
      </c>
      <c r="BG41" s="38" t="str">
        <f t="shared" si="51"/>
        <v/>
      </c>
      <c r="BH41" s="38" t="str">
        <f>IF(BF41&lt;&gt;"",IF(AND(BF41&gt;='TABEL KONVERSI'!$B$3,'ENTRY DATA'!BF41&lt;='TABEL KONVERSI'!$C$3),1,IF(AND(BF41&gt;='TABEL KONVERSI'!$B$4,'ENTRY DATA'!BF41&lt;='TABEL KONVERSI'!$C$4),2,IF(AND(BF41&gt;='TABEL KONVERSI'!$B$5,'ENTRY DATA'!BF41&lt;='TABEL KONVERSI'!$C$5),3,IF(AND(BF41&gt;='TABEL KONVERSI'!$B$6,'ENTRY DATA'!BF41&lt;='TABEL KONVERSI'!$C$6),4,"")))),"-")</f>
        <v>-</v>
      </c>
      <c r="BI41" s="38" t="str">
        <f>IF(BG41&lt;&gt;"",IF(AND(BG41&gt;='TABEL KONVERSI'!$B$3,'ENTRY DATA'!BG41&lt;='TABEL KONVERSI'!$C$3),1,IF(AND(BG41&gt;='TABEL KONVERSI'!$B$4,'ENTRY DATA'!BG41&lt;='TABEL KONVERSI'!$C$4),2,IF(AND(BG41&gt;='TABEL KONVERSI'!$B$5,'ENTRY DATA'!BG41&lt;='TABEL KONVERSI'!$C$5),3,IF(AND(BG41&gt;='TABEL KONVERSI'!$B$6,'ENTRY DATA'!BG41&lt;='TABEL KONVERSI'!$C$6),4,"")))),"-")</f>
        <v>-</v>
      </c>
      <c r="BJ41" s="38" t="str">
        <f t="shared" si="52"/>
        <v>-</v>
      </c>
      <c r="BK41" s="38" t="str">
        <f>VLOOKUP(BH41,'TABEL KONVERSI'!$A$3:$D$7,4)</f>
        <v>-</v>
      </c>
      <c r="BL41" s="38" t="str">
        <f t="shared" si="53"/>
        <v>-</v>
      </c>
      <c r="BM41" s="38" t="str">
        <f>VLOOKUP(BI41,'TABEL KONVERSI'!$A$3:$D$7,4)</f>
        <v>-</v>
      </c>
      <c r="BN41" s="42"/>
      <c r="BO41" s="37"/>
      <c r="BP41" s="73"/>
      <c r="BQ41" s="73"/>
      <c r="BR41" s="38" t="str">
        <f t="shared" si="54"/>
        <v/>
      </c>
      <c r="BS41" s="38" t="str">
        <f t="shared" si="55"/>
        <v/>
      </c>
      <c r="BT41" s="38" t="str">
        <f>IF(BR41&lt;&gt;"",IF(AND(BR41&gt;='TABEL KONVERSI'!$B$3,'ENTRY DATA'!BR41&lt;='TABEL KONVERSI'!$C$3),1,IF(AND(BR41&gt;='TABEL KONVERSI'!$B$4,'ENTRY DATA'!BR41&lt;='TABEL KONVERSI'!$C$4),2,IF(AND(BR41&gt;='TABEL KONVERSI'!$B$5,'ENTRY DATA'!BR41&lt;='TABEL KONVERSI'!$C$5),3,IF(AND(BR41&gt;='TABEL KONVERSI'!$B$6,'ENTRY DATA'!BR41&lt;='TABEL KONVERSI'!$C$6),4,"")))),"-")</f>
        <v>-</v>
      </c>
      <c r="BU41" s="38" t="str">
        <f>IF(BS41&lt;&gt;"",IF(AND(BS41&gt;='TABEL KONVERSI'!$B$3,'ENTRY DATA'!BS41&lt;='TABEL KONVERSI'!$C$3),1,IF(AND(BS41&gt;='TABEL KONVERSI'!$B$4,'ENTRY DATA'!BS41&lt;='TABEL KONVERSI'!$C$4),2,IF(AND(BS41&gt;='TABEL KONVERSI'!$B$5,'ENTRY DATA'!BS41&lt;='TABEL KONVERSI'!$C$5),3,IF(AND(BS41&gt;='TABEL KONVERSI'!$B$6,'ENTRY DATA'!BS41&lt;='TABEL KONVERSI'!$C$6),4,"")))),"-")</f>
        <v>-</v>
      </c>
      <c r="BV41" s="38" t="str">
        <f t="shared" si="56"/>
        <v>-</v>
      </c>
      <c r="BW41" s="38" t="str">
        <f>VLOOKUP(BT41,'TABEL KONVERSI'!$A$3:$D$7,4)</f>
        <v>-</v>
      </c>
      <c r="BX41" s="38" t="str">
        <f t="shared" si="57"/>
        <v>-</v>
      </c>
      <c r="BY41" s="38" t="str">
        <f>VLOOKUP(BU41,'TABEL KONVERSI'!$A$3:$D$7,4)</f>
        <v>-</v>
      </c>
      <c r="BZ41" s="42"/>
      <c r="CA41" s="37"/>
      <c r="CB41" s="73"/>
      <c r="CC41" s="73"/>
      <c r="CD41" s="38" t="str">
        <f t="shared" si="58"/>
        <v/>
      </c>
      <c r="CE41" s="38" t="str">
        <f t="shared" si="59"/>
        <v/>
      </c>
      <c r="CF41" s="38" t="str">
        <f>IF(CD41&lt;&gt;"",IF(AND(CD41&gt;='TABEL KONVERSI'!$B$3,'ENTRY DATA'!CD41&lt;='TABEL KONVERSI'!$C$3),1,IF(AND(CD41&gt;='TABEL KONVERSI'!$B$4,'ENTRY DATA'!CD41&lt;='TABEL KONVERSI'!$C$4),2,IF(AND(CD41&gt;='TABEL KONVERSI'!$B$5,'ENTRY DATA'!CD41&lt;='TABEL KONVERSI'!$C$5),3,IF(AND(CD41&gt;='TABEL KONVERSI'!$B$6,'ENTRY DATA'!CD41&lt;='TABEL KONVERSI'!$C$6),4,"")))),"-")</f>
        <v>-</v>
      </c>
      <c r="CG41" s="38" t="str">
        <f>IF(CE41&lt;&gt;"",IF(AND(CE41&gt;='TABEL KONVERSI'!$B$3,'ENTRY DATA'!CE41&lt;='TABEL KONVERSI'!$C$3),1,IF(AND(CE41&gt;='TABEL KONVERSI'!$B$4,'ENTRY DATA'!CE41&lt;='TABEL KONVERSI'!$C$4),2,IF(AND(CE41&gt;='TABEL KONVERSI'!$B$5,'ENTRY DATA'!CE41&lt;='TABEL KONVERSI'!$C$5),3,IF(AND(CE41&gt;='TABEL KONVERSI'!$B$6,'ENTRY DATA'!CE41&lt;='TABEL KONVERSI'!$C$6),4,"")))),"-")</f>
        <v>-</v>
      </c>
      <c r="CH41" s="38" t="str">
        <f t="shared" si="60"/>
        <v>-</v>
      </c>
      <c r="CI41" s="38" t="str">
        <f>VLOOKUP(CF41,'TABEL KONVERSI'!$A$3:$D$7,4)</f>
        <v>-</v>
      </c>
      <c r="CJ41" s="38" t="str">
        <f t="shared" si="61"/>
        <v>-</v>
      </c>
      <c r="CK41" s="38" t="str">
        <f>VLOOKUP(CG41,'TABEL KONVERSI'!$A$3:$D$7,4)</f>
        <v>-</v>
      </c>
      <c r="CL41" s="42"/>
      <c r="CM41" s="37"/>
      <c r="CN41" s="73"/>
      <c r="CO41" s="73"/>
      <c r="CP41" s="38" t="str">
        <f t="shared" si="62"/>
        <v/>
      </c>
      <c r="CQ41" s="38" t="str">
        <f t="shared" si="63"/>
        <v/>
      </c>
      <c r="CR41" s="38" t="str">
        <f>IF(CP41&lt;&gt;"",IF(AND(CP41&gt;='TABEL KONVERSI'!$B$3,'ENTRY DATA'!CP41&lt;='TABEL KONVERSI'!$C$3),1,IF(AND(CP41&gt;='TABEL KONVERSI'!$B$4,'ENTRY DATA'!CP41&lt;='TABEL KONVERSI'!$C$4),2,IF(AND(CP41&gt;='TABEL KONVERSI'!$B$5,'ENTRY DATA'!CP41&lt;='TABEL KONVERSI'!$C$5),3,IF(AND(CP41&gt;='TABEL KONVERSI'!$B$6,'ENTRY DATA'!CP41&lt;='TABEL KONVERSI'!$C$6),4,"")))),"-")</f>
        <v>-</v>
      </c>
      <c r="CS41" s="38" t="str">
        <f>IF(CQ41&lt;&gt;"",IF(AND(CQ41&gt;='TABEL KONVERSI'!$B$3,'ENTRY DATA'!CQ41&lt;='TABEL KONVERSI'!$C$3),1,IF(AND(CQ41&gt;='TABEL KONVERSI'!$B$4,'ENTRY DATA'!CQ41&lt;='TABEL KONVERSI'!$C$4),2,IF(AND(CQ41&gt;='TABEL KONVERSI'!$B$5,'ENTRY DATA'!CQ41&lt;='TABEL KONVERSI'!$C$5),3,IF(AND(CQ41&gt;='TABEL KONVERSI'!$B$6,'ENTRY DATA'!CQ41&lt;='TABEL KONVERSI'!$C$6),4,"")))),"-")</f>
        <v>-</v>
      </c>
      <c r="CT41" s="38" t="str">
        <f t="shared" si="64"/>
        <v>-</v>
      </c>
      <c r="CU41" s="38" t="str">
        <f>VLOOKUP(CR41,'TABEL KONVERSI'!$A$3:$D$7,4)</f>
        <v>-</v>
      </c>
      <c r="CV41" s="38" t="str">
        <f t="shared" si="65"/>
        <v>-</v>
      </c>
      <c r="CW41" s="38" t="str">
        <f>VLOOKUP(CS41,'TABEL KONVERSI'!$A$3:$D$7,4)</f>
        <v>-</v>
      </c>
      <c r="CX41" s="42"/>
      <c r="CY41" s="37"/>
      <c r="CZ41" s="73"/>
      <c r="DA41" s="73"/>
      <c r="DB41" s="38" t="str">
        <f t="shared" si="66"/>
        <v/>
      </c>
      <c r="DC41" s="38" t="str">
        <f t="shared" si="67"/>
        <v/>
      </c>
      <c r="DD41" s="38" t="str">
        <f>IF(DB41&lt;&gt;"",IF(AND(DB41&gt;='TABEL KONVERSI'!$B$3,'ENTRY DATA'!DB41&lt;='TABEL KONVERSI'!$C$3),1,IF(AND(DB41&gt;='TABEL KONVERSI'!$B$4,'ENTRY DATA'!DB41&lt;='TABEL KONVERSI'!$C$4),2,IF(AND(DB41&gt;='TABEL KONVERSI'!$B$5,'ENTRY DATA'!DB41&lt;='TABEL KONVERSI'!$C$5),3,IF(AND(DB41&gt;='TABEL KONVERSI'!$B$6,'ENTRY DATA'!DB41&lt;='TABEL KONVERSI'!$C$6),4,"")))),"-")</f>
        <v>-</v>
      </c>
      <c r="DE41" s="38" t="str">
        <f>IF(DC41&lt;&gt;"",IF(AND(DC41&gt;='TABEL KONVERSI'!$B$3,'ENTRY DATA'!DC41&lt;='TABEL KONVERSI'!$C$3),1,IF(AND(DC41&gt;='TABEL KONVERSI'!$B$4,'ENTRY DATA'!DC41&lt;='TABEL KONVERSI'!$C$4),2,IF(AND(DC41&gt;='TABEL KONVERSI'!$B$5,'ENTRY DATA'!DC41&lt;='TABEL KONVERSI'!$C$5),3,IF(AND(DC41&gt;='TABEL KONVERSI'!$B$6,'ENTRY DATA'!DC41&lt;='TABEL KONVERSI'!$C$6),4,"")))),"-")</f>
        <v>-</v>
      </c>
      <c r="DF41" s="38" t="str">
        <f t="shared" si="68"/>
        <v>-</v>
      </c>
      <c r="DG41" s="38" t="str">
        <f>VLOOKUP(DD41,'TABEL KONVERSI'!$A$3:$D$7,4)</f>
        <v>-</v>
      </c>
      <c r="DH41" s="38" t="str">
        <f t="shared" si="69"/>
        <v>-</v>
      </c>
      <c r="DI41" s="38" t="str">
        <f>VLOOKUP(DE41,'TABEL KONVERSI'!$A$3:$D$7,4)</f>
        <v>-</v>
      </c>
      <c r="DJ41" s="42"/>
      <c r="DK41" s="37"/>
      <c r="DL41" s="73"/>
      <c r="DM41" s="73"/>
      <c r="DN41" s="38" t="str">
        <f t="shared" si="70"/>
        <v/>
      </c>
      <c r="DO41" s="38" t="str">
        <f t="shared" si="71"/>
        <v/>
      </c>
      <c r="DP41" s="38" t="str">
        <f>IF(DN41&lt;&gt;"",IF(AND(DN41&gt;='TABEL KONVERSI'!$B$3,'ENTRY DATA'!DN41&lt;='TABEL KONVERSI'!$C$3),1,IF(AND(DN41&gt;='TABEL KONVERSI'!$B$4,'ENTRY DATA'!DN41&lt;='TABEL KONVERSI'!$C$4),2,IF(AND(DN41&gt;='TABEL KONVERSI'!$B$5,'ENTRY DATA'!DN41&lt;='TABEL KONVERSI'!$C$5),3,IF(AND(DN41&gt;='TABEL KONVERSI'!$B$6,'ENTRY DATA'!DN41&lt;='TABEL KONVERSI'!$C$6),4,"")))),"-")</f>
        <v>-</v>
      </c>
      <c r="DQ41" s="38" t="str">
        <f>IF(DO41&lt;&gt;"",IF(AND(DO41&gt;='TABEL KONVERSI'!$B$3,'ENTRY DATA'!DO41&lt;='TABEL KONVERSI'!$C$3),1,IF(AND(DO41&gt;='TABEL KONVERSI'!$B$4,'ENTRY DATA'!DO41&lt;='TABEL KONVERSI'!$C$4),2,IF(AND(DO41&gt;='TABEL KONVERSI'!$B$5,'ENTRY DATA'!DO41&lt;='TABEL KONVERSI'!$C$5),3,IF(AND(DO41&gt;='TABEL KONVERSI'!$B$6,'ENTRY DATA'!DO41&lt;='TABEL KONVERSI'!$C$6),4,"")))),"-")</f>
        <v>-</v>
      </c>
      <c r="DR41" s="38" t="str">
        <f t="shared" si="72"/>
        <v>-</v>
      </c>
      <c r="DS41" s="38" t="str">
        <f>VLOOKUP(DP41,'TABEL KONVERSI'!$A$3:$D$7,4)</f>
        <v>-</v>
      </c>
      <c r="DT41" s="38" t="str">
        <f t="shared" si="73"/>
        <v>-</v>
      </c>
      <c r="DU41" s="38" t="str">
        <f>VLOOKUP(DQ41,'TABEL KONVERSI'!$A$3:$D$7,4)</f>
        <v>-</v>
      </c>
      <c r="DV41" s="42"/>
      <c r="DW41" s="37"/>
      <c r="DX41" s="73"/>
      <c r="DY41" s="73"/>
      <c r="DZ41" s="38" t="str">
        <f t="shared" si="74"/>
        <v/>
      </c>
      <c r="EA41" s="38" t="str">
        <f t="shared" si="75"/>
        <v/>
      </c>
      <c r="EB41" s="38" t="str">
        <f>IF(DZ41&lt;&gt;"",IF(AND(DZ41&gt;='TABEL KONVERSI'!$B$3,'ENTRY DATA'!DZ41&lt;='TABEL KONVERSI'!$C$3),1,IF(AND(DZ41&gt;='TABEL KONVERSI'!$B$4,'ENTRY DATA'!DZ41&lt;='TABEL KONVERSI'!$C$4),2,IF(AND(DZ41&gt;='TABEL KONVERSI'!$B$5,'ENTRY DATA'!DZ41&lt;='TABEL KONVERSI'!$C$5),3,IF(AND(DZ41&gt;='TABEL KONVERSI'!$B$6,'ENTRY DATA'!DZ41&lt;='TABEL KONVERSI'!$C$6),4,"")))),"-")</f>
        <v>-</v>
      </c>
      <c r="EC41" s="38" t="str">
        <f>IF(EA41&lt;&gt;"",IF(AND(EA41&gt;='TABEL KONVERSI'!$B$3,'ENTRY DATA'!EA41&lt;='TABEL KONVERSI'!$C$3),1,IF(AND(EA41&gt;='TABEL KONVERSI'!$B$4,'ENTRY DATA'!EA41&lt;='TABEL KONVERSI'!$C$4),2,IF(AND(EA41&gt;='TABEL KONVERSI'!$B$5,'ENTRY DATA'!EA41&lt;='TABEL KONVERSI'!$C$5),3,IF(AND(EA41&gt;='TABEL KONVERSI'!$B$6,'ENTRY DATA'!EA41&lt;='TABEL KONVERSI'!$C$6),4,"")))),"-")</f>
        <v>-</v>
      </c>
      <c r="ED41" s="38" t="str">
        <f t="shared" si="76"/>
        <v>-</v>
      </c>
      <c r="EE41" s="38" t="str">
        <f>VLOOKUP(EB41,'TABEL KONVERSI'!$A$3:$D$7,4)</f>
        <v>-</v>
      </c>
      <c r="EF41" s="38" t="str">
        <f t="shared" si="77"/>
        <v>-</v>
      </c>
      <c r="EG41" s="38" t="str">
        <f>VLOOKUP(EC41,'TABEL KONVERSI'!$A$3:$D$7,4)</f>
        <v>-</v>
      </c>
      <c r="EH41" s="42"/>
      <c r="EI41" s="37"/>
      <c r="EJ41" s="73"/>
      <c r="EK41" s="73"/>
      <c r="EL41" s="38" t="str">
        <f t="shared" si="78"/>
        <v/>
      </c>
      <c r="EM41" s="38" t="str">
        <f t="shared" si="79"/>
        <v/>
      </c>
      <c r="EN41" s="38" t="str">
        <f>IF(EL41&lt;&gt;"",IF(AND(EL41&gt;='TABEL KONVERSI'!$B$3,'ENTRY DATA'!EL41&lt;='TABEL KONVERSI'!$C$3),1,IF(AND(EL41&gt;='TABEL KONVERSI'!$B$4,'ENTRY DATA'!EL41&lt;='TABEL KONVERSI'!$C$4),2,IF(AND(EL41&gt;='TABEL KONVERSI'!$B$5,'ENTRY DATA'!EL41&lt;='TABEL KONVERSI'!$C$5),3,IF(AND(EL41&gt;='TABEL KONVERSI'!$B$6,'ENTRY DATA'!EL41&lt;='TABEL KONVERSI'!$C$6),4,"")))),"-")</f>
        <v>-</v>
      </c>
      <c r="EO41" s="38" t="str">
        <f>IF(EM41&lt;&gt;"",IF(AND(EM41&gt;='TABEL KONVERSI'!$B$3,'ENTRY DATA'!EM41&lt;='TABEL KONVERSI'!$C$3),1,IF(AND(EM41&gt;='TABEL KONVERSI'!$B$4,'ENTRY DATA'!EM41&lt;='TABEL KONVERSI'!$C$4),2,IF(AND(EM41&gt;='TABEL KONVERSI'!$B$5,'ENTRY DATA'!EM41&lt;='TABEL KONVERSI'!$C$5),3,IF(AND(EM41&gt;='TABEL KONVERSI'!$B$6,'ENTRY DATA'!EM41&lt;='TABEL KONVERSI'!$C$6),4,"")))),"-")</f>
        <v>-</v>
      </c>
      <c r="EP41" s="38" t="str">
        <f t="shared" si="80"/>
        <v>-</v>
      </c>
      <c r="EQ41" s="38" t="str">
        <f>VLOOKUP(EN41,'TABEL KONVERSI'!$A$3:$D$7,4)</f>
        <v>-</v>
      </c>
      <c r="ER41" s="38" t="str">
        <f t="shared" si="81"/>
        <v>-</v>
      </c>
      <c r="ES41" s="38" t="str">
        <f>VLOOKUP(EO41,'TABEL KONVERSI'!$A$3:$D$7,4)</f>
        <v>-</v>
      </c>
      <c r="ET41" s="42"/>
      <c r="EU41" s="37"/>
      <c r="EV41" s="73"/>
      <c r="EW41" s="73"/>
      <c r="EX41" s="38" t="str">
        <f t="shared" si="82"/>
        <v/>
      </c>
      <c r="EY41" s="38" t="str">
        <f t="shared" si="83"/>
        <v/>
      </c>
      <c r="EZ41" s="38" t="str">
        <f>IF(EX41&lt;&gt;"",IF(AND(EX41&gt;='TABEL KONVERSI'!$B$3,'ENTRY DATA'!EX41&lt;='TABEL KONVERSI'!$C$3),1,IF(AND(EX41&gt;='TABEL KONVERSI'!$B$4,'ENTRY DATA'!EX41&lt;='TABEL KONVERSI'!$C$4),2,IF(AND(EX41&gt;='TABEL KONVERSI'!$B$5,'ENTRY DATA'!EX41&lt;='TABEL KONVERSI'!$C$5),3,IF(AND(EX41&gt;='TABEL KONVERSI'!$B$6,'ENTRY DATA'!EX41&lt;='TABEL KONVERSI'!$C$6),4,"")))),"-")</f>
        <v>-</v>
      </c>
      <c r="FA41" s="38" t="str">
        <f>IF(EY41&lt;&gt;"",IF(AND(EY41&gt;='TABEL KONVERSI'!$B$3,'ENTRY DATA'!EY41&lt;='TABEL KONVERSI'!$C$3),1,IF(AND(EY41&gt;='TABEL KONVERSI'!$B$4,'ENTRY DATA'!EY41&lt;='TABEL KONVERSI'!$C$4),2,IF(AND(EY41&gt;='TABEL KONVERSI'!$B$5,'ENTRY DATA'!EY41&lt;='TABEL KONVERSI'!$C$5),3,IF(AND(EY41&gt;='TABEL KONVERSI'!$B$6,'ENTRY DATA'!EY41&lt;='TABEL KONVERSI'!$C$6),4,"")))),"-")</f>
        <v>-</v>
      </c>
      <c r="FB41" s="38" t="str">
        <f t="shared" si="84"/>
        <v>-</v>
      </c>
      <c r="FC41" s="38" t="str">
        <f>VLOOKUP(EZ41,'TABEL KONVERSI'!$A$3:$D$7,4)</f>
        <v>-</v>
      </c>
      <c r="FD41" s="38" t="str">
        <f t="shared" si="85"/>
        <v>-</v>
      </c>
      <c r="FE41" s="38" t="str">
        <f>VLOOKUP(FA41,'TABEL KONVERSI'!$A$3:$D$7,4)</f>
        <v>-</v>
      </c>
      <c r="FF41" s="42"/>
      <c r="FG41" s="37"/>
      <c r="FH41" s="73"/>
      <c r="FI41" s="73"/>
      <c r="FJ41" s="38" t="str">
        <f t="shared" si="86"/>
        <v/>
      </c>
      <c r="FK41" s="38" t="str">
        <f t="shared" si="87"/>
        <v/>
      </c>
      <c r="FL41" s="38" t="str">
        <f>IF(FJ41&lt;&gt;"",IF(AND(FJ41&gt;='TABEL KONVERSI'!$B$3,'ENTRY DATA'!FJ41&lt;='TABEL KONVERSI'!$C$3),1,IF(AND(FJ41&gt;='TABEL KONVERSI'!$B$4,'ENTRY DATA'!FJ41&lt;='TABEL KONVERSI'!$C$4),2,IF(AND(FJ41&gt;='TABEL KONVERSI'!$B$5,'ENTRY DATA'!FJ41&lt;='TABEL KONVERSI'!$C$5),3,IF(AND(FJ41&gt;='TABEL KONVERSI'!$B$6,'ENTRY DATA'!FJ41&lt;='TABEL KONVERSI'!$C$6),4,"")))),"-")</f>
        <v>-</v>
      </c>
      <c r="FM41" s="38" t="str">
        <f>IF(FK41&lt;&gt;"",IF(AND(FK41&gt;='TABEL KONVERSI'!$B$3,'ENTRY DATA'!FK41&lt;='TABEL KONVERSI'!$C$3),1,IF(AND(FK41&gt;='TABEL KONVERSI'!$B$4,'ENTRY DATA'!FK41&lt;='TABEL KONVERSI'!$C$4),2,IF(AND(FK41&gt;='TABEL KONVERSI'!$B$5,'ENTRY DATA'!FK41&lt;='TABEL KONVERSI'!$C$5),3,IF(AND(FK41&gt;='TABEL KONVERSI'!$B$6,'ENTRY DATA'!FK41&lt;='TABEL KONVERSI'!$C$6),4,"")))),"-")</f>
        <v>-</v>
      </c>
      <c r="FN41" s="38" t="str">
        <f t="shared" si="88"/>
        <v>-</v>
      </c>
      <c r="FO41" s="38" t="str">
        <f>VLOOKUP(FL41,'TABEL KONVERSI'!$A$3:$D$7,4)</f>
        <v>-</v>
      </c>
      <c r="FP41" s="38" t="str">
        <f t="shared" si="89"/>
        <v>-</v>
      </c>
      <c r="FQ41" s="38" t="str">
        <f>VLOOKUP(FM41,'TABEL KONVERSI'!$A$3:$D$7,4)</f>
        <v>-</v>
      </c>
      <c r="FR41" s="42"/>
      <c r="FS41" s="37"/>
      <c r="FT41" s="73"/>
      <c r="FU41" s="73"/>
      <c r="FV41" s="38" t="str">
        <f t="shared" si="90"/>
        <v/>
      </c>
      <c r="FW41" s="38" t="str">
        <f t="shared" si="91"/>
        <v/>
      </c>
      <c r="FX41" s="38" t="str">
        <f>IF(FV41&lt;&gt;"",IF(AND(FV41&gt;='TABEL KONVERSI'!$B$3,'ENTRY DATA'!FV41&lt;='TABEL KONVERSI'!$C$3),1,IF(AND(FV41&gt;='TABEL KONVERSI'!$B$4,'ENTRY DATA'!FV41&lt;='TABEL KONVERSI'!$C$4),2,IF(AND(FV41&gt;='TABEL KONVERSI'!$B$5,'ENTRY DATA'!FV41&lt;='TABEL KONVERSI'!$C$5),3,IF(AND(FV41&gt;='TABEL KONVERSI'!$B$6,'ENTRY DATA'!FV41&lt;='TABEL KONVERSI'!$C$6),4,"")))),"-")</f>
        <v>-</v>
      </c>
      <c r="FY41" s="38" t="str">
        <f>IF(FW41&lt;&gt;"",IF(AND(FW41&gt;='TABEL KONVERSI'!$B$3,'ENTRY DATA'!FW41&lt;='TABEL KONVERSI'!$C$3),1,IF(AND(FW41&gt;='TABEL KONVERSI'!$B$4,'ENTRY DATA'!FW41&lt;='TABEL KONVERSI'!$C$4),2,IF(AND(FW41&gt;='TABEL KONVERSI'!$B$5,'ENTRY DATA'!FW41&lt;='TABEL KONVERSI'!$C$5),3,IF(AND(FW41&gt;='TABEL KONVERSI'!$B$6,'ENTRY DATA'!FW41&lt;='TABEL KONVERSI'!$C$6),4,"")))),"-")</f>
        <v>-</v>
      </c>
      <c r="FZ41" s="38" t="str">
        <f t="shared" si="92"/>
        <v>-</v>
      </c>
      <c r="GA41" s="38" t="str">
        <f>VLOOKUP(FX41,'TABEL KONVERSI'!$A$3:$D$7,4)</f>
        <v>-</v>
      </c>
      <c r="GB41" s="38" t="str">
        <f t="shared" si="93"/>
        <v>-</v>
      </c>
      <c r="GC41" s="38" t="str">
        <f>VLOOKUP(FY41,'TABEL KONVERSI'!$A$3:$D$7,4)</f>
        <v>-</v>
      </c>
      <c r="GD41" s="42"/>
      <c r="GE41" s="37"/>
      <c r="GF41" s="73"/>
      <c r="GG41" s="73"/>
      <c r="GH41" s="38" t="str">
        <f t="shared" si="94"/>
        <v/>
      </c>
      <c r="GI41" s="38" t="str">
        <f t="shared" si="95"/>
        <v/>
      </c>
      <c r="GJ41" s="38" t="str">
        <f>IF(GH41&lt;&gt;"",IF(AND(GH41&gt;='TABEL KONVERSI'!$B$3,'ENTRY DATA'!GH41&lt;='TABEL KONVERSI'!$C$3),1,IF(AND(GH41&gt;='TABEL KONVERSI'!$B$4,'ENTRY DATA'!GH41&lt;='TABEL KONVERSI'!$C$4),2,IF(AND(GH41&gt;='TABEL KONVERSI'!$B$5,'ENTRY DATA'!GH41&lt;='TABEL KONVERSI'!$C$5),3,IF(AND(GH41&gt;='TABEL KONVERSI'!$B$6,'ENTRY DATA'!GH41&lt;='TABEL KONVERSI'!$C$6),4,"")))),"-")</f>
        <v>-</v>
      </c>
      <c r="GK41" s="38" t="str">
        <f>IF(GI41&lt;&gt;"",IF(AND(GI41&gt;='TABEL KONVERSI'!$B$3,'ENTRY DATA'!GI41&lt;='TABEL KONVERSI'!$C$3),1,IF(AND(GI41&gt;='TABEL KONVERSI'!$B$4,'ENTRY DATA'!GI41&lt;='TABEL KONVERSI'!$C$4),2,IF(AND(GI41&gt;='TABEL KONVERSI'!$B$5,'ENTRY DATA'!GI41&lt;='TABEL KONVERSI'!$C$5),3,IF(AND(GI41&gt;='TABEL KONVERSI'!$B$6,'ENTRY DATA'!GI41&lt;='TABEL KONVERSI'!$C$6),4,"")))),"-")</f>
        <v>-</v>
      </c>
      <c r="GL41" s="38" t="str">
        <f t="shared" si="96"/>
        <v>-</v>
      </c>
      <c r="GM41" s="38" t="str">
        <f>VLOOKUP(GJ41,'TABEL KONVERSI'!$A$3:$D$7,4)</f>
        <v>-</v>
      </c>
      <c r="GN41" s="38" t="str">
        <f t="shared" si="97"/>
        <v>-</v>
      </c>
      <c r="GO41" s="38" t="str">
        <f>VLOOKUP(GK41,'TABEL KONVERSI'!$A$3:$D$7,4)</f>
        <v>-</v>
      </c>
      <c r="GP41" s="43">
        <f t="shared" si="0"/>
        <v>0</v>
      </c>
      <c r="GQ41" s="43">
        <f t="shared" si="1"/>
        <v>0</v>
      </c>
      <c r="GR41" s="43">
        <f t="shared" si="2"/>
        <v>0</v>
      </c>
      <c r="GS41" s="43">
        <f t="shared" si="3"/>
        <v>0</v>
      </c>
      <c r="GT41" s="43">
        <f t="shared" si="4"/>
        <v>0</v>
      </c>
      <c r="GU41" s="43">
        <f t="shared" si="5"/>
        <v>0</v>
      </c>
      <c r="GV41" s="43">
        <f t="shared" si="6"/>
        <v>0</v>
      </c>
      <c r="GW41" s="43">
        <f t="shared" si="7"/>
        <v>0</v>
      </c>
      <c r="GX41" s="43">
        <f t="shared" si="8"/>
        <v>0</v>
      </c>
      <c r="GY41" s="43">
        <f t="shared" si="9"/>
        <v>0</v>
      </c>
      <c r="GZ41" s="43">
        <f t="shared" si="10"/>
        <v>0</v>
      </c>
      <c r="HA41" s="43">
        <f t="shared" si="11"/>
        <v>0</v>
      </c>
      <c r="HB41" s="43">
        <f t="shared" si="12"/>
        <v>0</v>
      </c>
      <c r="HC41" s="43">
        <f t="shared" si="13"/>
        <v>0</v>
      </c>
      <c r="HD41" s="43">
        <f t="shared" si="14"/>
        <v>0</v>
      </c>
      <c r="HE41" s="43">
        <f t="shared" si="15"/>
        <v>0</v>
      </c>
      <c r="HF41" s="38">
        <f t="shared" si="98"/>
        <v>0</v>
      </c>
      <c r="HG41" s="38">
        <f t="shared" si="99"/>
        <v>0</v>
      </c>
      <c r="HH41" s="38">
        <f t="shared" si="100"/>
        <v>0</v>
      </c>
      <c r="HI41" s="39">
        <f t="shared" si="101"/>
        <v>0</v>
      </c>
      <c r="HJ41" s="44" t="str">
        <f t="shared" si="102"/>
        <v>-</v>
      </c>
      <c r="HK41" s="45" t="str">
        <f>VLOOKUP(HJ41,'TABEL KONVERSI'!$B$11:$D$15,2,0)</f>
        <v>-</v>
      </c>
      <c r="HL41" s="43">
        <f t="shared" si="16"/>
        <v>0</v>
      </c>
      <c r="HM41" s="43">
        <f t="shared" si="17"/>
        <v>0</v>
      </c>
      <c r="HN41" s="43">
        <f t="shared" si="18"/>
        <v>0</v>
      </c>
      <c r="HO41" s="43">
        <f t="shared" si="19"/>
        <v>0</v>
      </c>
      <c r="HP41" s="43">
        <f t="shared" si="20"/>
        <v>0</v>
      </c>
      <c r="HQ41" s="43">
        <f t="shared" si="21"/>
        <v>0</v>
      </c>
      <c r="HR41" s="43">
        <f t="shared" si="22"/>
        <v>0</v>
      </c>
      <c r="HS41" s="43">
        <f t="shared" si="23"/>
        <v>0</v>
      </c>
      <c r="HT41" s="43">
        <f t="shared" si="24"/>
        <v>0</v>
      </c>
      <c r="HU41" s="43">
        <f t="shared" si="25"/>
        <v>0</v>
      </c>
      <c r="HV41" s="43">
        <f t="shared" si="26"/>
        <v>0</v>
      </c>
      <c r="HW41" s="43">
        <f t="shared" si="27"/>
        <v>0</v>
      </c>
      <c r="HX41" s="43">
        <f t="shared" si="28"/>
        <v>0</v>
      </c>
      <c r="HY41" s="43">
        <f t="shared" si="29"/>
        <v>0</v>
      </c>
      <c r="HZ41" s="43">
        <f t="shared" si="30"/>
        <v>0</v>
      </c>
      <c r="IA41" s="43">
        <f t="shared" si="31"/>
        <v>0</v>
      </c>
      <c r="IB41" s="38">
        <f t="shared" si="103"/>
        <v>0</v>
      </c>
      <c r="IC41" s="38">
        <f t="shared" si="104"/>
        <v>0</v>
      </c>
      <c r="ID41" s="38">
        <f t="shared" si="105"/>
        <v>0</v>
      </c>
      <c r="IE41" s="38">
        <f t="shared" si="106"/>
        <v>0</v>
      </c>
      <c r="IF41" s="46" t="str">
        <f t="shared" si="107"/>
        <v>-</v>
      </c>
      <c r="IG41" s="45" t="str">
        <f>VLOOKUP(IF41,'TABEL KONVERSI'!$B$11:$D$15,3,0)</f>
        <v>-</v>
      </c>
      <c r="IH41" s="40" t="s">
        <v>223</v>
      </c>
      <c r="II41" s="41" t="s">
        <v>106</v>
      </c>
      <c r="IJ41" s="45" t="str">
        <f>IF(II41&lt;&gt;"",VLOOKUP(II41,'TABEL KONVERSI'!$A$19:$B$23,2,0),"")</f>
        <v>Aktif dalam mengikuti kegiatan</v>
      </c>
      <c r="IK41" s="47" t="s">
        <v>58</v>
      </c>
      <c r="IL41" s="50" t="s">
        <v>58</v>
      </c>
      <c r="IM41" s="45" t="str">
        <f>IF(IL41&lt;&gt;"",VLOOKUP(IL41,'TABEL KONVERSI'!$A$19:$B$23,2,0),"")</f>
        <v>-</v>
      </c>
      <c r="IN41" s="49" t="s">
        <v>58</v>
      </c>
      <c r="IO41" s="48" t="s">
        <v>58</v>
      </c>
      <c r="IP41" s="45" t="str">
        <f>IF(IO41&lt;&gt;"",VLOOKUP(IO41,'TABEL KONVERSI'!$A$19:$B$23,2,0),"")</f>
        <v>-</v>
      </c>
      <c r="IQ41" s="49" t="s">
        <v>58</v>
      </c>
      <c r="IR41" s="50" t="s">
        <v>58</v>
      </c>
      <c r="IS41" s="45" t="str">
        <f>IF(IR41&lt;&gt;"",VLOOKUP(IR41,'TABEL KONVERSI'!$A$19:$B$23,2,0),"")</f>
        <v>-</v>
      </c>
      <c r="IT41" s="49" t="s">
        <v>58</v>
      </c>
      <c r="IU41" s="50" t="s">
        <v>58</v>
      </c>
      <c r="IV41" s="45" t="str">
        <f>IF(IU41&lt;&gt;"",VLOOKUP(IU41,'TABEL KONVERSI'!$A$19:$B$23,2,0),"")</f>
        <v>-</v>
      </c>
      <c r="IW41" s="48" t="s">
        <v>58</v>
      </c>
      <c r="IX41" s="48" t="s">
        <v>58</v>
      </c>
      <c r="IY41" s="48" t="s">
        <v>58</v>
      </c>
      <c r="IZ41" s="47" t="s">
        <v>58</v>
      </c>
      <c r="JA41" s="45">
        <f t="shared" si="32"/>
        <v>0</v>
      </c>
      <c r="JB41" s="45">
        <f t="shared" si="33"/>
        <v>1</v>
      </c>
    </row>
    <row r="42" spans="1:262" x14ac:dyDescent="0.25">
      <c r="A42" s="33">
        <v>30</v>
      </c>
      <c r="B42" s="51"/>
      <c r="C42" s="51"/>
      <c r="D42" s="77"/>
      <c r="E42" s="52"/>
      <c r="F42" s="42"/>
      <c r="G42" s="37"/>
      <c r="H42" s="73"/>
      <c r="I42" s="73"/>
      <c r="J42" s="38" t="str">
        <f t="shared" si="34"/>
        <v/>
      </c>
      <c r="K42" s="38" t="str">
        <f t="shared" si="35"/>
        <v/>
      </c>
      <c r="L42" s="38" t="str">
        <f>IF(J42&lt;&gt;"",IF(AND(J42&gt;='TABEL KONVERSI'!$B$3,'ENTRY DATA'!J42&lt;='TABEL KONVERSI'!$C$3),1,IF(AND(J42&gt;='TABEL KONVERSI'!$B$4,'ENTRY DATA'!J42&lt;='TABEL KONVERSI'!$C$4),2,IF(AND(J42&gt;='TABEL KONVERSI'!$B$5,'ENTRY DATA'!J42&lt;='TABEL KONVERSI'!$C$5),3,IF(AND(J42&gt;='TABEL KONVERSI'!$B$6,'ENTRY DATA'!J42&lt;='TABEL KONVERSI'!$C$6),4,"")))),"-")</f>
        <v>-</v>
      </c>
      <c r="M42" s="38" t="str">
        <f>IF(K42&lt;&gt;"",IF(AND(K42&gt;='TABEL KONVERSI'!$B$3,'ENTRY DATA'!K42&lt;='TABEL KONVERSI'!$C$3),1,IF(AND(K42&gt;='TABEL KONVERSI'!$B$4,'ENTRY DATA'!K42&lt;='TABEL KONVERSI'!$C$4),2,IF(AND(K42&gt;='TABEL KONVERSI'!$B$5,'ENTRY DATA'!K42&lt;='TABEL KONVERSI'!$C$5),3,IF(AND(K42&gt;='TABEL KONVERSI'!$B$6,'ENTRY DATA'!K42&lt;='TABEL KONVERSI'!$C$6),4,"")))),"-")</f>
        <v>-</v>
      </c>
      <c r="N42" s="38" t="str">
        <f t="shared" si="36"/>
        <v>-</v>
      </c>
      <c r="O42" s="38" t="str">
        <f>VLOOKUP(L42,'TABEL KONVERSI'!$A$3:$D$7,4)</f>
        <v>-</v>
      </c>
      <c r="P42" s="38" t="str">
        <f t="shared" si="37"/>
        <v>-</v>
      </c>
      <c r="Q42" s="38" t="str">
        <f>VLOOKUP(M42,'TABEL KONVERSI'!$A$3:$D$7,4)</f>
        <v>-</v>
      </c>
      <c r="R42" s="42"/>
      <c r="S42" s="37"/>
      <c r="T42" s="73"/>
      <c r="U42" s="73"/>
      <c r="V42" s="38" t="str">
        <f t="shared" si="38"/>
        <v/>
      </c>
      <c r="W42" s="38" t="str">
        <f t="shared" si="39"/>
        <v/>
      </c>
      <c r="X42" s="38" t="str">
        <f>IF(V42&lt;&gt;"",IF(AND(V42&gt;='TABEL KONVERSI'!$B$3,'ENTRY DATA'!V42&lt;='TABEL KONVERSI'!$C$3),1,IF(AND(V42&gt;='TABEL KONVERSI'!$B$4,'ENTRY DATA'!V42&lt;='TABEL KONVERSI'!$C$4),2,IF(AND(V42&gt;='TABEL KONVERSI'!$B$5,'ENTRY DATA'!V42&lt;='TABEL KONVERSI'!$C$5),3,IF(AND(V42&gt;='TABEL KONVERSI'!$B$6,'ENTRY DATA'!V42&lt;='TABEL KONVERSI'!$C$6),4,"")))),"-")</f>
        <v>-</v>
      </c>
      <c r="Y42" s="38" t="str">
        <f>IF(W42&lt;&gt;"",IF(AND(W42&gt;='TABEL KONVERSI'!$B$3,'ENTRY DATA'!W42&lt;='TABEL KONVERSI'!$C$3),1,IF(AND(W42&gt;='TABEL KONVERSI'!$B$4,'ENTRY DATA'!W42&lt;='TABEL KONVERSI'!$C$4),2,IF(AND(W42&gt;='TABEL KONVERSI'!$B$5,'ENTRY DATA'!W42&lt;='TABEL KONVERSI'!$C$5),3,IF(AND(W42&gt;='TABEL KONVERSI'!$B$6,'ENTRY DATA'!W42&lt;='TABEL KONVERSI'!$C$6),4,"")))),"-")</f>
        <v>-</v>
      </c>
      <c r="Z42" s="38" t="str">
        <f t="shared" si="40"/>
        <v>-</v>
      </c>
      <c r="AA42" s="38" t="str">
        <f>VLOOKUP(X42,'TABEL KONVERSI'!$A$3:$D$7,4)</f>
        <v>-</v>
      </c>
      <c r="AB42" s="38" t="str">
        <f t="shared" si="41"/>
        <v>-</v>
      </c>
      <c r="AC42" s="38" t="str">
        <f>VLOOKUP(Y42,'TABEL KONVERSI'!$A$3:$D$7,4)</f>
        <v>-</v>
      </c>
      <c r="AD42" s="42"/>
      <c r="AE42" s="37"/>
      <c r="AF42" s="73"/>
      <c r="AG42" s="73"/>
      <c r="AH42" s="38" t="str">
        <f t="shared" si="42"/>
        <v/>
      </c>
      <c r="AI42" s="38" t="str">
        <f t="shared" si="43"/>
        <v/>
      </c>
      <c r="AJ42" s="38" t="str">
        <f>IF(AH42&lt;&gt;"",IF(AND(AH42&gt;='TABEL KONVERSI'!$B$3,'ENTRY DATA'!AH42&lt;='TABEL KONVERSI'!$C$3),1,IF(AND(AH42&gt;='TABEL KONVERSI'!$B$4,'ENTRY DATA'!AH42&lt;='TABEL KONVERSI'!$C$4),2,IF(AND(AH42&gt;='TABEL KONVERSI'!$B$5,'ENTRY DATA'!AH42&lt;='TABEL KONVERSI'!$C$5),3,IF(AND(AH42&gt;='TABEL KONVERSI'!$B$6,'ENTRY DATA'!AH42&lt;='TABEL KONVERSI'!$C$6),4,"")))),"-")</f>
        <v>-</v>
      </c>
      <c r="AK42" s="38" t="str">
        <f>IF(AI42&lt;&gt;"",IF(AND(AI42&gt;='TABEL KONVERSI'!$B$3,'ENTRY DATA'!AI42&lt;='TABEL KONVERSI'!$C$3),1,IF(AND(AI42&gt;='TABEL KONVERSI'!$B$4,'ENTRY DATA'!AI42&lt;='TABEL KONVERSI'!$C$4),2,IF(AND(AI42&gt;='TABEL KONVERSI'!$B$5,'ENTRY DATA'!AI42&lt;='TABEL KONVERSI'!$C$5),3,IF(AND(AI42&gt;='TABEL KONVERSI'!$B$6,'ENTRY DATA'!AI42&lt;='TABEL KONVERSI'!$C$6),4,"")))),"-")</f>
        <v>-</v>
      </c>
      <c r="AL42" s="38" t="str">
        <f t="shared" si="44"/>
        <v>-</v>
      </c>
      <c r="AM42" s="38" t="str">
        <f>VLOOKUP(AJ42,'TABEL KONVERSI'!$A$3:$D$7,4)</f>
        <v>-</v>
      </c>
      <c r="AN42" s="38" t="str">
        <f t="shared" si="45"/>
        <v>-</v>
      </c>
      <c r="AO42" s="38" t="str">
        <f>VLOOKUP(AK42,'TABEL KONVERSI'!$A$3:$D$7,4)</f>
        <v>-</v>
      </c>
      <c r="AP42" s="42"/>
      <c r="AQ42" s="37"/>
      <c r="AR42" s="73"/>
      <c r="AS42" s="73"/>
      <c r="AT42" s="38" t="str">
        <f t="shared" si="46"/>
        <v/>
      </c>
      <c r="AU42" s="38" t="str">
        <f t="shared" si="47"/>
        <v/>
      </c>
      <c r="AV42" s="38" t="str">
        <f>IF(AT42&lt;&gt;"",IF(AND(AT42&gt;='TABEL KONVERSI'!$B$3,'ENTRY DATA'!AT42&lt;='TABEL KONVERSI'!$C$3),1,IF(AND(AT42&gt;='TABEL KONVERSI'!$B$4,'ENTRY DATA'!AT42&lt;='TABEL KONVERSI'!$C$4),2,IF(AND(AT42&gt;='TABEL KONVERSI'!$B$5,'ENTRY DATA'!AT42&lt;='TABEL KONVERSI'!$C$5),3,IF(AND(AT42&gt;='TABEL KONVERSI'!$B$6,'ENTRY DATA'!AT42&lt;='TABEL KONVERSI'!$C$6),4,"")))),"-")</f>
        <v>-</v>
      </c>
      <c r="AW42" s="38" t="str">
        <f>IF(AU42&lt;&gt;"",IF(AND(AU42&gt;='TABEL KONVERSI'!$B$3,'ENTRY DATA'!AU42&lt;='TABEL KONVERSI'!$C$3),1,IF(AND(AU42&gt;='TABEL KONVERSI'!$B$4,'ENTRY DATA'!AU42&lt;='TABEL KONVERSI'!$C$4),2,IF(AND(AU42&gt;='TABEL KONVERSI'!$B$5,'ENTRY DATA'!AU42&lt;='TABEL KONVERSI'!$C$5),3,IF(AND(AU42&gt;='TABEL KONVERSI'!$B$6,'ENTRY DATA'!AU42&lt;='TABEL KONVERSI'!$C$6),4,"")))),"-")</f>
        <v>-</v>
      </c>
      <c r="AX42" s="38" t="str">
        <f t="shared" si="48"/>
        <v>-</v>
      </c>
      <c r="AY42" s="38" t="str">
        <f>VLOOKUP(AV42,'TABEL KONVERSI'!$A$3:$D$7,4)</f>
        <v>-</v>
      </c>
      <c r="AZ42" s="38" t="str">
        <f t="shared" si="49"/>
        <v>-</v>
      </c>
      <c r="BA42" s="38" t="str">
        <f>VLOOKUP(AW42,'TABEL KONVERSI'!$A$3:$D$7,4)</f>
        <v>-</v>
      </c>
      <c r="BB42" s="42"/>
      <c r="BC42" s="37"/>
      <c r="BD42" s="73"/>
      <c r="BE42" s="73"/>
      <c r="BF42" s="38" t="str">
        <f t="shared" si="50"/>
        <v/>
      </c>
      <c r="BG42" s="38" t="str">
        <f t="shared" si="51"/>
        <v/>
      </c>
      <c r="BH42" s="38" t="str">
        <f>IF(BF42&lt;&gt;"",IF(AND(BF42&gt;='TABEL KONVERSI'!$B$3,'ENTRY DATA'!BF42&lt;='TABEL KONVERSI'!$C$3),1,IF(AND(BF42&gt;='TABEL KONVERSI'!$B$4,'ENTRY DATA'!BF42&lt;='TABEL KONVERSI'!$C$4),2,IF(AND(BF42&gt;='TABEL KONVERSI'!$B$5,'ENTRY DATA'!BF42&lt;='TABEL KONVERSI'!$C$5),3,IF(AND(BF42&gt;='TABEL KONVERSI'!$B$6,'ENTRY DATA'!BF42&lt;='TABEL KONVERSI'!$C$6),4,"")))),"-")</f>
        <v>-</v>
      </c>
      <c r="BI42" s="38" t="str">
        <f>IF(BG42&lt;&gt;"",IF(AND(BG42&gt;='TABEL KONVERSI'!$B$3,'ENTRY DATA'!BG42&lt;='TABEL KONVERSI'!$C$3),1,IF(AND(BG42&gt;='TABEL KONVERSI'!$B$4,'ENTRY DATA'!BG42&lt;='TABEL KONVERSI'!$C$4),2,IF(AND(BG42&gt;='TABEL KONVERSI'!$B$5,'ENTRY DATA'!BG42&lt;='TABEL KONVERSI'!$C$5),3,IF(AND(BG42&gt;='TABEL KONVERSI'!$B$6,'ENTRY DATA'!BG42&lt;='TABEL KONVERSI'!$C$6),4,"")))),"-")</f>
        <v>-</v>
      </c>
      <c r="BJ42" s="38" t="str">
        <f t="shared" si="52"/>
        <v>-</v>
      </c>
      <c r="BK42" s="38" t="str">
        <f>VLOOKUP(BH42,'TABEL KONVERSI'!$A$3:$D$7,4)</f>
        <v>-</v>
      </c>
      <c r="BL42" s="38" t="str">
        <f t="shared" si="53"/>
        <v>-</v>
      </c>
      <c r="BM42" s="38" t="str">
        <f>VLOOKUP(BI42,'TABEL KONVERSI'!$A$3:$D$7,4)</f>
        <v>-</v>
      </c>
      <c r="BN42" s="42"/>
      <c r="BO42" s="37"/>
      <c r="BP42" s="73"/>
      <c r="BQ42" s="73"/>
      <c r="BR42" s="38" t="str">
        <f t="shared" si="54"/>
        <v/>
      </c>
      <c r="BS42" s="38" t="str">
        <f t="shared" si="55"/>
        <v/>
      </c>
      <c r="BT42" s="38" t="str">
        <f>IF(BR42&lt;&gt;"",IF(AND(BR42&gt;='TABEL KONVERSI'!$B$3,'ENTRY DATA'!BR42&lt;='TABEL KONVERSI'!$C$3),1,IF(AND(BR42&gt;='TABEL KONVERSI'!$B$4,'ENTRY DATA'!BR42&lt;='TABEL KONVERSI'!$C$4),2,IF(AND(BR42&gt;='TABEL KONVERSI'!$B$5,'ENTRY DATA'!BR42&lt;='TABEL KONVERSI'!$C$5),3,IF(AND(BR42&gt;='TABEL KONVERSI'!$B$6,'ENTRY DATA'!BR42&lt;='TABEL KONVERSI'!$C$6),4,"")))),"-")</f>
        <v>-</v>
      </c>
      <c r="BU42" s="38" t="str">
        <f>IF(BS42&lt;&gt;"",IF(AND(BS42&gt;='TABEL KONVERSI'!$B$3,'ENTRY DATA'!BS42&lt;='TABEL KONVERSI'!$C$3),1,IF(AND(BS42&gt;='TABEL KONVERSI'!$B$4,'ENTRY DATA'!BS42&lt;='TABEL KONVERSI'!$C$4),2,IF(AND(BS42&gt;='TABEL KONVERSI'!$B$5,'ENTRY DATA'!BS42&lt;='TABEL KONVERSI'!$C$5),3,IF(AND(BS42&gt;='TABEL KONVERSI'!$B$6,'ENTRY DATA'!BS42&lt;='TABEL KONVERSI'!$C$6),4,"")))),"-")</f>
        <v>-</v>
      </c>
      <c r="BV42" s="38" t="str">
        <f t="shared" si="56"/>
        <v>-</v>
      </c>
      <c r="BW42" s="38" t="str">
        <f>VLOOKUP(BT42,'TABEL KONVERSI'!$A$3:$D$7,4)</f>
        <v>-</v>
      </c>
      <c r="BX42" s="38" t="str">
        <f t="shared" si="57"/>
        <v>-</v>
      </c>
      <c r="BY42" s="38" t="str">
        <f>VLOOKUP(BU42,'TABEL KONVERSI'!$A$3:$D$7,4)</f>
        <v>-</v>
      </c>
      <c r="BZ42" s="42"/>
      <c r="CA42" s="37"/>
      <c r="CB42" s="73"/>
      <c r="CC42" s="73"/>
      <c r="CD42" s="38" t="str">
        <f t="shared" si="58"/>
        <v/>
      </c>
      <c r="CE42" s="38" t="str">
        <f t="shared" si="59"/>
        <v/>
      </c>
      <c r="CF42" s="38" t="str">
        <f>IF(CD42&lt;&gt;"",IF(AND(CD42&gt;='TABEL KONVERSI'!$B$3,'ENTRY DATA'!CD42&lt;='TABEL KONVERSI'!$C$3),1,IF(AND(CD42&gt;='TABEL KONVERSI'!$B$4,'ENTRY DATA'!CD42&lt;='TABEL KONVERSI'!$C$4),2,IF(AND(CD42&gt;='TABEL KONVERSI'!$B$5,'ENTRY DATA'!CD42&lt;='TABEL KONVERSI'!$C$5),3,IF(AND(CD42&gt;='TABEL KONVERSI'!$B$6,'ENTRY DATA'!CD42&lt;='TABEL KONVERSI'!$C$6),4,"")))),"-")</f>
        <v>-</v>
      </c>
      <c r="CG42" s="38" t="str">
        <f>IF(CE42&lt;&gt;"",IF(AND(CE42&gt;='TABEL KONVERSI'!$B$3,'ENTRY DATA'!CE42&lt;='TABEL KONVERSI'!$C$3),1,IF(AND(CE42&gt;='TABEL KONVERSI'!$B$4,'ENTRY DATA'!CE42&lt;='TABEL KONVERSI'!$C$4),2,IF(AND(CE42&gt;='TABEL KONVERSI'!$B$5,'ENTRY DATA'!CE42&lt;='TABEL KONVERSI'!$C$5),3,IF(AND(CE42&gt;='TABEL KONVERSI'!$B$6,'ENTRY DATA'!CE42&lt;='TABEL KONVERSI'!$C$6),4,"")))),"-")</f>
        <v>-</v>
      </c>
      <c r="CH42" s="38" t="str">
        <f t="shared" si="60"/>
        <v>-</v>
      </c>
      <c r="CI42" s="38" t="str">
        <f>VLOOKUP(CF42,'TABEL KONVERSI'!$A$3:$D$7,4)</f>
        <v>-</v>
      </c>
      <c r="CJ42" s="38" t="str">
        <f t="shared" si="61"/>
        <v>-</v>
      </c>
      <c r="CK42" s="38" t="str">
        <f>VLOOKUP(CG42,'TABEL KONVERSI'!$A$3:$D$7,4)</f>
        <v>-</v>
      </c>
      <c r="CL42" s="42"/>
      <c r="CM42" s="37"/>
      <c r="CN42" s="73"/>
      <c r="CO42" s="73"/>
      <c r="CP42" s="38" t="str">
        <f t="shared" si="62"/>
        <v/>
      </c>
      <c r="CQ42" s="38" t="str">
        <f t="shared" si="63"/>
        <v/>
      </c>
      <c r="CR42" s="38" t="str">
        <f>IF(CP42&lt;&gt;"",IF(AND(CP42&gt;='TABEL KONVERSI'!$B$3,'ENTRY DATA'!CP42&lt;='TABEL KONVERSI'!$C$3),1,IF(AND(CP42&gt;='TABEL KONVERSI'!$B$4,'ENTRY DATA'!CP42&lt;='TABEL KONVERSI'!$C$4),2,IF(AND(CP42&gt;='TABEL KONVERSI'!$B$5,'ENTRY DATA'!CP42&lt;='TABEL KONVERSI'!$C$5),3,IF(AND(CP42&gt;='TABEL KONVERSI'!$B$6,'ENTRY DATA'!CP42&lt;='TABEL KONVERSI'!$C$6),4,"")))),"-")</f>
        <v>-</v>
      </c>
      <c r="CS42" s="38" t="str">
        <f>IF(CQ42&lt;&gt;"",IF(AND(CQ42&gt;='TABEL KONVERSI'!$B$3,'ENTRY DATA'!CQ42&lt;='TABEL KONVERSI'!$C$3),1,IF(AND(CQ42&gt;='TABEL KONVERSI'!$B$4,'ENTRY DATA'!CQ42&lt;='TABEL KONVERSI'!$C$4),2,IF(AND(CQ42&gt;='TABEL KONVERSI'!$B$5,'ENTRY DATA'!CQ42&lt;='TABEL KONVERSI'!$C$5),3,IF(AND(CQ42&gt;='TABEL KONVERSI'!$B$6,'ENTRY DATA'!CQ42&lt;='TABEL KONVERSI'!$C$6),4,"")))),"-")</f>
        <v>-</v>
      </c>
      <c r="CT42" s="38" t="str">
        <f t="shared" si="64"/>
        <v>-</v>
      </c>
      <c r="CU42" s="38" t="str">
        <f>VLOOKUP(CR42,'TABEL KONVERSI'!$A$3:$D$7,4)</f>
        <v>-</v>
      </c>
      <c r="CV42" s="38" t="str">
        <f t="shared" si="65"/>
        <v>-</v>
      </c>
      <c r="CW42" s="38" t="str">
        <f>VLOOKUP(CS42,'TABEL KONVERSI'!$A$3:$D$7,4)</f>
        <v>-</v>
      </c>
      <c r="CX42" s="42"/>
      <c r="CY42" s="37"/>
      <c r="CZ42" s="73"/>
      <c r="DA42" s="73"/>
      <c r="DB42" s="38" t="str">
        <f t="shared" si="66"/>
        <v/>
      </c>
      <c r="DC42" s="38" t="str">
        <f t="shared" si="67"/>
        <v/>
      </c>
      <c r="DD42" s="38" t="str">
        <f>IF(DB42&lt;&gt;"",IF(AND(DB42&gt;='TABEL KONVERSI'!$B$3,'ENTRY DATA'!DB42&lt;='TABEL KONVERSI'!$C$3),1,IF(AND(DB42&gt;='TABEL KONVERSI'!$B$4,'ENTRY DATA'!DB42&lt;='TABEL KONVERSI'!$C$4),2,IF(AND(DB42&gt;='TABEL KONVERSI'!$B$5,'ENTRY DATA'!DB42&lt;='TABEL KONVERSI'!$C$5),3,IF(AND(DB42&gt;='TABEL KONVERSI'!$B$6,'ENTRY DATA'!DB42&lt;='TABEL KONVERSI'!$C$6),4,"")))),"-")</f>
        <v>-</v>
      </c>
      <c r="DE42" s="38" t="str">
        <f>IF(DC42&lt;&gt;"",IF(AND(DC42&gt;='TABEL KONVERSI'!$B$3,'ENTRY DATA'!DC42&lt;='TABEL KONVERSI'!$C$3),1,IF(AND(DC42&gt;='TABEL KONVERSI'!$B$4,'ENTRY DATA'!DC42&lt;='TABEL KONVERSI'!$C$4),2,IF(AND(DC42&gt;='TABEL KONVERSI'!$B$5,'ENTRY DATA'!DC42&lt;='TABEL KONVERSI'!$C$5),3,IF(AND(DC42&gt;='TABEL KONVERSI'!$B$6,'ENTRY DATA'!DC42&lt;='TABEL KONVERSI'!$C$6),4,"")))),"-")</f>
        <v>-</v>
      </c>
      <c r="DF42" s="38" t="str">
        <f t="shared" si="68"/>
        <v>-</v>
      </c>
      <c r="DG42" s="38" t="str">
        <f>VLOOKUP(DD42,'TABEL KONVERSI'!$A$3:$D$7,4)</f>
        <v>-</v>
      </c>
      <c r="DH42" s="38" t="str">
        <f t="shared" si="69"/>
        <v>-</v>
      </c>
      <c r="DI42" s="38" t="str">
        <f>VLOOKUP(DE42,'TABEL KONVERSI'!$A$3:$D$7,4)</f>
        <v>-</v>
      </c>
      <c r="DJ42" s="42"/>
      <c r="DK42" s="37"/>
      <c r="DL42" s="73"/>
      <c r="DM42" s="73"/>
      <c r="DN42" s="38" t="str">
        <f t="shared" si="70"/>
        <v/>
      </c>
      <c r="DO42" s="38" t="str">
        <f t="shared" si="71"/>
        <v/>
      </c>
      <c r="DP42" s="38" t="str">
        <f>IF(DN42&lt;&gt;"",IF(AND(DN42&gt;='TABEL KONVERSI'!$B$3,'ENTRY DATA'!DN42&lt;='TABEL KONVERSI'!$C$3),1,IF(AND(DN42&gt;='TABEL KONVERSI'!$B$4,'ENTRY DATA'!DN42&lt;='TABEL KONVERSI'!$C$4),2,IF(AND(DN42&gt;='TABEL KONVERSI'!$B$5,'ENTRY DATA'!DN42&lt;='TABEL KONVERSI'!$C$5),3,IF(AND(DN42&gt;='TABEL KONVERSI'!$B$6,'ENTRY DATA'!DN42&lt;='TABEL KONVERSI'!$C$6),4,"")))),"-")</f>
        <v>-</v>
      </c>
      <c r="DQ42" s="38" t="str">
        <f>IF(DO42&lt;&gt;"",IF(AND(DO42&gt;='TABEL KONVERSI'!$B$3,'ENTRY DATA'!DO42&lt;='TABEL KONVERSI'!$C$3),1,IF(AND(DO42&gt;='TABEL KONVERSI'!$B$4,'ENTRY DATA'!DO42&lt;='TABEL KONVERSI'!$C$4),2,IF(AND(DO42&gt;='TABEL KONVERSI'!$B$5,'ENTRY DATA'!DO42&lt;='TABEL KONVERSI'!$C$5),3,IF(AND(DO42&gt;='TABEL KONVERSI'!$B$6,'ENTRY DATA'!DO42&lt;='TABEL KONVERSI'!$C$6),4,"")))),"-")</f>
        <v>-</v>
      </c>
      <c r="DR42" s="38" t="str">
        <f t="shared" si="72"/>
        <v>-</v>
      </c>
      <c r="DS42" s="38" t="str">
        <f>VLOOKUP(DP42,'TABEL KONVERSI'!$A$3:$D$7,4)</f>
        <v>-</v>
      </c>
      <c r="DT42" s="38" t="str">
        <f t="shared" si="73"/>
        <v>-</v>
      </c>
      <c r="DU42" s="38" t="str">
        <f>VLOOKUP(DQ42,'TABEL KONVERSI'!$A$3:$D$7,4)</f>
        <v>-</v>
      </c>
      <c r="DV42" s="42"/>
      <c r="DW42" s="37"/>
      <c r="DX42" s="73"/>
      <c r="DY42" s="73"/>
      <c r="DZ42" s="38" t="str">
        <f t="shared" si="74"/>
        <v/>
      </c>
      <c r="EA42" s="38" t="str">
        <f t="shared" si="75"/>
        <v/>
      </c>
      <c r="EB42" s="38" t="str">
        <f>IF(DZ42&lt;&gt;"",IF(AND(DZ42&gt;='TABEL KONVERSI'!$B$3,'ENTRY DATA'!DZ42&lt;='TABEL KONVERSI'!$C$3),1,IF(AND(DZ42&gt;='TABEL KONVERSI'!$B$4,'ENTRY DATA'!DZ42&lt;='TABEL KONVERSI'!$C$4),2,IF(AND(DZ42&gt;='TABEL KONVERSI'!$B$5,'ENTRY DATA'!DZ42&lt;='TABEL KONVERSI'!$C$5),3,IF(AND(DZ42&gt;='TABEL KONVERSI'!$B$6,'ENTRY DATA'!DZ42&lt;='TABEL KONVERSI'!$C$6),4,"")))),"-")</f>
        <v>-</v>
      </c>
      <c r="EC42" s="38" t="str">
        <f>IF(EA42&lt;&gt;"",IF(AND(EA42&gt;='TABEL KONVERSI'!$B$3,'ENTRY DATA'!EA42&lt;='TABEL KONVERSI'!$C$3),1,IF(AND(EA42&gt;='TABEL KONVERSI'!$B$4,'ENTRY DATA'!EA42&lt;='TABEL KONVERSI'!$C$4),2,IF(AND(EA42&gt;='TABEL KONVERSI'!$B$5,'ENTRY DATA'!EA42&lt;='TABEL KONVERSI'!$C$5),3,IF(AND(EA42&gt;='TABEL KONVERSI'!$B$6,'ENTRY DATA'!EA42&lt;='TABEL KONVERSI'!$C$6),4,"")))),"-")</f>
        <v>-</v>
      </c>
      <c r="ED42" s="38" t="str">
        <f t="shared" si="76"/>
        <v>-</v>
      </c>
      <c r="EE42" s="38" t="str">
        <f>VLOOKUP(EB42,'TABEL KONVERSI'!$A$3:$D$7,4)</f>
        <v>-</v>
      </c>
      <c r="EF42" s="38" t="str">
        <f t="shared" si="77"/>
        <v>-</v>
      </c>
      <c r="EG42" s="38" t="str">
        <f>VLOOKUP(EC42,'TABEL KONVERSI'!$A$3:$D$7,4)</f>
        <v>-</v>
      </c>
      <c r="EH42" s="42"/>
      <c r="EI42" s="37"/>
      <c r="EJ42" s="73"/>
      <c r="EK42" s="73"/>
      <c r="EL42" s="38" t="str">
        <f t="shared" si="78"/>
        <v/>
      </c>
      <c r="EM42" s="38" t="str">
        <f t="shared" si="79"/>
        <v/>
      </c>
      <c r="EN42" s="38" t="str">
        <f>IF(EL42&lt;&gt;"",IF(AND(EL42&gt;='TABEL KONVERSI'!$B$3,'ENTRY DATA'!EL42&lt;='TABEL KONVERSI'!$C$3),1,IF(AND(EL42&gt;='TABEL KONVERSI'!$B$4,'ENTRY DATA'!EL42&lt;='TABEL KONVERSI'!$C$4),2,IF(AND(EL42&gt;='TABEL KONVERSI'!$B$5,'ENTRY DATA'!EL42&lt;='TABEL KONVERSI'!$C$5),3,IF(AND(EL42&gt;='TABEL KONVERSI'!$B$6,'ENTRY DATA'!EL42&lt;='TABEL KONVERSI'!$C$6),4,"")))),"-")</f>
        <v>-</v>
      </c>
      <c r="EO42" s="38" t="str">
        <f>IF(EM42&lt;&gt;"",IF(AND(EM42&gt;='TABEL KONVERSI'!$B$3,'ENTRY DATA'!EM42&lt;='TABEL KONVERSI'!$C$3),1,IF(AND(EM42&gt;='TABEL KONVERSI'!$B$4,'ENTRY DATA'!EM42&lt;='TABEL KONVERSI'!$C$4),2,IF(AND(EM42&gt;='TABEL KONVERSI'!$B$5,'ENTRY DATA'!EM42&lt;='TABEL KONVERSI'!$C$5),3,IF(AND(EM42&gt;='TABEL KONVERSI'!$B$6,'ENTRY DATA'!EM42&lt;='TABEL KONVERSI'!$C$6),4,"")))),"-")</f>
        <v>-</v>
      </c>
      <c r="EP42" s="38" t="str">
        <f t="shared" si="80"/>
        <v>-</v>
      </c>
      <c r="EQ42" s="38" t="str">
        <f>VLOOKUP(EN42,'TABEL KONVERSI'!$A$3:$D$7,4)</f>
        <v>-</v>
      </c>
      <c r="ER42" s="38" t="str">
        <f t="shared" si="81"/>
        <v>-</v>
      </c>
      <c r="ES42" s="38" t="str">
        <f>VLOOKUP(EO42,'TABEL KONVERSI'!$A$3:$D$7,4)</f>
        <v>-</v>
      </c>
      <c r="ET42" s="42"/>
      <c r="EU42" s="37"/>
      <c r="EV42" s="73"/>
      <c r="EW42" s="73"/>
      <c r="EX42" s="38" t="str">
        <f t="shared" si="82"/>
        <v/>
      </c>
      <c r="EY42" s="38" t="str">
        <f t="shared" si="83"/>
        <v/>
      </c>
      <c r="EZ42" s="38" t="str">
        <f>IF(EX42&lt;&gt;"",IF(AND(EX42&gt;='TABEL KONVERSI'!$B$3,'ENTRY DATA'!EX42&lt;='TABEL KONVERSI'!$C$3),1,IF(AND(EX42&gt;='TABEL KONVERSI'!$B$4,'ENTRY DATA'!EX42&lt;='TABEL KONVERSI'!$C$4),2,IF(AND(EX42&gt;='TABEL KONVERSI'!$B$5,'ENTRY DATA'!EX42&lt;='TABEL KONVERSI'!$C$5),3,IF(AND(EX42&gt;='TABEL KONVERSI'!$B$6,'ENTRY DATA'!EX42&lt;='TABEL KONVERSI'!$C$6),4,"")))),"-")</f>
        <v>-</v>
      </c>
      <c r="FA42" s="38" t="str">
        <f>IF(EY42&lt;&gt;"",IF(AND(EY42&gt;='TABEL KONVERSI'!$B$3,'ENTRY DATA'!EY42&lt;='TABEL KONVERSI'!$C$3),1,IF(AND(EY42&gt;='TABEL KONVERSI'!$B$4,'ENTRY DATA'!EY42&lt;='TABEL KONVERSI'!$C$4),2,IF(AND(EY42&gt;='TABEL KONVERSI'!$B$5,'ENTRY DATA'!EY42&lt;='TABEL KONVERSI'!$C$5),3,IF(AND(EY42&gt;='TABEL KONVERSI'!$B$6,'ENTRY DATA'!EY42&lt;='TABEL KONVERSI'!$C$6),4,"")))),"-")</f>
        <v>-</v>
      </c>
      <c r="FB42" s="38" t="str">
        <f t="shared" si="84"/>
        <v>-</v>
      </c>
      <c r="FC42" s="38" t="str">
        <f>VLOOKUP(EZ42,'TABEL KONVERSI'!$A$3:$D$7,4)</f>
        <v>-</v>
      </c>
      <c r="FD42" s="38" t="str">
        <f t="shared" si="85"/>
        <v>-</v>
      </c>
      <c r="FE42" s="38" t="str">
        <f>VLOOKUP(FA42,'TABEL KONVERSI'!$A$3:$D$7,4)</f>
        <v>-</v>
      </c>
      <c r="FF42" s="42"/>
      <c r="FG42" s="37"/>
      <c r="FH42" s="73"/>
      <c r="FI42" s="73"/>
      <c r="FJ42" s="38" t="str">
        <f t="shared" si="86"/>
        <v/>
      </c>
      <c r="FK42" s="38" t="str">
        <f t="shared" si="87"/>
        <v/>
      </c>
      <c r="FL42" s="38" t="str">
        <f>IF(FJ42&lt;&gt;"",IF(AND(FJ42&gt;='TABEL KONVERSI'!$B$3,'ENTRY DATA'!FJ42&lt;='TABEL KONVERSI'!$C$3),1,IF(AND(FJ42&gt;='TABEL KONVERSI'!$B$4,'ENTRY DATA'!FJ42&lt;='TABEL KONVERSI'!$C$4),2,IF(AND(FJ42&gt;='TABEL KONVERSI'!$B$5,'ENTRY DATA'!FJ42&lt;='TABEL KONVERSI'!$C$5),3,IF(AND(FJ42&gt;='TABEL KONVERSI'!$B$6,'ENTRY DATA'!FJ42&lt;='TABEL KONVERSI'!$C$6),4,"")))),"-")</f>
        <v>-</v>
      </c>
      <c r="FM42" s="38" t="str">
        <f>IF(FK42&lt;&gt;"",IF(AND(FK42&gt;='TABEL KONVERSI'!$B$3,'ENTRY DATA'!FK42&lt;='TABEL KONVERSI'!$C$3),1,IF(AND(FK42&gt;='TABEL KONVERSI'!$B$4,'ENTRY DATA'!FK42&lt;='TABEL KONVERSI'!$C$4),2,IF(AND(FK42&gt;='TABEL KONVERSI'!$B$5,'ENTRY DATA'!FK42&lt;='TABEL KONVERSI'!$C$5),3,IF(AND(FK42&gt;='TABEL KONVERSI'!$B$6,'ENTRY DATA'!FK42&lt;='TABEL KONVERSI'!$C$6),4,"")))),"-")</f>
        <v>-</v>
      </c>
      <c r="FN42" s="38" t="str">
        <f t="shared" si="88"/>
        <v>-</v>
      </c>
      <c r="FO42" s="38" t="str">
        <f>VLOOKUP(FL42,'TABEL KONVERSI'!$A$3:$D$7,4)</f>
        <v>-</v>
      </c>
      <c r="FP42" s="38" t="str">
        <f t="shared" si="89"/>
        <v>-</v>
      </c>
      <c r="FQ42" s="38" t="str">
        <f>VLOOKUP(FM42,'TABEL KONVERSI'!$A$3:$D$7,4)</f>
        <v>-</v>
      </c>
      <c r="FR42" s="42"/>
      <c r="FS42" s="37"/>
      <c r="FT42" s="73"/>
      <c r="FU42" s="73"/>
      <c r="FV42" s="38" t="str">
        <f t="shared" si="90"/>
        <v/>
      </c>
      <c r="FW42" s="38" t="str">
        <f t="shared" si="91"/>
        <v/>
      </c>
      <c r="FX42" s="38" t="str">
        <f>IF(FV42&lt;&gt;"",IF(AND(FV42&gt;='TABEL KONVERSI'!$B$3,'ENTRY DATA'!FV42&lt;='TABEL KONVERSI'!$C$3),1,IF(AND(FV42&gt;='TABEL KONVERSI'!$B$4,'ENTRY DATA'!FV42&lt;='TABEL KONVERSI'!$C$4),2,IF(AND(FV42&gt;='TABEL KONVERSI'!$B$5,'ENTRY DATA'!FV42&lt;='TABEL KONVERSI'!$C$5),3,IF(AND(FV42&gt;='TABEL KONVERSI'!$B$6,'ENTRY DATA'!FV42&lt;='TABEL KONVERSI'!$C$6),4,"")))),"-")</f>
        <v>-</v>
      </c>
      <c r="FY42" s="38" t="str">
        <f>IF(FW42&lt;&gt;"",IF(AND(FW42&gt;='TABEL KONVERSI'!$B$3,'ENTRY DATA'!FW42&lt;='TABEL KONVERSI'!$C$3),1,IF(AND(FW42&gt;='TABEL KONVERSI'!$B$4,'ENTRY DATA'!FW42&lt;='TABEL KONVERSI'!$C$4),2,IF(AND(FW42&gt;='TABEL KONVERSI'!$B$5,'ENTRY DATA'!FW42&lt;='TABEL KONVERSI'!$C$5),3,IF(AND(FW42&gt;='TABEL KONVERSI'!$B$6,'ENTRY DATA'!FW42&lt;='TABEL KONVERSI'!$C$6),4,"")))),"-")</f>
        <v>-</v>
      </c>
      <c r="FZ42" s="38" t="str">
        <f t="shared" si="92"/>
        <v>-</v>
      </c>
      <c r="GA42" s="38" t="str">
        <f>VLOOKUP(FX42,'TABEL KONVERSI'!$A$3:$D$7,4)</f>
        <v>-</v>
      </c>
      <c r="GB42" s="38" t="str">
        <f t="shared" si="93"/>
        <v>-</v>
      </c>
      <c r="GC42" s="38" t="str">
        <f>VLOOKUP(FY42,'TABEL KONVERSI'!$A$3:$D$7,4)</f>
        <v>-</v>
      </c>
      <c r="GD42" s="42"/>
      <c r="GE42" s="37"/>
      <c r="GF42" s="73"/>
      <c r="GG42" s="73"/>
      <c r="GH42" s="38" t="str">
        <f t="shared" si="94"/>
        <v/>
      </c>
      <c r="GI42" s="38" t="str">
        <f t="shared" si="95"/>
        <v/>
      </c>
      <c r="GJ42" s="38" t="str">
        <f>IF(GH42&lt;&gt;"",IF(AND(GH42&gt;='TABEL KONVERSI'!$B$3,'ENTRY DATA'!GH42&lt;='TABEL KONVERSI'!$C$3),1,IF(AND(GH42&gt;='TABEL KONVERSI'!$B$4,'ENTRY DATA'!GH42&lt;='TABEL KONVERSI'!$C$4),2,IF(AND(GH42&gt;='TABEL KONVERSI'!$B$5,'ENTRY DATA'!GH42&lt;='TABEL KONVERSI'!$C$5),3,IF(AND(GH42&gt;='TABEL KONVERSI'!$B$6,'ENTRY DATA'!GH42&lt;='TABEL KONVERSI'!$C$6),4,"")))),"-")</f>
        <v>-</v>
      </c>
      <c r="GK42" s="38" t="str">
        <f>IF(GI42&lt;&gt;"",IF(AND(GI42&gt;='TABEL KONVERSI'!$B$3,'ENTRY DATA'!GI42&lt;='TABEL KONVERSI'!$C$3),1,IF(AND(GI42&gt;='TABEL KONVERSI'!$B$4,'ENTRY DATA'!GI42&lt;='TABEL KONVERSI'!$C$4),2,IF(AND(GI42&gt;='TABEL KONVERSI'!$B$5,'ENTRY DATA'!GI42&lt;='TABEL KONVERSI'!$C$5),3,IF(AND(GI42&gt;='TABEL KONVERSI'!$B$6,'ENTRY DATA'!GI42&lt;='TABEL KONVERSI'!$C$6),4,"")))),"-")</f>
        <v>-</v>
      </c>
      <c r="GL42" s="38" t="str">
        <f t="shared" si="96"/>
        <v>-</v>
      </c>
      <c r="GM42" s="38" t="str">
        <f>VLOOKUP(GJ42,'TABEL KONVERSI'!$A$3:$D$7,4)</f>
        <v>-</v>
      </c>
      <c r="GN42" s="38" t="str">
        <f t="shared" si="97"/>
        <v>-</v>
      </c>
      <c r="GO42" s="38" t="str">
        <f>VLOOKUP(GK42,'TABEL KONVERSI'!$A$3:$D$7,4)</f>
        <v>-</v>
      </c>
      <c r="GP42" s="43">
        <f t="shared" si="0"/>
        <v>0</v>
      </c>
      <c r="GQ42" s="43">
        <f t="shared" si="1"/>
        <v>0</v>
      </c>
      <c r="GR42" s="43">
        <f t="shared" si="2"/>
        <v>0</v>
      </c>
      <c r="GS42" s="43">
        <f t="shared" si="3"/>
        <v>0</v>
      </c>
      <c r="GT42" s="43">
        <f t="shared" si="4"/>
        <v>0</v>
      </c>
      <c r="GU42" s="43">
        <f t="shared" si="5"/>
        <v>0</v>
      </c>
      <c r="GV42" s="43">
        <f t="shared" si="6"/>
        <v>0</v>
      </c>
      <c r="GW42" s="43">
        <f t="shared" si="7"/>
        <v>0</v>
      </c>
      <c r="GX42" s="43">
        <f t="shared" si="8"/>
        <v>0</v>
      </c>
      <c r="GY42" s="43">
        <f t="shared" si="9"/>
        <v>0</v>
      </c>
      <c r="GZ42" s="43">
        <f t="shared" si="10"/>
        <v>0</v>
      </c>
      <c r="HA42" s="43">
        <f t="shared" si="11"/>
        <v>0</v>
      </c>
      <c r="HB42" s="43">
        <f t="shared" si="12"/>
        <v>0</v>
      </c>
      <c r="HC42" s="43">
        <f t="shared" si="13"/>
        <v>0</v>
      </c>
      <c r="HD42" s="43">
        <f t="shared" si="14"/>
        <v>0</v>
      </c>
      <c r="HE42" s="43">
        <f t="shared" si="15"/>
        <v>0</v>
      </c>
      <c r="HF42" s="38">
        <f t="shared" si="98"/>
        <v>0</v>
      </c>
      <c r="HG42" s="38">
        <f t="shared" si="99"/>
        <v>0</v>
      </c>
      <c r="HH42" s="38">
        <f t="shared" si="100"/>
        <v>0</v>
      </c>
      <c r="HI42" s="39">
        <f t="shared" si="101"/>
        <v>0</v>
      </c>
      <c r="HJ42" s="44" t="str">
        <f t="shared" si="102"/>
        <v>-</v>
      </c>
      <c r="HK42" s="45" t="str">
        <f>VLOOKUP(HJ42,'TABEL KONVERSI'!$B$11:$D$15,2,0)</f>
        <v>-</v>
      </c>
      <c r="HL42" s="43">
        <f t="shared" si="16"/>
        <v>0</v>
      </c>
      <c r="HM42" s="43">
        <f t="shared" si="17"/>
        <v>0</v>
      </c>
      <c r="HN42" s="43">
        <f t="shared" si="18"/>
        <v>0</v>
      </c>
      <c r="HO42" s="43">
        <f t="shared" si="19"/>
        <v>0</v>
      </c>
      <c r="HP42" s="43">
        <f t="shared" si="20"/>
        <v>0</v>
      </c>
      <c r="HQ42" s="43">
        <f t="shared" si="21"/>
        <v>0</v>
      </c>
      <c r="HR42" s="43">
        <f t="shared" si="22"/>
        <v>0</v>
      </c>
      <c r="HS42" s="43">
        <f t="shared" si="23"/>
        <v>0</v>
      </c>
      <c r="HT42" s="43">
        <f t="shared" si="24"/>
        <v>0</v>
      </c>
      <c r="HU42" s="43">
        <f t="shared" si="25"/>
        <v>0</v>
      </c>
      <c r="HV42" s="43">
        <f t="shared" si="26"/>
        <v>0</v>
      </c>
      <c r="HW42" s="43">
        <f t="shared" si="27"/>
        <v>0</v>
      </c>
      <c r="HX42" s="43">
        <f t="shared" si="28"/>
        <v>0</v>
      </c>
      <c r="HY42" s="43">
        <f t="shared" si="29"/>
        <v>0</v>
      </c>
      <c r="HZ42" s="43">
        <f t="shared" si="30"/>
        <v>0</v>
      </c>
      <c r="IA42" s="43">
        <f t="shared" si="31"/>
        <v>0</v>
      </c>
      <c r="IB42" s="38">
        <f t="shared" si="103"/>
        <v>0</v>
      </c>
      <c r="IC42" s="38">
        <f t="shared" si="104"/>
        <v>0</v>
      </c>
      <c r="ID42" s="38">
        <f t="shared" si="105"/>
        <v>0</v>
      </c>
      <c r="IE42" s="38">
        <f t="shared" si="106"/>
        <v>0</v>
      </c>
      <c r="IF42" s="46" t="str">
        <f t="shared" si="107"/>
        <v>-</v>
      </c>
      <c r="IG42" s="45" t="str">
        <f>VLOOKUP(IF42,'TABEL KONVERSI'!$B$11:$D$15,3,0)</f>
        <v>-</v>
      </c>
      <c r="IH42" s="40" t="s">
        <v>223</v>
      </c>
      <c r="II42" s="41" t="s">
        <v>106</v>
      </c>
      <c r="IJ42" s="45" t="str">
        <f>IF(II42&lt;&gt;"",VLOOKUP(II42,'TABEL KONVERSI'!$A$19:$B$23,2,0),"")</f>
        <v>Aktif dalam mengikuti kegiatan</v>
      </c>
      <c r="IK42" s="47" t="s">
        <v>58</v>
      </c>
      <c r="IL42" s="50" t="s">
        <v>58</v>
      </c>
      <c r="IM42" s="45" t="str">
        <f>IF(IL42&lt;&gt;"",VLOOKUP(IL42,'TABEL KONVERSI'!$A$19:$B$23,2,0),"")</f>
        <v>-</v>
      </c>
      <c r="IN42" s="49" t="s">
        <v>58</v>
      </c>
      <c r="IO42" s="48" t="s">
        <v>58</v>
      </c>
      <c r="IP42" s="45" t="str">
        <f>IF(IO42&lt;&gt;"",VLOOKUP(IO42,'TABEL KONVERSI'!$A$19:$B$23,2,0),"")</f>
        <v>-</v>
      </c>
      <c r="IQ42" s="49" t="s">
        <v>58</v>
      </c>
      <c r="IR42" s="50" t="s">
        <v>58</v>
      </c>
      <c r="IS42" s="45" t="str">
        <f>IF(IR42&lt;&gt;"",VLOOKUP(IR42,'TABEL KONVERSI'!$A$19:$B$23,2,0),"")</f>
        <v>-</v>
      </c>
      <c r="IT42" s="49" t="s">
        <v>58</v>
      </c>
      <c r="IU42" s="50" t="s">
        <v>58</v>
      </c>
      <c r="IV42" s="45" t="str">
        <f>IF(IU42&lt;&gt;"",VLOOKUP(IU42,'TABEL KONVERSI'!$A$19:$B$23,2,0),"")</f>
        <v>-</v>
      </c>
      <c r="IW42" s="48" t="s">
        <v>58</v>
      </c>
      <c r="IX42" s="48" t="s">
        <v>58</v>
      </c>
      <c r="IY42" s="48" t="s">
        <v>58</v>
      </c>
      <c r="IZ42" s="47" t="s">
        <v>58</v>
      </c>
      <c r="JA42" s="45">
        <f t="shared" si="32"/>
        <v>0</v>
      </c>
      <c r="JB42" s="45">
        <f t="shared" si="33"/>
        <v>1</v>
      </c>
    </row>
    <row r="43" spans="1:262" x14ac:dyDescent="0.25">
      <c r="A43" s="33">
        <v>31</v>
      </c>
      <c r="B43" s="51"/>
      <c r="C43" s="51"/>
      <c r="D43" s="77"/>
      <c r="E43" s="52"/>
      <c r="F43" s="42"/>
      <c r="G43" s="37"/>
      <c r="H43" s="73"/>
      <c r="I43" s="73"/>
      <c r="J43" s="38" t="str">
        <f t="shared" si="34"/>
        <v/>
      </c>
      <c r="K43" s="38" t="str">
        <f t="shared" si="35"/>
        <v/>
      </c>
      <c r="L43" s="38" t="str">
        <f>IF(J43&lt;&gt;"",IF(AND(J43&gt;='TABEL KONVERSI'!$B$3,'ENTRY DATA'!J43&lt;='TABEL KONVERSI'!$C$3),1,IF(AND(J43&gt;='TABEL KONVERSI'!$B$4,'ENTRY DATA'!J43&lt;='TABEL KONVERSI'!$C$4),2,IF(AND(J43&gt;='TABEL KONVERSI'!$B$5,'ENTRY DATA'!J43&lt;='TABEL KONVERSI'!$C$5),3,IF(AND(J43&gt;='TABEL KONVERSI'!$B$6,'ENTRY DATA'!J43&lt;='TABEL KONVERSI'!$C$6),4,"")))),"-")</f>
        <v>-</v>
      </c>
      <c r="M43" s="38" t="str">
        <f>IF(K43&lt;&gt;"",IF(AND(K43&gt;='TABEL KONVERSI'!$B$3,'ENTRY DATA'!K43&lt;='TABEL KONVERSI'!$C$3),1,IF(AND(K43&gt;='TABEL KONVERSI'!$B$4,'ENTRY DATA'!K43&lt;='TABEL KONVERSI'!$C$4),2,IF(AND(K43&gt;='TABEL KONVERSI'!$B$5,'ENTRY DATA'!K43&lt;='TABEL KONVERSI'!$C$5),3,IF(AND(K43&gt;='TABEL KONVERSI'!$B$6,'ENTRY DATA'!K43&lt;='TABEL KONVERSI'!$C$6),4,"")))),"-")</f>
        <v>-</v>
      </c>
      <c r="N43" s="38" t="str">
        <f t="shared" si="36"/>
        <v>-</v>
      </c>
      <c r="O43" s="38" t="str">
        <f>VLOOKUP(L43,'TABEL KONVERSI'!$A$3:$D$7,4)</f>
        <v>-</v>
      </c>
      <c r="P43" s="38" t="str">
        <f t="shared" si="37"/>
        <v>-</v>
      </c>
      <c r="Q43" s="38" t="str">
        <f>VLOOKUP(M43,'TABEL KONVERSI'!$A$3:$D$7,4)</f>
        <v>-</v>
      </c>
      <c r="R43" s="42"/>
      <c r="S43" s="37"/>
      <c r="T43" s="73"/>
      <c r="U43" s="73"/>
      <c r="V43" s="38" t="str">
        <f t="shared" si="38"/>
        <v/>
      </c>
      <c r="W43" s="38" t="str">
        <f t="shared" si="39"/>
        <v/>
      </c>
      <c r="X43" s="38" t="str">
        <f>IF(V43&lt;&gt;"",IF(AND(V43&gt;='TABEL KONVERSI'!$B$3,'ENTRY DATA'!V43&lt;='TABEL KONVERSI'!$C$3),1,IF(AND(V43&gt;='TABEL KONVERSI'!$B$4,'ENTRY DATA'!V43&lt;='TABEL KONVERSI'!$C$4),2,IF(AND(V43&gt;='TABEL KONVERSI'!$B$5,'ENTRY DATA'!V43&lt;='TABEL KONVERSI'!$C$5),3,IF(AND(V43&gt;='TABEL KONVERSI'!$B$6,'ENTRY DATA'!V43&lt;='TABEL KONVERSI'!$C$6),4,"")))),"-")</f>
        <v>-</v>
      </c>
      <c r="Y43" s="38" t="str">
        <f>IF(W43&lt;&gt;"",IF(AND(W43&gt;='TABEL KONVERSI'!$B$3,'ENTRY DATA'!W43&lt;='TABEL KONVERSI'!$C$3),1,IF(AND(W43&gt;='TABEL KONVERSI'!$B$4,'ENTRY DATA'!W43&lt;='TABEL KONVERSI'!$C$4),2,IF(AND(W43&gt;='TABEL KONVERSI'!$B$5,'ENTRY DATA'!W43&lt;='TABEL KONVERSI'!$C$5),3,IF(AND(W43&gt;='TABEL KONVERSI'!$B$6,'ENTRY DATA'!W43&lt;='TABEL KONVERSI'!$C$6),4,"")))),"-")</f>
        <v>-</v>
      </c>
      <c r="Z43" s="38" t="str">
        <f t="shared" si="40"/>
        <v>-</v>
      </c>
      <c r="AA43" s="38" t="str">
        <f>VLOOKUP(X43,'TABEL KONVERSI'!$A$3:$D$7,4)</f>
        <v>-</v>
      </c>
      <c r="AB43" s="38" t="str">
        <f t="shared" si="41"/>
        <v>-</v>
      </c>
      <c r="AC43" s="38" t="str">
        <f>VLOOKUP(Y43,'TABEL KONVERSI'!$A$3:$D$7,4)</f>
        <v>-</v>
      </c>
      <c r="AD43" s="42"/>
      <c r="AE43" s="37"/>
      <c r="AF43" s="73"/>
      <c r="AG43" s="73"/>
      <c r="AH43" s="38" t="str">
        <f t="shared" si="42"/>
        <v/>
      </c>
      <c r="AI43" s="38" t="str">
        <f t="shared" si="43"/>
        <v/>
      </c>
      <c r="AJ43" s="38" t="str">
        <f>IF(AH43&lt;&gt;"",IF(AND(AH43&gt;='TABEL KONVERSI'!$B$3,'ENTRY DATA'!AH43&lt;='TABEL KONVERSI'!$C$3),1,IF(AND(AH43&gt;='TABEL KONVERSI'!$B$4,'ENTRY DATA'!AH43&lt;='TABEL KONVERSI'!$C$4),2,IF(AND(AH43&gt;='TABEL KONVERSI'!$B$5,'ENTRY DATA'!AH43&lt;='TABEL KONVERSI'!$C$5),3,IF(AND(AH43&gt;='TABEL KONVERSI'!$B$6,'ENTRY DATA'!AH43&lt;='TABEL KONVERSI'!$C$6),4,"")))),"-")</f>
        <v>-</v>
      </c>
      <c r="AK43" s="38" t="str">
        <f>IF(AI43&lt;&gt;"",IF(AND(AI43&gt;='TABEL KONVERSI'!$B$3,'ENTRY DATA'!AI43&lt;='TABEL KONVERSI'!$C$3),1,IF(AND(AI43&gt;='TABEL KONVERSI'!$B$4,'ENTRY DATA'!AI43&lt;='TABEL KONVERSI'!$C$4),2,IF(AND(AI43&gt;='TABEL KONVERSI'!$B$5,'ENTRY DATA'!AI43&lt;='TABEL KONVERSI'!$C$5),3,IF(AND(AI43&gt;='TABEL KONVERSI'!$B$6,'ENTRY DATA'!AI43&lt;='TABEL KONVERSI'!$C$6),4,"")))),"-")</f>
        <v>-</v>
      </c>
      <c r="AL43" s="38" t="str">
        <f t="shared" si="44"/>
        <v>-</v>
      </c>
      <c r="AM43" s="38" t="str">
        <f>VLOOKUP(AJ43,'TABEL KONVERSI'!$A$3:$D$7,4)</f>
        <v>-</v>
      </c>
      <c r="AN43" s="38" t="str">
        <f t="shared" si="45"/>
        <v>-</v>
      </c>
      <c r="AO43" s="38" t="str">
        <f>VLOOKUP(AK43,'TABEL KONVERSI'!$A$3:$D$7,4)</f>
        <v>-</v>
      </c>
      <c r="AP43" s="42"/>
      <c r="AQ43" s="37"/>
      <c r="AR43" s="73"/>
      <c r="AS43" s="73"/>
      <c r="AT43" s="38" t="str">
        <f t="shared" si="46"/>
        <v/>
      </c>
      <c r="AU43" s="38" t="str">
        <f t="shared" si="47"/>
        <v/>
      </c>
      <c r="AV43" s="38" t="str">
        <f>IF(AT43&lt;&gt;"",IF(AND(AT43&gt;='TABEL KONVERSI'!$B$3,'ENTRY DATA'!AT43&lt;='TABEL KONVERSI'!$C$3),1,IF(AND(AT43&gt;='TABEL KONVERSI'!$B$4,'ENTRY DATA'!AT43&lt;='TABEL KONVERSI'!$C$4),2,IF(AND(AT43&gt;='TABEL KONVERSI'!$B$5,'ENTRY DATA'!AT43&lt;='TABEL KONVERSI'!$C$5),3,IF(AND(AT43&gt;='TABEL KONVERSI'!$B$6,'ENTRY DATA'!AT43&lt;='TABEL KONVERSI'!$C$6),4,"")))),"-")</f>
        <v>-</v>
      </c>
      <c r="AW43" s="38" t="str">
        <f>IF(AU43&lt;&gt;"",IF(AND(AU43&gt;='TABEL KONVERSI'!$B$3,'ENTRY DATA'!AU43&lt;='TABEL KONVERSI'!$C$3),1,IF(AND(AU43&gt;='TABEL KONVERSI'!$B$4,'ENTRY DATA'!AU43&lt;='TABEL KONVERSI'!$C$4),2,IF(AND(AU43&gt;='TABEL KONVERSI'!$B$5,'ENTRY DATA'!AU43&lt;='TABEL KONVERSI'!$C$5),3,IF(AND(AU43&gt;='TABEL KONVERSI'!$B$6,'ENTRY DATA'!AU43&lt;='TABEL KONVERSI'!$C$6),4,"")))),"-")</f>
        <v>-</v>
      </c>
      <c r="AX43" s="38" t="str">
        <f t="shared" si="48"/>
        <v>-</v>
      </c>
      <c r="AY43" s="38" t="str">
        <f>VLOOKUP(AV43,'TABEL KONVERSI'!$A$3:$D$7,4)</f>
        <v>-</v>
      </c>
      <c r="AZ43" s="38" t="str">
        <f t="shared" si="49"/>
        <v>-</v>
      </c>
      <c r="BA43" s="38" t="str">
        <f>VLOOKUP(AW43,'TABEL KONVERSI'!$A$3:$D$7,4)</f>
        <v>-</v>
      </c>
      <c r="BB43" s="42"/>
      <c r="BC43" s="37"/>
      <c r="BD43" s="73"/>
      <c r="BE43" s="73"/>
      <c r="BF43" s="38" t="str">
        <f t="shared" si="50"/>
        <v/>
      </c>
      <c r="BG43" s="38" t="str">
        <f t="shared" si="51"/>
        <v/>
      </c>
      <c r="BH43" s="38" t="str">
        <f>IF(BF43&lt;&gt;"",IF(AND(BF43&gt;='TABEL KONVERSI'!$B$3,'ENTRY DATA'!BF43&lt;='TABEL KONVERSI'!$C$3),1,IF(AND(BF43&gt;='TABEL KONVERSI'!$B$4,'ENTRY DATA'!BF43&lt;='TABEL KONVERSI'!$C$4),2,IF(AND(BF43&gt;='TABEL KONVERSI'!$B$5,'ENTRY DATA'!BF43&lt;='TABEL KONVERSI'!$C$5),3,IF(AND(BF43&gt;='TABEL KONVERSI'!$B$6,'ENTRY DATA'!BF43&lt;='TABEL KONVERSI'!$C$6),4,"")))),"-")</f>
        <v>-</v>
      </c>
      <c r="BI43" s="38" t="str">
        <f>IF(BG43&lt;&gt;"",IF(AND(BG43&gt;='TABEL KONVERSI'!$B$3,'ENTRY DATA'!BG43&lt;='TABEL KONVERSI'!$C$3),1,IF(AND(BG43&gt;='TABEL KONVERSI'!$B$4,'ENTRY DATA'!BG43&lt;='TABEL KONVERSI'!$C$4),2,IF(AND(BG43&gt;='TABEL KONVERSI'!$B$5,'ENTRY DATA'!BG43&lt;='TABEL KONVERSI'!$C$5),3,IF(AND(BG43&gt;='TABEL KONVERSI'!$B$6,'ENTRY DATA'!BG43&lt;='TABEL KONVERSI'!$C$6),4,"")))),"-")</f>
        <v>-</v>
      </c>
      <c r="BJ43" s="38" t="str">
        <f t="shared" si="52"/>
        <v>-</v>
      </c>
      <c r="BK43" s="38" t="str">
        <f>VLOOKUP(BH43,'TABEL KONVERSI'!$A$3:$D$7,4)</f>
        <v>-</v>
      </c>
      <c r="BL43" s="38" t="str">
        <f t="shared" si="53"/>
        <v>-</v>
      </c>
      <c r="BM43" s="38" t="str">
        <f>VLOOKUP(BI43,'TABEL KONVERSI'!$A$3:$D$7,4)</f>
        <v>-</v>
      </c>
      <c r="BN43" s="42"/>
      <c r="BO43" s="37"/>
      <c r="BP43" s="73"/>
      <c r="BQ43" s="73"/>
      <c r="BR43" s="38" t="str">
        <f t="shared" si="54"/>
        <v/>
      </c>
      <c r="BS43" s="38" t="str">
        <f t="shared" si="55"/>
        <v/>
      </c>
      <c r="BT43" s="38" t="str">
        <f>IF(BR43&lt;&gt;"",IF(AND(BR43&gt;='TABEL KONVERSI'!$B$3,'ENTRY DATA'!BR43&lt;='TABEL KONVERSI'!$C$3),1,IF(AND(BR43&gt;='TABEL KONVERSI'!$B$4,'ENTRY DATA'!BR43&lt;='TABEL KONVERSI'!$C$4),2,IF(AND(BR43&gt;='TABEL KONVERSI'!$B$5,'ENTRY DATA'!BR43&lt;='TABEL KONVERSI'!$C$5),3,IF(AND(BR43&gt;='TABEL KONVERSI'!$B$6,'ENTRY DATA'!BR43&lt;='TABEL KONVERSI'!$C$6),4,"")))),"-")</f>
        <v>-</v>
      </c>
      <c r="BU43" s="38" t="str">
        <f>IF(BS43&lt;&gt;"",IF(AND(BS43&gt;='TABEL KONVERSI'!$B$3,'ENTRY DATA'!BS43&lt;='TABEL KONVERSI'!$C$3),1,IF(AND(BS43&gt;='TABEL KONVERSI'!$B$4,'ENTRY DATA'!BS43&lt;='TABEL KONVERSI'!$C$4),2,IF(AND(BS43&gt;='TABEL KONVERSI'!$B$5,'ENTRY DATA'!BS43&lt;='TABEL KONVERSI'!$C$5),3,IF(AND(BS43&gt;='TABEL KONVERSI'!$B$6,'ENTRY DATA'!BS43&lt;='TABEL KONVERSI'!$C$6),4,"")))),"-")</f>
        <v>-</v>
      </c>
      <c r="BV43" s="38" t="str">
        <f t="shared" si="56"/>
        <v>-</v>
      </c>
      <c r="BW43" s="38" t="str">
        <f>VLOOKUP(BT43,'TABEL KONVERSI'!$A$3:$D$7,4)</f>
        <v>-</v>
      </c>
      <c r="BX43" s="38" t="str">
        <f t="shared" si="57"/>
        <v>-</v>
      </c>
      <c r="BY43" s="38" t="str">
        <f>VLOOKUP(BU43,'TABEL KONVERSI'!$A$3:$D$7,4)</f>
        <v>-</v>
      </c>
      <c r="BZ43" s="42"/>
      <c r="CA43" s="37"/>
      <c r="CB43" s="73"/>
      <c r="CC43" s="73"/>
      <c r="CD43" s="38" t="str">
        <f t="shared" si="58"/>
        <v/>
      </c>
      <c r="CE43" s="38" t="str">
        <f t="shared" si="59"/>
        <v/>
      </c>
      <c r="CF43" s="38" t="str">
        <f>IF(CD43&lt;&gt;"",IF(AND(CD43&gt;='TABEL KONVERSI'!$B$3,'ENTRY DATA'!CD43&lt;='TABEL KONVERSI'!$C$3),1,IF(AND(CD43&gt;='TABEL KONVERSI'!$B$4,'ENTRY DATA'!CD43&lt;='TABEL KONVERSI'!$C$4),2,IF(AND(CD43&gt;='TABEL KONVERSI'!$B$5,'ENTRY DATA'!CD43&lt;='TABEL KONVERSI'!$C$5),3,IF(AND(CD43&gt;='TABEL KONVERSI'!$B$6,'ENTRY DATA'!CD43&lt;='TABEL KONVERSI'!$C$6),4,"")))),"-")</f>
        <v>-</v>
      </c>
      <c r="CG43" s="38" t="str">
        <f>IF(CE43&lt;&gt;"",IF(AND(CE43&gt;='TABEL KONVERSI'!$B$3,'ENTRY DATA'!CE43&lt;='TABEL KONVERSI'!$C$3),1,IF(AND(CE43&gt;='TABEL KONVERSI'!$B$4,'ENTRY DATA'!CE43&lt;='TABEL KONVERSI'!$C$4),2,IF(AND(CE43&gt;='TABEL KONVERSI'!$B$5,'ENTRY DATA'!CE43&lt;='TABEL KONVERSI'!$C$5),3,IF(AND(CE43&gt;='TABEL KONVERSI'!$B$6,'ENTRY DATA'!CE43&lt;='TABEL KONVERSI'!$C$6),4,"")))),"-")</f>
        <v>-</v>
      </c>
      <c r="CH43" s="38" t="str">
        <f t="shared" si="60"/>
        <v>-</v>
      </c>
      <c r="CI43" s="38" t="str">
        <f>VLOOKUP(CF43,'TABEL KONVERSI'!$A$3:$D$7,4)</f>
        <v>-</v>
      </c>
      <c r="CJ43" s="38" t="str">
        <f t="shared" si="61"/>
        <v>-</v>
      </c>
      <c r="CK43" s="38" t="str">
        <f>VLOOKUP(CG43,'TABEL KONVERSI'!$A$3:$D$7,4)</f>
        <v>-</v>
      </c>
      <c r="CL43" s="42"/>
      <c r="CM43" s="37"/>
      <c r="CN43" s="73"/>
      <c r="CO43" s="73"/>
      <c r="CP43" s="38" t="str">
        <f t="shared" si="62"/>
        <v/>
      </c>
      <c r="CQ43" s="38" t="str">
        <f t="shared" si="63"/>
        <v/>
      </c>
      <c r="CR43" s="38" t="str">
        <f>IF(CP43&lt;&gt;"",IF(AND(CP43&gt;='TABEL KONVERSI'!$B$3,'ENTRY DATA'!CP43&lt;='TABEL KONVERSI'!$C$3),1,IF(AND(CP43&gt;='TABEL KONVERSI'!$B$4,'ENTRY DATA'!CP43&lt;='TABEL KONVERSI'!$C$4),2,IF(AND(CP43&gt;='TABEL KONVERSI'!$B$5,'ENTRY DATA'!CP43&lt;='TABEL KONVERSI'!$C$5),3,IF(AND(CP43&gt;='TABEL KONVERSI'!$B$6,'ENTRY DATA'!CP43&lt;='TABEL KONVERSI'!$C$6),4,"")))),"-")</f>
        <v>-</v>
      </c>
      <c r="CS43" s="38" t="str">
        <f>IF(CQ43&lt;&gt;"",IF(AND(CQ43&gt;='TABEL KONVERSI'!$B$3,'ENTRY DATA'!CQ43&lt;='TABEL KONVERSI'!$C$3),1,IF(AND(CQ43&gt;='TABEL KONVERSI'!$B$4,'ENTRY DATA'!CQ43&lt;='TABEL KONVERSI'!$C$4),2,IF(AND(CQ43&gt;='TABEL KONVERSI'!$B$5,'ENTRY DATA'!CQ43&lt;='TABEL KONVERSI'!$C$5),3,IF(AND(CQ43&gt;='TABEL KONVERSI'!$B$6,'ENTRY DATA'!CQ43&lt;='TABEL KONVERSI'!$C$6),4,"")))),"-")</f>
        <v>-</v>
      </c>
      <c r="CT43" s="38" t="str">
        <f t="shared" si="64"/>
        <v>-</v>
      </c>
      <c r="CU43" s="38" t="str">
        <f>VLOOKUP(CR43,'TABEL KONVERSI'!$A$3:$D$7,4)</f>
        <v>-</v>
      </c>
      <c r="CV43" s="38" t="str">
        <f t="shared" si="65"/>
        <v>-</v>
      </c>
      <c r="CW43" s="38" t="str">
        <f>VLOOKUP(CS43,'TABEL KONVERSI'!$A$3:$D$7,4)</f>
        <v>-</v>
      </c>
      <c r="CX43" s="42"/>
      <c r="CY43" s="37"/>
      <c r="CZ43" s="73"/>
      <c r="DA43" s="73"/>
      <c r="DB43" s="38" t="str">
        <f t="shared" si="66"/>
        <v/>
      </c>
      <c r="DC43" s="38" t="str">
        <f t="shared" si="67"/>
        <v/>
      </c>
      <c r="DD43" s="38" t="str">
        <f>IF(DB43&lt;&gt;"",IF(AND(DB43&gt;='TABEL KONVERSI'!$B$3,'ENTRY DATA'!DB43&lt;='TABEL KONVERSI'!$C$3),1,IF(AND(DB43&gt;='TABEL KONVERSI'!$B$4,'ENTRY DATA'!DB43&lt;='TABEL KONVERSI'!$C$4),2,IF(AND(DB43&gt;='TABEL KONVERSI'!$B$5,'ENTRY DATA'!DB43&lt;='TABEL KONVERSI'!$C$5),3,IF(AND(DB43&gt;='TABEL KONVERSI'!$B$6,'ENTRY DATA'!DB43&lt;='TABEL KONVERSI'!$C$6),4,"")))),"-")</f>
        <v>-</v>
      </c>
      <c r="DE43" s="38" t="str">
        <f>IF(DC43&lt;&gt;"",IF(AND(DC43&gt;='TABEL KONVERSI'!$B$3,'ENTRY DATA'!DC43&lt;='TABEL KONVERSI'!$C$3),1,IF(AND(DC43&gt;='TABEL KONVERSI'!$B$4,'ENTRY DATA'!DC43&lt;='TABEL KONVERSI'!$C$4),2,IF(AND(DC43&gt;='TABEL KONVERSI'!$B$5,'ENTRY DATA'!DC43&lt;='TABEL KONVERSI'!$C$5),3,IF(AND(DC43&gt;='TABEL KONVERSI'!$B$6,'ENTRY DATA'!DC43&lt;='TABEL KONVERSI'!$C$6),4,"")))),"-")</f>
        <v>-</v>
      </c>
      <c r="DF43" s="38" t="str">
        <f t="shared" si="68"/>
        <v>-</v>
      </c>
      <c r="DG43" s="38" t="str">
        <f>VLOOKUP(DD43,'TABEL KONVERSI'!$A$3:$D$7,4)</f>
        <v>-</v>
      </c>
      <c r="DH43" s="38" t="str">
        <f t="shared" si="69"/>
        <v>-</v>
      </c>
      <c r="DI43" s="38" t="str">
        <f>VLOOKUP(DE43,'TABEL KONVERSI'!$A$3:$D$7,4)</f>
        <v>-</v>
      </c>
      <c r="DJ43" s="42"/>
      <c r="DK43" s="37"/>
      <c r="DL43" s="73"/>
      <c r="DM43" s="73"/>
      <c r="DN43" s="38" t="str">
        <f t="shared" si="70"/>
        <v/>
      </c>
      <c r="DO43" s="38" t="str">
        <f t="shared" si="71"/>
        <v/>
      </c>
      <c r="DP43" s="38" t="str">
        <f>IF(DN43&lt;&gt;"",IF(AND(DN43&gt;='TABEL KONVERSI'!$B$3,'ENTRY DATA'!DN43&lt;='TABEL KONVERSI'!$C$3),1,IF(AND(DN43&gt;='TABEL KONVERSI'!$B$4,'ENTRY DATA'!DN43&lt;='TABEL KONVERSI'!$C$4),2,IF(AND(DN43&gt;='TABEL KONVERSI'!$B$5,'ENTRY DATA'!DN43&lt;='TABEL KONVERSI'!$C$5),3,IF(AND(DN43&gt;='TABEL KONVERSI'!$B$6,'ENTRY DATA'!DN43&lt;='TABEL KONVERSI'!$C$6),4,"")))),"-")</f>
        <v>-</v>
      </c>
      <c r="DQ43" s="38" t="str">
        <f>IF(DO43&lt;&gt;"",IF(AND(DO43&gt;='TABEL KONVERSI'!$B$3,'ENTRY DATA'!DO43&lt;='TABEL KONVERSI'!$C$3),1,IF(AND(DO43&gt;='TABEL KONVERSI'!$B$4,'ENTRY DATA'!DO43&lt;='TABEL KONVERSI'!$C$4),2,IF(AND(DO43&gt;='TABEL KONVERSI'!$B$5,'ENTRY DATA'!DO43&lt;='TABEL KONVERSI'!$C$5),3,IF(AND(DO43&gt;='TABEL KONVERSI'!$B$6,'ENTRY DATA'!DO43&lt;='TABEL KONVERSI'!$C$6),4,"")))),"-")</f>
        <v>-</v>
      </c>
      <c r="DR43" s="38" t="str">
        <f t="shared" si="72"/>
        <v>-</v>
      </c>
      <c r="DS43" s="38" t="str">
        <f>VLOOKUP(DP43,'TABEL KONVERSI'!$A$3:$D$7,4)</f>
        <v>-</v>
      </c>
      <c r="DT43" s="38" t="str">
        <f t="shared" si="73"/>
        <v>-</v>
      </c>
      <c r="DU43" s="38" t="str">
        <f>VLOOKUP(DQ43,'TABEL KONVERSI'!$A$3:$D$7,4)</f>
        <v>-</v>
      </c>
      <c r="DV43" s="42"/>
      <c r="DW43" s="37"/>
      <c r="DX43" s="73"/>
      <c r="DY43" s="73"/>
      <c r="DZ43" s="38" t="str">
        <f t="shared" si="74"/>
        <v/>
      </c>
      <c r="EA43" s="38" t="str">
        <f t="shared" si="75"/>
        <v/>
      </c>
      <c r="EB43" s="38" t="str">
        <f>IF(DZ43&lt;&gt;"",IF(AND(DZ43&gt;='TABEL KONVERSI'!$B$3,'ENTRY DATA'!DZ43&lt;='TABEL KONVERSI'!$C$3),1,IF(AND(DZ43&gt;='TABEL KONVERSI'!$B$4,'ENTRY DATA'!DZ43&lt;='TABEL KONVERSI'!$C$4),2,IF(AND(DZ43&gt;='TABEL KONVERSI'!$B$5,'ENTRY DATA'!DZ43&lt;='TABEL KONVERSI'!$C$5),3,IF(AND(DZ43&gt;='TABEL KONVERSI'!$B$6,'ENTRY DATA'!DZ43&lt;='TABEL KONVERSI'!$C$6),4,"")))),"-")</f>
        <v>-</v>
      </c>
      <c r="EC43" s="38" t="str">
        <f>IF(EA43&lt;&gt;"",IF(AND(EA43&gt;='TABEL KONVERSI'!$B$3,'ENTRY DATA'!EA43&lt;='TABEL KONVERSI'!$C$3),1,IF(AND(EA43&gt;='TABEL KONVERSI'!$B$4,'ENTRY DATA'!EA43&lt;='TABEL KONVERSI'!$C$4),2,IF(AND(EA43&gt;='TABEL KONVERSI'!$B$5,'ENTRY DATA'!EA43&lt;='TABEL KONVERSI'!$C$5),3,IF(AND(EA43&gt;='TABEL KONVERSI'!$B$6,'ENTRY DATA'!EA43&lt;='TABEL KONVERSI'!$C$6),4,"")))),"-")</f>
        <v>-</v>
      </c>
      <c r="ED43" s="38" t="str">
        <f t="shared" si="76"/>
        <v>-</v>
      </c>
      <c r="EE43" s="38" t="str">
        <f>VLOOKUP(EB43,'TABEL KONVERSI'!$A$3:$D$7,4)</f>
        <v>-</v>
      </c>
      <c r="EF43" s="38" t="str">
        <f t="shared" si="77"/>
        <v>-</v>
      </c>
      <c r="EG43" s="38" t="str">
        <f>VLOOKUP(EC43,'TABEL KONVERSI'!$A$3:$D$7,4)</f>
        <v>-</v>
      </c>
      <c r="EH43" s="42"/>
      <c r="EI43" s="37"/>
      <c r="EJ43" s="73"/>
      <c r="EK43" s="73"/>
      <c r="EL43" s="38" t="str">
        <f t="shared" si="78"/>
        <v/>
      </c>
      <c r="EM43" s="38" t="str">
        <f t="shared" si="79"/>
        <v/>
      </c>
      <c r="EN43" s="38" t="str">
        <f>IF(EL43&lt;&gt;"",IF(AND(EL43&gt;='TABEL KONVERSI'!$B$3,'ENTRY DATA'!EL43&lt;='TABEL KONVERSI'!$C$3),1,IF(AND(EL43&gt;='TABEL KONVERSI'!$B$4,'ENTRY DATA'!EL43&lt;='TABEL KONVERSI'!$C$4),2,IF(AND(EL43&gt;='TABEL KONVERSI'!$B$5,'ENTRY DATA'!EL43&lt;='TABEL KONVERSI'!$C$5),3,IF(AND(EL43&gt;='TABEL KONVERSI'!$B$6,'ENTRY DATA'!EL43&lt;='TABEL KONVERSI'!$C$6),4,"")))),"-")</f>
        <v>-</v>
      </c>
      <c r="EO43" s="38" t="str">
        <f>IF(EM43&lt;&gt;"",IF(AND(EM43&gt;='TABEL KONVERSI'!$B$3,'ENTRY DATA'!EM43&lt;='TABEL KONVERSI'!$C$3),1,IF(AND(EM43&gt;='TABEL KONVERSI'!$B$4,'ENTRY DATA'!EM43&lt;='TABEL KONVERSI'!$C$4),2,IF(AND(EM43&gt;='TABEL KONVERSI'!$B$5,'ENTRY DATA'!EM43&lt;='TABEL KONVERSI'!$C$5),3,IF(AND(EM43&gt;='TABEL KONVERSI'!$B$6,'ENTRY DATA'!EM43&lt;='TABEL KONVERSI'!$C$6),4,"")))),"-")</f>
        <v>-</v>
      </c>
      <c r="EP43" s="38" t="str">
        <f t="shared" si="80"/>
        <v>-</v>
      </c>
      <c r="EQ43" s="38" t="str">
        <f>VLOOKUP(EN43,'TABEL KONVERSI'!$A$3:$D$7,4)</f>
        <v>-</v>
      </c>
      <c r="ER43" s="38" t="str">
        <f t="shared" si="81"/>
        <v>-</v>
      </c>
      <c r="ES43" s="38" t="str">
        <f>VLOOKUP(EO43,'TABEL KONVERSI'!$A$3:$D$7,4)</f>
        <v>-</v>
      </c>
      <c r="ET43" s="42"/>
      <c r="EU43" s="37"/>
      <c r="EV43" s="73"/>
      <c r="EW43" s="73"/>
      <c r="EX43" s="38" t="str">
        <f t="shared" si="82"/>
        <v/>
      </c>
      <c r="EY43" s="38" t="str">
        <f t="shared" si="83"/>
        <v/>
      </c>
      <c r="EZ43" s="38" t="str">
        <f>IF(EX43&lt;&gt;"",IF(AND(EX43&gt;='TABEL KONVERSI'!$B$3,'ENTRY DATA'!EX43&lt;='TABEL KONVERSI'!$C$3),1,IF(AND(EX43&gt;='TABEL KONVERSI'!$B$4,'ENTRY DATA'!EX43&lt;='TABEL KONVERSI'!$C$4),2,IF(AND(EX43&gt;='TABEL KONVERSI'!$B$5,'ENTRY DATA'!EX43&lt;='TABEL KONVERSI'!$C$5),3,IF(AND(EX43&gt;='TABEL KONVERSI'!$B$6,'ENTRY DATA'!EX43&lt;='TABEL KONVERSI'!$C$6),4,"")))),"-")</f>
        <v>-</v>
      </c>
      <c r="FA43" s="38" t="str">
        <f>IF(EY43&lt;&gt;"",IF(AND(EY43&gt;='TABEL KONVERSI'!$B$3,'ENTRY DATA'!EY43&lt;='TABEL KONVERSI'!$C$3),1,IF(AND(EY43&gt;='TABEL KONVERSI'!$B$4,'ENTRY DATA'!EY43&lt;='TABEL KONVERSI'!$C$4),2,IF(AND(EY43&gt;='TABEL KONVERSI'!$B$5,'ENTRY DATA'!EY43&lt;='TABEL KONVERSI'!$C$5),3,IF(AND(EY43&gt;='TABEL KONVERSI'!$B$6,'ENTRY DATA'!EY43&lt;='TABEL KONVERSI'!$C$6),4,"")))),"-")</f>
        <v>-</v>
      </c>
      <c r="FB43" s="38" t="str">
        <f t="shared" si="84"/>
        <v>-</v>
      </c>
      <c r="FC43" s="38" t="str">
        <f>VLOOKUP(EZ43,'TABEL KONVERSI'!$A$3:$D$7,4)</f>
        <v>-</v>
      </c>
      <c r="FD43" s="38" t="str">
        <f t="shared" si="85"/>
        <v>-</v>
      </c>
      <c r="FE43" s="38" t="str">
        <f>VLOOKUP(FA43,'TABEL KONVERSI'!$A$3:$D$7,4)</f>
        <v>-</v>
      </c>
      <c r="FF43" s="42"/>
      <c r="FG43" s="37"/>
      <c r="FH43" s="73"/>
      <c r="FI43" s="73"/>
      <c r="FJ43" s="38" t="str">
        <f t="shared" si="86"/>
        <v/>
      </c>
      <c r="FK43" s="38" t="str">
        <f t="shared" si="87"/>
        <v/>
      </c>
      <c r="FL43" s="38" t="str">
        <f>IF(FJ43&lt;&gt;"",IF(AND(FJ43&gt;='TABEL KONVERSI'!$B$3,'ENTRY DATA'!FJ43&lt;='TABEL KONVERSI'!$C$3),1,IF(AND(FJ43&gt;='TABEL KONVERSI'!$B$4,'ENTRY DATA'!FJ43&lt;='TABEL KONVERSI'!$C$4),2,IF(AND(FJ43&gt;='TABEL KONVERSI'!$B$5,'ENTRY DATA'!FJ43&lt;='TABEL KONVERSI'!$C$5),3,IF(AND(FJ43&gt;='TABEL KONVERSI'!$B$6,'ENTRY DATA'!FJ43&lt;='TABEL KONVERSI'!$C$6),4,"")))),"-")</f>
        <v>-</v>
      </c>
      <c r="FM43" s="38" t="str">
        <f>IF(FK43&lt;&gt;"",IF(AND(FK43&gt;='TABEL KONVERSI'!$B$3,'ENTRY DATA'!FK43&lt;='TABEL KONVERSI'!$C$3),1,IF(AND(FK43&gt;='TABEL KONVERSI'!$B$4,'ENTRY DATA'!FK43&lt;='TABEL KONVERSI'!$C$4),2,IF(AND(FK43&gt;='TABEL KONVERSI'!$B$5,'ENTRY DATA'!FK43&lt;='TABEL KONVERSI'!$C$5),3,IF(AND(FK43&gt;='TABEL KONVERSI'!$B$6,'ENTRY DATA'!FK43&lt;='TABEL KONVERSI'!$C$6),4,"")))),"-")</f>
        <v>-</v>
      </c>
      <c r="FN43" s="38" t="str">
        <f t="shared" si="88"/>
        <v>-</v>
      </c>
      <c r="FO43" s="38" t="str">
        <f>VLOOKUP(FL43,'TABEL KONVERSI'!$A$3:$D$7,4)</f>
        <v>-</v>
      </c>
      <c r="FP43" s="38" t="str">
        <f t="shared" si="89"/>
        <v>-</v>
      </c>
      <c r="FQ43" s="38" t="str">
        <f>VLOOKUP(FM43,'TABEL KONVERSI'!$A$3:$D$7,4)</f>
        <v>-</v>
      </c>
      <c r="FR43" s="42"/>
      <c r="FS43" s="37"/>
      <c r="FT43" s="73"/>
      <c r="FU43" s="73"/>
      <c r="FV43" s="38" t="str">
        <f t="shared" si="90"/>
        <v/>
      </c>
      <c r="FW43" s="38" t="str">
        <f t="shared" si="91"/>
        <v/>
      </c>
      <c r="FX43" s="38" t="str">
        <f>IF(FV43&lt;&gt;"",IF(AND(FV43&gt;='TABEL KONVERSI'!$B$3,'ENTRY DATA'!FV43&lt;='TABEL KONVERSI'!$C$3),1,IF(AND(FV43&gt;='TABEL KONVERSI'!$B$4,'ENTRY DATA'!FV43&lt;='TABEL KONVERSI'!$C$4),2,IF(AND(FV43&gt;='TABEL KONVERSI'!$B$5,'ENTRY DATA'!FV43&lt;='TABEL KONVERSI'!$C$5),3,IF(AND(FV43&gt;='TABEL KONVERSI'!$B$6,'ENTRY DATA'!FV43&lt;='TABEL KONVERSI'!$C$6),4,"")))),"-")</f>
        <v>-</v>
      </c>
      <c r="FY43" s="38" t="str">
        <f>IF(FW43&lt;&gt;"",IF(AND(FW43&gt;='TABEL KONVERSI'!$B$3,'ENTRY DATA'!FW43&lt;='TABEL KONVERSI'!$C$3),1,IF(AND(FW43&gt;='TABEL KONVERSI'!$B$4,'ENTRY DATA'!FW43&lt;='TABEL KONVERSI'!$C$4),2,IF(AND(FW43&gt;='TABEL KONVERSI'!$B$5,'ENTRY DATA'!FW43&lt;='TABEL KONVERSI'!$C$5),3,IF(AND(FW43&gt;='TABEL KONVERSI'!$B$6,'ENTRY DATA'!FW43&lt;='TABEL KONVERSI'!$C$6),4,"")))),"-")</f>
        <v>-</v>
      </c>
      <c r="FZ43" s="38" t="str">
        <f t="shared" si="92"/>
        <v>-</v>
      </c>
      <c r="GA43" s="38" t="str">
        <f>VLOOKUP(FX43,'TABEL KONVERSI'!$A$3:$D$7,4)</f>
        <v>-</v>
      </c>
      <c r="GB43" s="38" t="str">
        <f t="shared" si="93"/>
        <v>-</v>
      </c>
      <c r="GC43" s="38" t="str">
        <f>VLOOKUP(FY43,'TABEL KONVERSI'!$A$3:$D$7,4)</f>
        <v>-</v>
      </c>
      <c r="GD43" s="42"/>
      <c r="GE43" s="37"/>
      <c r="GF43" s="73"/>
      <c r="GG43" s="73"/>
      <c r="GH43" s="38" t="str">
        <f t="shared" si="94"/>
        <v/>
      </c>
      <c r="GI43" s="38" t="str">
        <f t="shared" si="95"/>
        <v/>
      </c>
      <c r="GJ43" s="38" t="str">
        <f>IF(GH43&lt;&gt;"",IF(AND(GH43&gt;='TABEL KONVERSI'!$B$3,'ENTRY DATA'!GH43&lt;='TABEL KONVERSI'!$C$3),1,IF(AND(GH43&gt;='TABEL KONVERSI'!$B$4,'ENTRY DATA'!GH43&lt;='TABEL KONVERSI'!$C$4),2,IF(AND(GH43&gt;='TABEL KONVERSI'!$B$5,'ENTRY DATA'!GH43&lt;='TABEL KONVERSI'!$C$5),3,IF(AND(GH43&gt;='TABEL KONVERSI'!$B$6,'ENTRY DATA'!GH43&lt;='TABEL KONVERSI'!$C$6),4,"")))),"-")</f>
        <v>-</v>
      </c>
      <c r="GK43" s="38" t="str">
        <f>IF(GI43&lt;&gt;"",IF(AND(GI43&gt;='TABEL KONVERSI'!$B$3,'ENTRY DATA'!GI43&lt;='TABEL KONVERSI'!$C$3),1,IF(AND(GI43&gt;='TABEL KONVERSI'!$B$4,'ENTRY DATA'!GI43&lt;='TABEL KONVERSI'!$C$4),2,IF(AND(GI43&gt;='TABEL KONVERSI'!$B$5,'ENTRY DATA'!GI43&lt;='TABEL KONVERSI'!$C$5),3,IF(AND(GI43&gt;='TABEL KONVERSI'!$B$6,'ENTRY DATA'!GI43&lt;='TABEL KONVERSI'!$C$6),4,"")))),"-")</f>
        <v>-</v>
      </c>
      <c r="GL43" s="38" t="str">
        <f t="shared" si="96"/>
        <v>-</v>
      </c>
      <c r="GM43" s="38" t="str">
        <f>VLOOKUP(GJ43,'TABEL KONVERSI'!$A$3:$D$7,4)</f>
        <v>-</v>
      </c>
      <c r="GN43" s="38" t="str">
        <f t="shared" si="97"/>
        <v>-</v>
      </c>
      <c r="GO43" s="38" t="str">
        <f>VLOOKUP(GK43,'TABEL KONVERSI'!$A$3:$D$7,4)</f>
        <v>-</v>
      </c>
      <c r="GP43" s="43">
        <f t="shared" si="0"/>
        <v>0</v>
      </c>
      <c r="GQ43" s="43">
        <f t="shared" si="1"/>
        <v>0</v>
      </c>
      <c r="GR43" s="43">
        <f t="shared" si="2"/>
        <v>0</v>
      </c>
      <c r="GS43" s="43">
        <f t="shared" si="3"/>
        <v>0</v>
      </c>
      <c r="GT43" s="43">
        <f t="shared" si="4"/>
        <v>0</v>
      </c>
      <c r="GU43" s="43">
        <f t="shared" si="5"/>
        <v>0</v>
      </c>
      <c r="GV43" s="43">
        <f t="shared" si="6"/>
        <v>0</v>
      </c>
      <c r="GW43" s="43">
        <f t="shared" si="7"/>
        <v>0</v>
      </c>
      <c r="GX43" s="43">
        <f t="shared" si="8"/>
        <v>0</v>
      </c>
      <c r="GY43" s="43">
        <f t="shared" si="9"/>
        <v>0</v>
      </c>
      <c r="GZ43" s="43">
        <f t="shared" si="10"/>
        <v>0</v>
      </c>
      <c r="HA43" s="43">
        <f t="shared" si="11"/>
        <v>0</v>
      </c>
      <c r="HB43" s="43">
        <f t="shared" si="12"/>
        <v>0</v>
      </c>
      <c r="HC43" s="43">
        <f t="shared" si="13"/>
        <v>0</v>
      </c>
      <c r="HD43" s="43">
        <f t="shared" si="14"/>
        <v>0</v>
      </c>
      <c r="HE43" s="43">
        <f t="shared" si="15"/>
        <v>0</v>
      </c>
      <c r="HF43" s="38">
        <f t="shared" si="98"/>
        <v>0</v>
      </c>
      <c r="HG43" s="38">
        <f t="shared" si="99"/>
        <v>0</v>
      </c>
      <c r="HH43" s="38">
        <f t="shared" si="100"/>
        <v>0</v>
      </c>
      <c r="HI43" s="39">
        <f t="shared" si="101"/>
        <v>0</v>
      </c>
      <c r="HJ43" s="44" t="str">
        <f t="shared" si="102"/>
        <v>-</v>
      </c>
      <c r="HK43" s="45" t="str">
        <f>VLOOKUP(HJ43,'TABEL KONVERSI'!$B$11:$D$15,2,0)</f>
        <v>-</v>
      </c>
      <c r="HL43" s="43">
        <f t="shared" si="16"/>
        <v>0</v>
      </c>
      <c r="HM43" s="43">
        <f t="shared" si="17"/>
        <v>0</v>
      </c>
      <c r="HN43" s="43">
        <f t="shared" si="18"/>
        <v>0</v>
      </c>
      <c r="HO43" s="43">
        <f t="shared" si="19"/>
        <v>0</v>
      </c>
      <c r="HP43" s="43">
        <f t="shared" si="20"/>
        <v>0</v>
      </c>
      <c r="HQ43" s="43">
        <f t="shared" si="21"/>
        <v>0</v>
      </c>
      <c r="HR43" s="43">
        <f t="shared" si="22"/>
        <v>0</v>
      </c>
      <c r="HS43" s="43">
        <f t="shared" si="23"/>
        <v>0</v>
      </c>
      <c r="HT43" s="43">
        <f t="shared" si="24"/>
        <v>0</v>
      </c>
      <c r="HU43" s="43">
        <f t="shared" si="25"/>
        <v>0</v>
      </c>
      <c r="HV43" s="43">
        <f t="shared" si="26"/>
        <v>0</v>
      </c>
      <c r="HW43" s="43">
        <f t="shared" si="27"/>
        <v>0</v>
      </c>
      <c r="HX43" s="43">
        <f t="shared" si="28"/>
        <v>0</v>
      </c>
      <c r="HY43" s="43">
        <f t="shared" si="29"/>
        <v>0</v>
      </c>
      <c r="HZ43" s="43">
        <f t="shared" si="30"/>
        <v>0</v>
      </c>
      <c r="IA43" s="43">
        <f t="shared" si="31"/>
        <v>0</v>
      </c>
      <c r="IB43" s="38">
        <f t="shared" si="103"/>
        <v>0</v>
      </c>
      <c r="IC43" s="38">
        <f t="shared" si="104"/>
        <v>0</v>
      </c>
      <c r="ID43" s="38">
        <f t="shared" si="105"/>
        <v>0</v>
      </c>
      <c r="IE43" s="38">
        <f t="shared" si="106"/>
        <v>0</v>
      </c>
      <c r="IF43" s="46" t="str">
        <f t="shared" si="107"/>
        <v>-</v>
      </c>
      <c r="IG43" s="45" t="str">
        <f>VLOOKUP(IF43,'TABEL KONVERSI'!$B$11:$D$15,3,0)</f>
        <v>-</v>
      </c>
      <c r="IH43" s="40" t="s">
        <v>223</v>
      </c>
      <c r="II43" s="41" t="s">
        <v>106</v>
      </c>
      <c r="IJ43" s="45" t="str">
        <f>IF(II43&lt;&gt;"",VLOOKUP(II43,'TABEL KONVERSI'!$A$19:$B$23,2,0),"")</f>
        <v>Aktif dalam mengikuti kegiatan</v>
      </c>
      <c r="IK43" s="47" t="s">
        <v>58</v>
      </c>
      <c r="IL43" s="50" t="s">
        <v>58</v>
      </c>
      <c r="IM43" s="45" t="str">
        <f>IF(IL43&lt;&gt;"",VLOOKUP(IL43,'TABEL KONVERSI'!$A$19:$B$23,2,0),"")</f>
        <v>-</v>
      </c>
      <c r="IN43" s="49" t="s">
        <v>58</v>
      </c>
      <c r="IO43" s="48" t="s">
        <v>58</v>
      </c>
      <c r="IP43" s="45" t="str">
        <f>IF(IO43&lt;&gt;"",VLOOKUP(IO43,'TABEL KONVERSI'!$A$19:$B$23,2,0),"")</f>
        <v>-</v>
      </c>
      <c r="IQ43" s="49" t="s">
        <v>58</v>
      </c>
      <c r="IR43" s="50" t="s">
        <v>58</v>
      </c>
      <c r="IS43" s="45" t="str">
        <f>IF(IR43&lt;&gt;"",VLOOKUP(IR43,'TABEL KONVERSI'!$A$19:$B$23,2,0),"")</f>
        <v>-</v>
      </c>
      <c r="IT43" s="49" t="s">
        <v>58</v>
      </c>
      <c r="IU43" s="50" t="s">
        <v>58</v>
      </c>
      <c r="IV43" s="45" t="str">
        <f>IF(IU43&lt;&gt;"",VLOOKUP(IU43,'TABEL KONVERSI'!$A$19:$B$23,2,0),"")</f>
        <v>-</v>
      </c>
      <c r="IW43" s="48" t="s">
        <v>58</v>
      </c>
      <c r="IX43" s="48" t="s">
        <v>58</v>
      </c>
      <c r="IY43" s="48" t="s">
        <v>58</v>
      </c>
      <c r="IZ43" s="47" t="s">
        <v>58</v>
      </c>
      <c r="JA43" s="45">
        <f t="shared" si="32"/>
        <v>0</v>
      </c>
      <c r="JB43" s="45">
        <f t="shared" si="33"/>
        <v>1</v>
      </c>
    </row>
    <row r="44" spans="1:262" x14ac:dyDescent="0.25">
      <c r="A44" s="33">
        <v>32</v>
      </c>
      <c r="B44" s="51"/>
      <c r="C44" s="51"/>
      <c r="D44" s="77"/>
      <c r="E44" s="52"/>
      <c r="F44" s="42"/>
      <c r="G44" s="37"/>
      <c r="H44" s="73"/>
      <c r="I44" s="73"/>
      <c r="J44" s="38" t="str">
        <f t="shared" si="34"/>
        <v/>
      </c>
      <c r="K44" s="38" t="str">
        <f t="shared" si="35"/>
        <v/>
      </c>
      <c r="L44" s="38" t="str">
        <f>IF(J44&lt;&gt;"",IF(AND(J44&gt;='TABEL KONVERSI'!$B$3,'ENTRY DATA'!J44&lt;='TABEL KONVERSI'!$C$3),1,IF(AND(J44&gt;='TABEL KONVERSI'!$B$4,'ENTRY DATA'!J44&lt;='TABEL KONVERSI'!$C$4),2,IF(AND(J44&gt;='TABEL KONVERSI'!$B$5,'ENTRY DATA'!J44&lt;='TABEL KONVERSI'!$C$5),3,IF(AND(J44&gt;='TABEL KONVERSI'!$B$6,'ENTRY DATA'!J44&lt;='TABEL KONVERSI'!$C$6),4,"")))),"-")</f>
        <v>-</v>
      </c>
      <c r="M44" s="38" t="str">
        <f>IF(K44&lt;&gt;"",IF(AND(K44&gt;='TABEL KONVERSI'!$B$3,'ENTRY DATA'!K44&lt;='TABEL KONVERSI'!$C$3),1,IF(AND(K44&gt;='TABEL KONVERSI'!$B$4,'ENTRY DATA'!K44&lt;='TABEL KONVERSI'!$C$4),2,IF(AND(K44&gt;='TABEL KONVERSI'!$B$5,'ENTRY DATA'!K44&lt;='TABEL KONVERSI'!$C$5),3,IF(AND(K44&gt;='TABEL KONVERSI'!$B$6,'ENTRY DATA'!K44&lt;='TABEL KONVERSI'!$C$6),4,"")))),"-")</f>
        <v>-</v>
      </c>
      <c r="N44" s="38" t="str">
        <f t="shared" si="36"/>
        <v>-</v>
      </c>
      <c r="O44" s="38" t="str">
        <f>VLOOKUP(L44,'TABEL KONVERSI'!$A$3:$D$7,4)</f>
        <v>-</v>
      </c>
      <c r="P44" s="38" t="str">
        <f t="shared" si="37"/>
        <v>-</v>
      </c>
      <c r="Q44" s="38" t="str">
        <f>VLOOKUP(M44,'TABEL KONVERSI'!$A$3:$D$7,4)</f>
        <v>-</v>
      </c>
      <c r="R44" s="42"/>
      <c r="S44" s="37"/>
      <c r="T44" s="73"/>
      <c r="U44" s="73"/>
      <c r="V44" s="38" t="str">
        <f t="shared" si="38"/>
        <v/>
      </c>
      <c r="W44" s="38" t="str">
        <f t="shared" si="39"/>
        <v/>
      </c>
      <c r="X44" s="38" t="str">
        <f>IF(V44&lt;&gt;"",IF(AND(V44&gt;='TABEL KONVERSI'!$B$3,'ENTRY DATA'!V44&lt;='TABEL KONVERSI'!$C$3),1,IF(AND(V44&gt;='TABEL KONVERSI'!$B$4,'ENTRY DATA'!V44&lt;='TABEL KONVERSI'!$C$4),2,IF(AND(V44&gt;='TABEL KONVERSI'!$B$5,'ENTRY DATA'!V44&lt;='TABEL KONVERSI'!$C$5),3,IF(AND(V44&gt;='TABEL KONVERSI'!$B$6,'ENTRY DATA'!V44&lt;='TABEL KONVERSI'!$C$6),4,"")))),"-")</f>
        <v>-</v>
      </c>
      <c r="Y44" s="38" t="str">
        <f>IF(W44&lt;&gt;"",IF(AND(W44&gt;='TABEL KONVERSI'!$B$3,'ENTRY DATA'!W44&lt;='TABEL KONVERSI'!$C$3),1,IF(AND(W44&gt;='TABEL KONVERSI'!$B$4,'ENTRY DATA'!W44&lt;='TABEL KONVERSI'!$C$4),2,IF(AND(W44&gt;='TABEL KONVERSI'!$B$5,'ENTRY DATA'!W44&lt;='TABEL KONVERSI'!$C$5),3,IF(AND(W44&gt;='TABEL KONVERSI'!$B$6,'ENTRY DATA'!W44&lt;='TABEL KONVERSI'!$C$6),4,"")))),"-")</f>
        <v>-</v>
      </c>
      <c r="Z44" s="38" t="str">
        <f t="shared" si="40"/>
        <v>-</v>
      </c>
      <c r="AA44" s="38" t="str">
        <f>VLOOKUP(X44,'TABEL KONVERSI'!$A$3:$D$7,4)</f>
        <v>-</v>
      </c>
      <c r="AB44" s="38" t="str">
        <f t="shared" si="41"/>
        <v>-</v>
      </c>
      <c r="AC44" s="38" t="str">
        <f>VLOOKUP(Y44,'TABEL KONVERSI'!$A$3:$D$7,4)</f>
        <v>-</v>
      </c>
      <c r="AD44" s="42"/>
      <c r="AE44" s="37"/>
      <c r="AF44" s="73"/>
      <c r="AG44" s="73"/>
      <c r="AH44" s="38" t="str">
        <f t="shared" si="42"/>
        <v/>
      </c>
      <c r="AI44" s="38" t="str">
        <f t="shared" si="43"/>
        <v/>
      </c>
      <c r="AJ44" s="38" t="str">
        <f>IF(AH44&lt;&gt;"",IF(AND(AH44&gt;='TABEL KONVERSI'!$B$3,'ENTRY DATA'!AH44&lt;='TABEL KONVERSI'!$C$3),1,IF(AND(AH44&gt;='TABEL KONVERSI'!$B$4,'ENTRY DATA'!AH44&lt;='TABEL KONVERSI'!$C$4),2,IF(AND(AH44&gt;='TABEL KONVERSI'!$B$5,'ENTRY DATA'!AH44&lt;='TABEL KONVERSI'!$C$5),3,IF(AND(AH44&gt;='TABEL KONVERSI'!$B$6,'ENTRY DATA'!AH44&lt;='TABEL KONVERSI'!$C$6),4,"")))),"-")</f>
        <v>-</v>
      </c>
      <c r="AK44" s="38" t="str">
        <f>IF(AI44&lt;&gt;"",IF(AND(AI44&gt;='TABEL KONVERSI'!$B$3,'ENTRY DATA'!AI44&lt;='TABEL KONVERSI'!$C$3),1,IF(AND(AI44&gt;='TABEL KONVERSI'!$B$4,'ENTRY DATA'!AI44&lt;='TABEL KONVERSI'!$C$4),2,IF(AND(AI44&gt;='TABEL KONVERSI'!$B$5,'ENTRY DATA'!AI44&lt;='TABEL KONVERSI'!$C$5),3,IF(AND(AI44&gt;='TABEL KONVERSI'!$B$6,'ENTRY DATA'!AI44&lt;='TABEL KONVERSI'!$C$6),4,"")))),"-")</f>
        <v>-</v>
      </c>
      <c r="AL44" s="38" t="str">
        <f t="shared" si="44"/>
        <v>-</v>
      </c>
      <c r="AM44" s="38" t="str">
        <f>VLOOKUP(AJ44,'TABEL KONVERSI'!$A$3:$D$7,4)</f>
        <v>-</v>
      </c>
      <c r="AN44" s="38" t="str">
        <f t="shared" si="45"/>
        <v>-</v>
      </c>
      <c r="AO44" s="38" t="str">
        <f>VLOOKUP(AK44,'TABEL KONVERSI'!$A$3:$D$7,4)</f>
        <v>-</v>
      </c>
      <c r="AP44" s="42"/>
      <c r="AQ44" s="37"/>
      <c r="AR44" s="73"/>
      <c r="AS44" s="73"/>
      <c r="AT44" s="38" t="str">
        <f t="shared" si="46"/>
        <v/>
      </c>
      <c r="AU44" s="38" t="str">
        <f t="shared" si="47"/>
        <v/>
      </c>
      <c r="AV44" s="38" t="str">
        <f>IF(AT44&lt;&gt;"",IF(AND(AT44&gt;='TABEL KONVERSI'!$B$3,'ENTRY DATA'!AT44&lt;='TABEL KONVERSI'!$C$3),1,IF(AND(AT44&gt;='TABEL KONVERSI'!$B$4,'ENTRY DATA'!AT44&lt;='TABEL KONVERSI'!$C$4),2,IF(AND(AT44&gt;='TABEL KONVERSI'!$B$5,'ENTRY DATA'!AT44&lt;='TABEL KONVERSI'!$C$5),3,IF(AND(AT44&gt;='TABEL KONVERSI'!$B$6,'ENTRY DATA'!AT44&lt;='TABEL KONVERSI'!$C$6),4,"")))),"-")</f>
        <v>-</v>
      </c>
      <c r="AW44" s="38" t="str">
        <f>IF(AU44&lt;&gt;"",IF(AND(AU44&gt;='TABEL KONVERSI'!$B$3,'ENTRY DATA'!AU44&lt;='TABEL KONVERSI'!$C$3),1,IF(AND(AU44&gt;='TABEL KONVERSI'!$B$4,'ENTRY DATA'!AU44&lt;='TABEL KONVERSI'!$C$4),2,IF(AND(AU44&gt;='TABEL KONVERSI'!$B$5,'ENTRY DATA'!AU44&lt;='TABEL KONVERSI'!$C$5),3,IF(AND(AU44&gt;='TABEL KONVERSI'!$B$6,'ENTRY DATA'!AU44&lt;='TABEL KONVERSI'!$C$6),4,"")))),"-")</f>
        <v>-</v>
      </c>
      <c r="AX44" s="38" t="str">
        <f t="shared" si="48"/>
        <v>-</v>
      </c>
      <c r="AY44" s="38" t="str">
        <f>VLOOKUP(AV44,'TABEL KONVERSI'!$A$3:$D$7,4)</f>
        <v>-</v>
      </c>
      <c r="AZ44" s="38" t="str">
        <f t="shared" si="49"/>
        <v>-</v>
      </c>
      <c r="BA44" s="38" t="str">
        <f>VLOOKUP(AW44,'TABEL KONVERSI'!$A$3:$D$7,4)</f>
        <v>-</v>
      </c>
      <c r="BB44" s="42"/>
      <c r="BC44" s="37"/>
      <c r="BD44" s="73"/>
      <c r="BE44" s="73"/>
      <c r="BF44" s="38" t="str">
        <f t="shared" si="50"/>
        <v/>
      </c>
      <c r="BG44" s="38" t="str">
        <f t="shared" si="51"/>
        <v/>
      </c>
      <c r="BH44" s="38" t="str">
        <f>IF(BF44&lt;&gt;"",IF(AND(BF44&gt;='TABEL KONVERSI'!$B$3,'ENTRY DATA'!BF44&lt;='TABEL KONVERSI'!$C$3),1,IF(AND(BF44&gt;='TABEL KONVERSI'!$B$4,'ENTRY DATA'!BF44&lt;='TABEL KONVERSI'!$C$4),2,IF(AND(BF44&gt;='TABEL KONVERSI'!$B$5,'ENTRY DATA'!BF44&lt;='TABEL KONVERSI'!$C$5),3,IF(AND(BF44&gt;='TABEL KONVERSI'!$B$6,'ENTRY DATA'!BF44&lt;='TABEL KONVERSI'!$C$6),4,"")))),"-")</f>
        <v>-</v>
      </c>
      <c r="BI44" s="38" t="str">
        <f>IF(BG44&lt;&gt;"",IF(AND(BG44&gt;='TABEL KONVERSI'!$B$3,'ENTRY DATA'!BG44&lt;='TABEL KONVERSI'!$C$3),1,IF(AND(BG44&gt;='TABEL KONVERSI'!$B$4,'ENTRY DATA'!BG44&lt;='TABEL KONVERSI'!$C$4),2,IF(AND(BG44&gt;='TABEL KONVERSI'!$B$5,'ENTRY DATA'!BG44&lt;='TABEL KONVERSI'!$C$5),3,IF(AND(BG44&gt;='TABEL KONVERSI'!$B$6,'ENTRY DATA'!BG44&lt;='TABEL KONVERSI'!$C$6),4,"")))),"-")</f>
        <v>-</v>
      </c>
      <c r="BJ44" s="38" t="str">
        <f t="shared" si="52"/>
        <v>-</v>
      </c>
      <c r="BK44" s="38" t="str">
        <f>VLOOKUP(BH44,'TABEL KONVERSI'!$A$3:$D$7,4)</f>
        <v>-</v>
      </c>
      <c r="BL44" s="38" t="str">
        <f t="shared" si="53"/>
        <v>-</v>
      </c>
      <c r="BM44" s="38" t="str">
        <f>VLOOKUP(BI44,'TABEL KONVERSI'!$A$3:$D$7,4)</f>
        <v>-</v>
      </c>
      <c r="BN44" s="42"/>
      <c r="BO44" s="37"/>
      <c r="BP44" s="73"/>
      <c r="BQ44" s="73"/>
      <c r="BR44" s="38" t="str">
        <f t="shared" si="54"/>
        <v/>
      </c>
      <c r="BS44" s="38" t="str">
        <f t="shared" si="55"/>
        <v/>
      </c>
      <c r="BT44" s="38" t="str">
        <f>IF(BR44&lt;&gt;"",IF(AND(BR44&gt;='TABEL KONVERSI'!$B$3,'ENTRY DATA'!BR44&lt;='TABEL KONVERSI'!$C$3),1,IF(AND(BR44&gt;='TABEL KONVERSI'!$B$4,'ENTRY DATA'!BR44&lt;='TABEL KONVERSI'!$C$4),2,IF(AND(BR44&gt;='TABEL KONVERSI'!$B$5,'ENTRY DATA'!BR44&lt;='TABEL KONVERSI'!$C$5),3,IF(AND(BR44&gt;='TABEL KONVERSI'!$B$6,'ENTRY DATA'!BR44&lt;='TABEL KONVERSI'!$C$6),4,"")))),"-")</f>
        <v>-</v>
      </c>
      <c r="BU44" s="38" t="str">
        <f>IF(BS44&lt;&gt;"",IF(AND(BS44&gt;='TABEL KONVERSI'!$B$3,'ENTRY DATA'!BS44&lt;='TABEL KONVERSI'!$C$3),1,IF(AND(BS44&gt;='TABEL KONVERSI'!$B$4,'ENTRY DATA'!BS44&lt;='TABEL KONVERSI'!$C$4),2,IF(AND(BS44&gt;='TABEL KONVERSI'!$B$5,'ENTRY DATA'!BS44&lt;='TABEL KONVERSI'!$C$5),3,IF(AND(BS44&gt;='TABEL KONVERSI'!$B$6,'ENTRY DATA'!BS44&lt;='TABEL KONVERSI'!$C$6),4,"")))),"-")</f>
        <v>-</v>
      </c>
      <c r="BV44" s="38" t="str">
        <f t="shared" si="56"/>
        <v>-</v>
      </c>
      <c r="BW44" s="38" t="str">
        <f>VLOOKUP(BT44,'TABEL KONVERSI'!$A$3:$D$7,4)</f>
        <v>-</v>
      </c>
      <c r="BX44" s="38" t="str">
        <f t="shared" si="57"/>
        <v>-</v>
      </c>
      <c r="BY44" s="38" t="str">
        <f>VLOOKUP(BU44,'TABEL KONVERSI'!$A$3:$D$7,4)</f>
        <v>-</v>
      </c>
      <c r="BZ44" s="42"/>
      <c r="CA44" s="37"/>
      <c r="CB44" s="73"/>
      <c r="CC44" s="73"/>
      <c r="CD44" s="38" t="str">
        <f t="shared" si="58"/>
        <v/>
      </c>
      <c r="CE44" s="38" t="str">
        <f t="shared" si="59"/>
        <v/>
      </c>
      <c r="CF44" s="38" t="str">
        <f>IF(CD44&lt;&gt;"",IF(AND(CD44&gt;='TABEL KONVERSI'!$B$3,'ENTRY DATA'!CD44&lt;='TABEL KONVERSI'!$C$3),1,IF(AND(CD44&gt;='TABEL KONVERSI'!$B$4,'ENTRY DATA'!CD44&lt;='TABEL KONVERSI'!$C$4),2,IF(AND(CD44&gt;='TABEL KONVERSI'!$B$5,'ENTRY DATA'!CD44&lt;='TABEL KONVERSI'!$C$5),3,IF(AND(CD44&gt;='TABEL KONVERSI'!$B$6,'ENTRY DATA'!CD44&lt;='TABEL KONVERSI'!$C$6),4,"")))),"-")</f>
        <v>-</v>
      </c>
      <c r="CG44" s="38" t="str">
        <f>IF(CE44&lt;&gt;"",IF(AND(CE44&gt;='TABEL KONVERSI'!$B$3,'ENTRY DATA'!CE44&lt;='TABEL KONVERSI'!$C$3),1,IF(AND(CE44&gt;='TABEL KONVERSI'!$B$4,'ENTRY DATA'!CE44&lt;='TABEL KONVERSI'!$C$4),2,IF(AND(CE44&gt;='TABEL KONVERSI'!$B$5,'ENTRY DATA'!CE44&lt;='TABEL KONVERSI'!$C$5),3,IF(AND(CE44&gt;='TABEL KONVERSI'!$B$6,'ENTRY DATA'!CE44&lt;='TABEL KONVERSI'!$C$6),4,"")))),"-")</f>
        <v>-</v>
      </c>
      <c r="CH44" s="38" t="str">
        <f t="shared" si="60"/>
        <v>-</v>
      </c>
      <c r="CI44" s="38" t="str">
        <f>VLOOKUP(CF44,'TABEL KONVERSI'!$A$3:$D$7,4)</f>
        <v>-</v>
      </c>
      <c r="CJ44" s="38" t="str">
        <f t="shared" si="61"/>
        <v>-</v>
      </c>
      <c r="CK44" s="38" t="str">
        <f>VLOOKUP(CG44,'TABEL KONVERSI'!$A$3:$D$7,4)</f>
        <v>-</v>
      </c>
      <c r="CL44" s="42"/>
      <c r="CM44" s="37"/>
      <c r="CN44" s="73"/>
      <c r="CO44" s="73"/>
      <c r="CP44" s="38" t="str">
        <f t="shared" si="62"/>
        <v/>
      </c>
      <c r="CQ44" s="38" t="str">
        <f t="shared" si="63"/>
        <v/>
      </c>
      <c r="CR44" s="38" t="str">
        <f>IF(CP44&lt;&gt;"",IF(AND(CP44&gt;='TABEL KONVERSI'!$B$3,'ENTRY DATA'!CP44&lt;='TABEL KONVERSI'!$C$3),1,IF(AND(CP44&gt;='TABEL KONVERSI'!$B$4,'ENTRY DATA'!CP44&lt;='TABEL KONVERSI'!$C$4),2,IF(AND(CP44&gt;='TABEL KONVERSI'!$B$5,'ENTRY DATA'!CP44&lt;='TABEL KONVERSI'!$C$5),3,IF(AND(CP44&gt;='TABEL KONVERSI'!$B$6,'ENTRY DATA'!CP44&lt;='TABEL KONVERSI'!$C$6),4,"")))),"-")</f>
        <v>-</v>
      </c>
      <c r="CS44" s="38" t="str">
        <f>IF(CQ44&lt;&gt;"",IF(AND(CQ44&gt;='TABEL KONVERSI'!$B$3,'ENTRY DATA'!CQ44&lt;='TABEL KONVERSI'!$C$3),1,IF(AND(CQ44&gt;='TABEL KONVERSI'!$B$4,'ENTRY DATA'!CQ44&lt;='TABEL KONVERSI'!$C$4),2,IF(AND(CQ44&gt;='TABEL KONVERSI'!$B$5,'ENTRY DATA'!CQ44&lt;='TABEL KONVERSI'!$C$5),3,IF(AND(CQ44&gt;='TABEL KONVERSI'!$B$6,'ENTRY DATA'!CQ44&lt;='TABEL KONVERSI'!$C$6),4,"")))),"-")</f>
        <v>-</v>
      </c>
      <c r="CT44" s="38" t="str">
        <f t="shared" si="64"/>
        <v>-</v>
      </c>
      <c r="CU44" s="38" t="str">
        <f>VLOOKUP(CR44,'TABEL KONVERSI'!$A$3:$D$7,4)</f>
        <v>-</v>
      </c>
      <c r="CV44" s="38" t="str">
        <f t="shared" si="65"/>
        <v>-</v>
      </c>
      <c r="CW44" s="38" t="str">
        <f>VLOOKUP(CS44,'TABEL KONVERSI'!$A$3:$D$7,4)</f>
        <v>-</v>
      </c>
      <c r="CX44" s="42"/>
      <c r="CY44" s="37"/>
      <c r="CZ44" s="73"/>
      <c r="DA44" s="73"/>
      <c r="DB44" s="38" t="str">
        <f t="shared" si="66"/>
        <v/>
      </c>
      <c r="DC44" s="38" t="str">
        <f t="shared" si="67"/>
        <v/>
      </c>
      <c r="DD44" s="38" t="str">
        <f>IF(DB44&lt;&gt;"",IF(AND(DB44&gt;='TABEL KONVERSI'!$B$3,'ENTRY DATA'!DB44&lt;='TABEL KONVERSI'!$C$3),1,IF(AND(DB44&gt;='TABEL KONVERSI'!$B$4,'ENTRY DATA'!DB44&lt;='TABEL KONVERSI'!$C$4),2,IF(AND(DB44&gt;='TABEL KONVERSI'!$B$5,'ENTRY DATA'!DB44&lt;='TABEL KONVERSI'!$C$5),3,IF(AND(DB44&gt;='TABEL KONVERSI'!$B$6,'ENTRY DATA'!DB44&lt;='TABEL KONVERSI'!$C$6),4,"")))),"-")</f>
        <v>-</v>
      </c>
      <c r="DE44" s="38" t="str">
        <f>IF(DC44&lt;&gt;"",IF(AND(DC44&gt;='TABEL KONVERSI'!$B$3,'ENTRY DATA'!DC44&lt;='TABEL KONVERSI'!$C$3),1,IF(AND(DC44&gt;='TABEL KONVERSI'!$B$4,'ENTRY DATA'!DC44&lt;='TABEL KONVERSI'!$C$4),2,IF(AND(DC44&gt;='TABEL KONVERSI'!$B$5,'ENTRY DATA'!DC44&lt;='TABEL KONVERSI'!$C$5),3,IF(AND(DC44&gt;='TABEL KONVERSI'!$B$6,'ENTRY DATA'!DC44&lt;='TABEL KONVERSI'!$C$6),4,"")))),"-")</f>
        <v>-</v>
      </c>
      <c r="DF44" s="38" t="str">
        <f t="shared" si="68"/>
        <v>-</v>
      </c>
      <c r="DG44" s="38" t="str">
        <f>VLOOKUP(DD44,'TABEL KONVERSI'!$A$3:$D$7,4)</f>
        <v>-</v>
      </c>
      <c r="DH44" s="38" t="str">
        <f t="shared" si="69"/>
        <v>-</v>
      </c>
      <c r="DI44" s="38" t="str">
        <f>VLOOKUP(DE44,'TABEL KONVERSI'!$A$3:$D$7,4)</f>
        <v>-</v>
      </c>
      <c r="DJ44" s="42"/>
      <c r="DK44" s="37"/>
      <c r="DL44" s="73"/>
      <c r="DM44" s="73"/>
      <c r="DN44" s="38" t="str">
        <f t="shared" si="70"/>
        <v/>
      </c>
      <c r="DO44" s="38" t="str">
        <f t="shared" si="71"/>
        <v/>
      </c>
      <c r="DP44" s="38" t="str">
        <f>IF(DN44&lt;&gt;"",IF(AND(DN44&gt;='TABEL KONVERSI'!$B$3,'ENTRY DATA'!DN44&lt;='TABEL KONVERSI'!$C$3),1,IF(AND(DN44&gt;='TABEL KONVERSI'!$B$4,'ENTRY DATA'!DN44&lt;='TABEL KONVERSI'!$C$4),2,IF(AND(DN44&gt;='TABEL KONVERSI'!$B$5,'ENTRY DATA'!DN44&lt;='TABEL KONVERSI'!$C$5),3,IF(AND(DN44&gt;='TABEL KONVERSI'!$B$6,'ENTRY DATA'!DN44&lt;='TABEL KONVERSI'!$C$6),4,"")))),"-")</f>
        <v>-</v>
      </c>
      <c r="DQ44" s="38" t="str">
        <f>IF(DO44&lt;&gt;"",IF(AND(DO44&gt;='TABEL KONVERSI'!$B$3,'ENTRY DATA'!DO44&lt;='TABEL KONVERSI'!$C$3),1,IF(AND(DO44&gt;='TABEL KONVERSI'!$B$4,'ENTRY DATA'!DO44&lt;='TABEL KONVERSI'!$C$4),2,IF(AND(DO44&gt;='TABEL KONVERSI'!$B$5,'ENTRY DATA'!DO44&lt;='TABEL KONVERSI'!$C$5),3,IF(AND(DO44&gt;='TABEL KONVERSI'!$B$6,'ENTRY DATA'!DO44&lt;='TABEL KONVERSI'!$C$6),4,"")))),"-")</f>
        <v>-</v>
      </c>
      <c r="DR44" s="38" t="str">
        <f t="shared" si="72"/>
        <v>-</v>
      </c>
      <c r="DS44" s="38" t="str">
        <f>VLOOKUP(DP44,'TABEL KONVERSI'!$A$3:$D$7,4)</f>
        <v>-</v>
      </c>
      <c r="DT44" s="38" t="str">
        <f t="shared" si="73"/>
        <v>-</v>
      </c>
      <c r="DU44" s="38" t="str">
        <f>VLOOKUP(DQ44,'TABEL KONVERSI'!$A$3:$D$7,4)</f>
        <v>-</v>
      </c>
      <c r="DV44" s="42"/>
      <c r="DW44" s="37"/>
      <c r="DX44" s="73"/>
      <c r="DY44" s="73"/>
      <c r="DZ44" s="38" t="str">
        <f t="shared" si="74"/>
        <v/>
      </c>
      <c r="EA44" s="38" t="str">
        <f t="shared" si="75"/>
        <v/>
      </c>
      <c r="EB44" s="38" t="str">
        <f>IF(DZ44&lt;&gt;"",IF(AND(DZ44&gt;='TABEL KONVERSI'!$B$3,'ENTRY DATA'!DZ44&lt;='TABEL KONVERSI'!$C$3),1,IF(AND(DZ44&gt;='TABEL KONVERSI'!$B$4,'ENTRY DATA'!DZ44&lt;='TABEL KONVERSI'!$C$4),2,IF(AND(DZ44&gt;='TABEL KONVERSI'!$B$5,'ENTRY DATA'!DZ44&lt;='TABEL KONVERSI'!$C$5),3,IF(AND(DZ44&gt;='TABEL KONVERSI'!$B$6,'ENTRY DATA'!DZ44&lt;='TABEL KONVERSI'!$C$6),4,"")))),"-")</f>
        <v>-</v>
      </c>
      <c r="EC44" s="38" t="str">
        <f>IF(EA44&lt;&gt;"",IF(AND(EA44&gt;='TABEL KONVERSI'!$B$3,'ENTRY DATA'!EA44&lt;='TABEL KONVERSI'!$C$3),1,IF(AND(EA44&gt;='TABEL KONVERSI'!$B$4,'ENTRY DATA'!EA44&lt;='TABEL KONVERSI'!$C$4),2,IF(AND(EA44&gt;='TABEL KONVERSI'!$B$5,'ENTRY DATA'!EA44&lt;='TABEL KONVERSI'!$C$5),3,IF(AND(EA44&gt;='TABEL KONVERSI'!$B$6,'ENTRY DATA'!EA44&lt;='TABEL KONVERSI'!$C$6),4,"")))),"-")</f>
        <v>-</v>
      </c>
      <c r="ED44" s="38" t="str">
        <f t="shared" si="76"/>
        <v>-</v>
      </c>
      <c r="EE44" s="38" t="str">
        <f>VLOOKUP(EB44,'TABEL KONVERSI'!$A$3:$D$7,4)</f>
        <v>-</v>
      </c>
      <c r="EF44" s="38" t="str">
        <f t="shared" si="77"/>
        <v>-</v>
      </c>
      <c r="EG44" s="38" t="str">
        <f>VLOOKUP(EC44,'TABEL KONVERSI'!$A$3:$D$7,4)</f>
        <v>-</v>
      </c>
      <c r="EH44" s="42"/>
      <c r="EI44" s="37"/>
      <c r="EJ44" s="73"/>
      <c r="EK44" s="73"/>
      <c r="EL44" s="38" t="str">
        <f t="shared" si="78"/>
        <v/>
      </c>
      <c r="EM44" s="38" t="str">
        <f t="shared" si="79"/>
        <v/>
      </c>
      <c r="EN44" s="38" t="str">
        <f>IF(EL44&lt;&gt;"",IF(AND(EL44&gt;='TABEL KONVERSI'!$B$3,'ENTRY DATA'!EL44&lt;='TABEL KONVERSI'!$C$3),1,IF(AND(EL44&gt;='TABEL KONVERSI'!$B$4,'ENTRY DATA'!EL44&lt;='TABEL KONVERSI'!$C$4),2,IF(AND(EL44&gt;='TABEL KONVERSI'!$B$5,'ENTRY DATA'!EL44&lt;='TABEL KONVERSI'!$C$5),3,IF(AND(EL44&gt;='TABEL KONVERSI'!$B$6,'ENTRY DATA'!EL44&lt;='TABEL KONVERSI'!$C$6),4,"")))),"-")</f>
        <v>-</v>
      </c>
      <c r="EO44" s="38" t="str">
        <f>IF(EM44&lt;&gt;"",IF(AND(EM44&gt;='TABEL KONVERSI'!$B$3,'ENTRY DATA'!EM44&lt;='TABEL KONVERSI'!$C$3),1,IF(AND(EM44&gt;='TABEL KONVERSI'!$B$4,'ENTRY DATA'!EM44&lt;='TABEL KONVERSI'!$C$4),2,IF(AND(EM44&gt;='TABEL KONVERSI'!$B$5,'ENTRY DATA'!EM44&lt;='TABEL KONVERSI'!$C$5),3,IF(AND(EM44&gt;='TABEL KONVERSI'!$B$6,'ENTRY DATA'!EM44&lt;='TABEL KONVERSI'!$C$6),4,"")))),"-")</f>
        <v>-</v>
      </c>
      <c r="EP44" s="38" t="str">
        <f t="shared" si="80"/>
        <v>-</v>
      </c>
      <c r="EQ44" s="38" t="str">
        <f>VLOOKUP(EN44,'TABEL KONVERSI'!$A$3:$D$7,4)</f>
        <v>-</v>
      </c>
      <c r="ER44" s="38" t="str">
        <f t="shared" si="81"/>
        <v>-</v>
      </c>
      <c r="ES44" s="38" t="str">
        <f>VLOOKUP(EO44,'TABEL KONVERSI'!$A$3:$D$7,4)</f>
        <v>-</v>
      </c>
      <c r="ET44" s="42"/>
      <c r="EU44" s="37"/>
      <c r="EV44" s="73"/>
      <c r="EW44" s="73"/>
      <c r="EX44" s="38" t="str">
        <f t="shared" si="82"/>
        <v/>
      </c>
      <c r="EY44" s="38" t="str">
        <f t="shared" si="83"/>
        <v/>
      </c>
      <c r="EZ44" s="38" t="str">
        <f>IF(EX44&lt;&gt;"",IF(AND(EX44&gt;='TABEL KONVERSI'!$B$3,'ENTRY DATA'!EX44&lt;='TABEL KONVERSI'!$C$3),1,IF(AND(EX44&gt;='TABEL KONVERSI'!$B$4,'ENTRY DATA'!EX44&lt;='TABEL KONVERSI'!$C$4),2,IF(AND(EX44&gt;='TABEL KONVERSI'!$B$5,'ENTRY DATA'!EX44&lt;='TABEL KONVERSI'!$C$5),3,IF(AND(EX44&gt;='TABEL KONVERSI'!$B$6,'ENTRY DATA'!EX44&lt;='TABEL KONVERSI'!$C$6),4,"")))),"-")</f>
        <v>-</v>
      </c>
      <c r="FA44" s="38" t="str">
        <f>IF(EY44&lt;&gt;"",IF(AND(EY44&gt;='TABEL KONVERSI'!$B$3,'ENTRY DATA'!EY44&lt;='TABEL KONVERSI'!$C$3),1,IF(AND(EY44&gt;='TABEL KONVERSI'!$B$4,'ENTRY DATA'!EY44&lt;='TABEL KONVERSI'!$C$4),2,IF(AND(EY44&gt;='TABEL KONVERSI'!$B$5,'ENTRY DATA'!EY44&lt;='TABEL KONVERSI'!$C$5),3,IF(AND(EY44&gt;='TABEL KONVERSI'!$B$6,'ENTRY DATA'!EY44&lt;='TABEL KONVERSI'!$C$6),4,"")))),"-")</f>
        <v>-</v>
      </c>
      <c r="FB44" s="38" t="str">
        <f t="shared" si="84"/>
        <v>-</v>
      </c>
      <c r="FC44" s="38" t="str">
        <f>VLOOKUP(EZ44,'TABEL KONVERSI'!$A$3:$D$7,4)</f>
        <v>-</v>
      </c>
      <c r="FD44" s="38" t="str">
        <f t="shared" si="85"/>
        <v>-</v>
      </c>
      <c r="FE44" s="38" t="str">
        <f>VLOOKUP(FA44,'TABEL KONVERSI'!$A$3:$D$7,4)</f>
        <v>-</v>
      </c>
      <c r="FF44" s="42"/>
      <c r="FG44" s="37"/>
      <c r="FH44" s="73"/>
      <c r="FI44" s="73"/>
      <c r="FJ44" s="38" t="str">
        <f t="shared" si="86"/>
        <v/>
      </c>
      <c r="FK44" s="38" t="str">
        <f t="shared" si="87"/>
        <v/>
      </c>
      <c r="FL44" s="38" t="str">
        <f>IF(FJ44&lt;&gt;"",IF(AND(FJ44&gt;='TABEL KONVERSI'!$B$3,'ENTRY DATA'!FJ44&lt;='TABEL KONVERSI'!$C$3),1,IF(AND(FJ44&gt;='TABEL KONVERSI'!$B$4,'ENTRY DATA'!FJ44&lt;='TABEL KONVERSI'!$C$4),2,IF(AND(FJ44&gt;='TABEL KONVERSI'!$B$5,'ENTRY DATA'!FJ44&lt;='TABEL KONVERSI'!$C$5),3,IF(AND(FJ44&gt;='TABEL KONVERSI'!$B$6,'ENTRY DATA'!FJ44&lt;='TABEL KONVERSI'!$C$6),4,"")))),"-")</f>
        <v>-</v>
      </c>
      <c r="FM44" s="38" t="str">
        <f>IF(FK44&lt;&gt;"",IF(AND(FK44&gt;='TABEL KONVERSI'!$B$3,'ENTRY DATA'!FK44&lt;='TABEL KONVERSI'!$C$3),1,IF(AND(FK44&gt;='TABEL KONVERSI'!$B$4,'ENTRY DATA'!FK44&lt;='TABEL KONVERSI'!$C$4),2,IF(AND(FK44&gt;='TABEL KONVERSI'!$B$5,'ENTRY DATA'!FK44&lt;='TABEL KONVERSI'!$C$5),3,IF(AND(FK44&gt;='TABEL KONVERSI'!$B$6,'ENTRY DATA'!FK44&lt;='TABEL KONVERSI'!$C$6),4,"")))),"-")</f>
        <v>-</v>
      </c>
      <c r="FN44" s="38" t="str">
        <f t="shared" si="88"/>
        <v>-</v>
      </c>
      <c r="FO44" s="38" t="str">
        <f>VLOOKUP(FL44,'TABEL KONVERSI'!$A$3:$D$7,4)</f>
        <v>-</v>
      </c>
      <c r="FP44" s="38" t="str">
        <f t="shared" si="89"/>
        <v>-</v>
      </c>
      <c r="FQ44" s="38" t="str">
        <f>VLOOKUP(FM44,'TABEL KONVERSI'!$A$3:$D$7,4)</f>
        <v>-</v>
      </c>
      <c r="FR44" s="42"/>
      <c r="FS44" s="37"/>
      <c r="FT44" s="73"/>
      <c r="FU44" s="73"/>
      <c r="FV44" s="38" t="str">
        <f t="shared" si="90"/>
        <v/>
      </c>
      <c r="FW44" s="38" t="str">
        <f t="shared" si="91"/>
        <v/>
      </c>
      <c r="FX44" s="38" t="str">
        <f>IF(FV44&lt;&gt;"",IF(AND(FV44&gt;='TABEL KONVERSI'!$B$3,'ENTRY DATA'!FV44&lt;='TABEL KONVERSI'!$C$3),1,IF(AND(FV44&gt;='TABEL KONVERSI'!$B$4,'ENTRY DATA'!FV44&lt;='TABEL KONVERSI'!$C$4),2,IF(AND(FV44&gt;='TABEL KONVERSI'!$B$5,'ENTRY DATA'!FV44&lt;='TABEL KONVERSI'!$C$5),3,IF(AND(FV44&gt;='TABEL KONVERSI'!$B$6,'ENTRY DATA'!FV44&lt;='TABEL KONVERSI'!$C$6),4,"")))),"-")</f>
        <v>-</v>
      </c>
      <c r="FY44" s="38" t="str">
        <f>IF(FW44&lt;&gt;"",IF(AND(FW44&gt;='TABEL KONVERSI'!$B$3,'ENTRY DATA'!FW44&lt;='TABEL KONVERSI'!$C$3),1,IF(AND(FW44&gt;='TABEL KONVERSI'!$B$4,'ENTRY DATA'!FW44&lt;='TABEL KONVERSI'!$C$4),2,IF(AND(FW44&gt;='TABEL KONVERSI'!$B$5,'ENTRY DATA'!FW44&lt;='TABEL KONVERSI'!$C$5),3,IF(AND(FW44&gt;='TABEL KONVERSI'!$B$6,'ENTRY DATA'!FW44&lt;='TABEL KONVERSI'!$C$6),4,"")))),"-")</f>
        <v>-</v>
      </c>
      <c r="FZ44" s="38" t="str">
        <f t="shared" si="92"/>
        <v>-</v>
      </c>
      <c r="GA44" s="38" t="str">
        <f>VLOOKUP(FX44,'TABEL KONVERSI'!$A$3:$D$7,4)</f>
        <v>-</v>
      </c>
      <c r="GB44" s="38" t="str">
        <f t="shared" si="93"/>
        <v>-</v>
      </c>
      <c r="GC44" s="38" t="str">
        <f>VLOOKUP(FY44,'TABEL KONVERSI'!$A$3:$D$7,4)</f>
        <v>-</v>
      </c>
      <c r="GD44" s="42"/>
      <c r="GE44" s="37"/>
      <c r="GF44" s="73"/>
      <c r="GG44" s="73"/>
      <c r="GH44" s="38" t="str">
        <f t="shared" si="94"/>
        <v/>
      </c>
      <c r="GI44" s="38" t="str">
        <f t="shared" si="95"/>
        <v/>
      </c>
      <c r="GJ44" s="38" t="str">
        <f>IF(GH44&lt;&gt;"",IF(AND(GH44&gt;='TABEL KONVERSI'!$B$3,'ENTRY DATA'!GH44&lt;='TABEL KONVERSI'!$C$3),1,IF(AND(GH44&gt;='TABEL KONVERSI'!$B$4,'ENTRY DATA'!GH44&lt;='TABEL KONVERSI'!$C$4),2,IF(AND(GH44&gt;='TABEL KONVERSI'!$B$5,'ENTRY DATA'!GH44&lt;='TABEL KONVERSI'!$C$5),3,IF(AND(GH44&gt;='TABEL KONVERSI'!$B$6,'ENTRY DATA'!GH44&lt;='TABEL KONVERSI'!$C$6),4,"")))),"-")</f>
        <v>-</v>
      </c>
      <c r="GK44" s="38" t="str">
        <f>IF(GI44&lt;&gt;"",IF(AND(GI44&gt;='TABEL KONVERSI'!$B$3,'ENTRY DATA'!GI44&lt;='TABEL KONVERSI'!$C$3),1,IF(AND(GI44&gt;='TABEL KONVERSI'!$B$4,'ENTRY DATA'!GI44&lt;='TABEL KONVERSI'!$C$4),2,IF(AND(GI44&gt;='TABEL KONVERSI'!$B$5,'ENTRY DATA'!GI44&lt;='TABEL KONVERSI'!$C$5),3,IF(AND(GI44&gt;='TABEL KONVERSI'!$B$6,'ENTRY DATA'!GI44&lt;='TABEL KONVERSI'!$C$6),4,"")))),"-")</f>
        <v>-</v>
      </c>
      <c r="GL44" s="38" t="str">
        <f t="shared" si="96"/>
        <v>-</v>
      </c>
      <c r="GM44" s="38" t="str">
        <f>VLOOKUP(GJ44,'TABEL KONVERSI'!$A$3:$D$7,4)</f>
        <v>-</v>
      </c>
      <c r="GN44" s="38" t="str">
        <f t="shared" si="97"/>
        <v>-</v>
      </c>
      <c r="GO44" s="38" t="str">
        <f>VLOOKUP(GK44,'TABEL KONVERSI'!$A$3:$D$7,4)</f>
        <v>-</v>
      </c>
      <c r="GP44" s="43">
        <f t="shared" si="0"/>
        <v>0</v>
      </c>
      <c r="GQ44" s="43">
        <f t="shared" si="1"/>
        <v>0</v>
      </c>
      <c r="GR44" s="43">
        <f t="shared" si="2"/>
        <v>0</v>
      </c>
      <c r="GS44" s="43">
        <f t="shared" si="3"/>
        <v>0</v>
      </c>
      <c r="GT44" s="43">
        <f t="shared" si="4"/>
        <v>0</v>
      </c>
      <c r="GU44" s="43">
        <f t="shared" si="5"/>
        <v>0</v>
      </c>
      <c r="GV44" s="43">
        <f t="shared" si="6"/>
        <v>0</v>
      </c>
      <c r="GW44" s="43">
        <f t="shared" si="7"/>
        <v>0</v>
      </c>
      <c r="GX44" s="43">
        <f t="shared" si="8"/>
        <v>0</v>
      </c>
      <c r="GY44" s="43">
        <f t="shared" si="9"/>
        <v>0</v>
      </c>
      <c r="GZ44" s="43">
        <f t="shared" si="10"/>
        <v>0</v>
      </c>
      <c r="HA44" s="43">
        <f t="shared" si="11"/>
        <v>0</v>
      </c>
      <c r="HB44" s="43">
        <f t="shared" si="12"/>
        <v>0</v>
      </c>
      <c r="HC44" s="43">
        <f t="shared" si="13"/>
        <v>0</v>
      </c>
      <c r="HD44" s="43">
        <f t="shared" si="14"/>
        <v>0</v>
      </c>
      <c r="HE44" s="43">
        <f t="shared" si="15"/>
        <v>0</v>
      </c>
      <c r="HF44" s="38">
        <f t="shared" si="98"/>
        <v>0</v>
      </c>
      <c r="HG44" s="38">
        <f t="shared" si="99"/>
        <v>0</v>
      </c>
      <c r="HH44" s="38">
        <f t="shared" si="100"/>
        <v>0</v>
      </c>
      <c r="HI44" s="39">
        <f t="shared" si="101"/>
        <v>0</v>
      </c>
      <c r="HJ44" s="44" t="str">
        <f t="shared" si="102"/>
        <v>-</v>
      </c>
      <c r="HK44" s="45" t="str">
        <f>VLOOKUP(HJ44,'TABEL KONVERSI'!$B$11:$D$15,2,0)</f>
        <v>-</v>
      </c>
      <c r="HL44" s="43">
        <f t="shared" si="16"/>
        <v>0</v>
      </c>
      <c r="HM44" s="43">
        <f t="shared" si="17"/>
        <v>0</v>
      </c>
      <c r="HN44" s="43">
        <f t="shared" si="18"/>
        <v>0</v>
      </c>
      <c r="HO44" s="43">
        <f t="shared" si="19"/>
        <v>0</v>
      </c>
      <c r="HP44" s="43">
        <f t="shared" si="20"/>
        <v>0</v>
      </c>
      <c r="HQ44" s="43">
        <f t="shared" si="21"/>
        <v>0</v>
      </c>
      <c r="HR44" s="43">
        <f t="shared" si="22"/>
        <v>0</v>
      </c>
      <c r="HS44" s="43">
        <f t="shared" si="23"/>
        <v>0</v>
      </c>
      <c r="HT44" s="43">
        <f t="shared" si="24"/>
        <v>0</v>
      </c>
      <c r="HU44" s="43">
        <f t="shared" si="25"/>
        <v>0</v>
      </c>
      <c r="HV44" s="43">
        <f t="shared" si="26"/>
        <v>0</v>
      </c>
      <c r="HW44" s="43">
        <f t="shared" si="27"/>
        <v>0</v>
      </c>
      <c r="HX44" s="43">
        <f t="shared" si="28"/>
        <v>0</v>
      </c>
      <c r="HY44" s="43">
        <f t="shared" si="29"/>
        <v>0</v>
      </c>
      <c r="HZ44" s="43">
        <f t="shared" si="30"/>
        <v>0</v>
      </c>
      <c r="IA44" s="43">
        <f t="shared" si="31"/>
        <v>0</v>
      </c>
      <c r="IB44" s="38">
        <f t="shared" si="103"/>
        <v>0</v>
      </c>
      <c r="IC44" s="38">
        <f t="shared" si="104"/>
        <v>0</v>
      </c>
      <c r="ID44" s="38">
        <f t="shared" si="105"/>
        <v>0</v>
      </c>
      <c r="IE44" s="38">
        <f t="shared" si="106"/>
        <v>0</v>
      </c>
      <c r="IF44" s="46" t="str">
        <f t="shared" si="107"/>
        <v>-</v>
      </c>
      <c r="IG44" s="45" t="str">
        <f>VLOOKUP(IF44,'TABEL KONVERSI'!$B$11:$D$15,3,0)</f>
        <v>-</v>
      </c>
      <c r="IH44" s="40" t="s">
        <v>223</v>
      </c>
      <c r="II44" s="41" t="s">
        <v>106</v>
      </c>
      <c r="IJ44" s="45" t="str">
        <f>IF(II44&lt;&gt;"",VLOOKUP(II44,'TABEL KONVERSI'!$A$19:$B$23,2,0),"")</f>
        <v>Aktif dalam mengikuti kegiatan</v>
      </c>
      <c r="IK44" s="47" t="s">
        <v>58</v>
      </c>
      <c r="IL44" s="50" t="s">
        <v>58</v>
      </c>
      <c r="IM44" s="45" t="str">
        <f>IF(IL44&lt;&gt;"",VLOOKUP(IL44,'TABEL KONVERSI'!$A$19:$B$23,2,0),"")</f>
        <v>-</v>
      </c>
      <c r="IN44" s="49" t="s">
        <v>58</v>
      </c>
      <c r="IO44" s="48" t="s">
        <v>58</v>
      </c>
      <c r="IP44" s="45" t="str">
        <f>IF(IO44&lt;&gt;"",VLOOKUP(IO44,'TABEL KONVERSI'!$A$19:$B$23,2,0),"")</f>
        <v>-</v>
      </c>
      <c r="IQ44" s="49" t="s">
        <v>58</v>
      </c>
      <c r="IR44" s="50" t="s">
        <v>58</v>
      </c>
      <c r="IS44" s="45" t="str">
        <f>IF(IR44&lt;&gt;"",VLOOKUP(IR44,'TABEL KONVERSI'!$A$19:$B$23,2,0),"")</f>
        <v>-</v>
      </c>
      <c r="IT44" s="49" t="s">
        <v>58</v>
      </c>
      <c r="IU44" s="50" t="s">
        <v>58</v>
      </c>
      <c r="IV44" s="45" t="str">
        <f>IF(IU44&lt;&gt;"",VLOOKUP(IU44,'TABEL KONVERSI'!$A$19:$B$23,2,0),"")</f>
        <v>-</v>
      </c>
      <c r="IW44" s="48" t="s">
        <v>58</v>
      </c>
      <c r="IX44" s="48" t="s">
        <v>58</v>
      </c>
      <c r="IY44" s="48" t="s">
        <v>58</v>
      </c>
      <c r="IZ44" s="47" t="s">
        <v>58</v>
      </c>
      <c r="JA44" s="45">
        <f t="shared" si="32"/>
        <v>0</v>
      </c>
      <c r="JB44" s="45">
        <f t="shared" si="33"/>
        <v>1</v>
      </c>
    </row>
    <row r="45" spans="1:262" x14ac:dyDescent="0.25">
      <c r="A45" s="33">
        <v>33</v>
      </c>
      <c r="B45" s="51"/>
      <c r="C45" s="51"/>
      <c r="D45" s="77"/>
      <c r="E45" s="52"/>
      <c r="F45" s="42"/>
      <c r="G45" s="37"/>
      <c r="H45" s="73"/>
      <c r="I45" s="73"/>
      <c r="J45" s="38" t="str">
        <f t="shared" si="34"/>
        <v/>
      </c>
      <c r="K45" s="38" t="str">
        <f t="shared" si="35"/>
        <v/>
      </c>
      <c r="L45" s="38" t="str">
        <f>IF(J45&lt;&gt;"",IF(AND(J45&gt;='TABEL KONVERSI'!$B$3,'ENTRY DATA'!J45&lt;='TABEL KONVERSI'!$C$3),1,IF(AND(J45&gt;='TABEL KONVERSI'!$B$4,'ENTRY DATA'!J45&lt;='TABEL KONVERSI'!$C$4),2,IF(AND(J45&gt;='TABEL KONVERSI'!$B$5,'ENTRY DATA'!J45&lt;='TABEL KONVERSI'!$C$5),3,IF(AND(J45&gt;='TABEL KONVERSI'!$B$6,'ENTRY DATA'!J45&lt;='TABEL KONVERSI'!$C$6),4,"")))),"-")</f>
        <v>-</v>
      </c>
      <c r="M45" s="38" t="str">
        <f>IF(K45&lt;&gt;"",IF(AND(K45&gt;='TABEL KONVERSI'!$B$3,'ENTRY DATA'!K45&lt;='TABEL KONVERSI'!$C$3),1,IF(AND(K45&gt;='TABEL KONVERSI'!$B$4,'ENTRY DATA'!K45&lt;='TABEL KONVERSI'!$C$4),2,IF(AND(K45&gt;='TABEL KONVERSI'!$B$5,'ENTRY DATA'!K45&lt;='TABEL KONVERSI'!$C$5),3,IF(AND(K45&gt;='TABEL KONVERSI'!$B$6,'ENTRY DATA'!K45&lt;='TABEL KONVERSI'!$C$6),4,"")))),"-")</f>
        <v>-</v>
      </c>
      <c r="N45" s="38" t="str">
        <f t="shared" si="36"/>
        <v>-</v>
      </c>
      <c r="O45" s="38" t="str">
        <f>VLOOKUP(L45,'TABEL KONVERSI'!$A$3:$D$7,4)</f>
        <v>-</v>
      </c>
      <c r="P45" s="38" t="str">
        <f t="shared" si="37"/>
        <v>-</v>
      </c>
      <c r="Q45" s="38" t="str">
        <f>VLOOKUP(M45,'TABEL KONVERSI'!$A$3:$D$7,4)</f>
        <v>-</v>
      </c>
      <c r="R45" s="42"/>
      <c r="S45" s="37"/>
      <c r="T45" s="73"/>
      <c r="U45" s="73"/>
      <c r="V45" s="38" t="str">
        <f t="shared" si="38"/>
        <v/>
      </c>
      <c r="W45" s="38" t="str">
        <f t="shared" si="39"/>
        <v/>
      </c>
      <c r="X45" s="38" t="str">
        <f>IF(V45&lt;&gt;"",IF(AND(V45&gt;='TABEL KONVERSI'!$B$3,'ENTRY DATA'!V45&lt;='TABEL KONVERSI'!$C$3),1,IF(AND(V45&gt;='TABEL KONVERSI'!$B$4,'ENTRY DATA'!V45&lt;='TABEL KONVERSI'!$C$4),2,IF(AND(V45&gt;='TABEL KONVERSI'!$B$5,'ENTRY DATA'!V45&lt;='TABEL KONVERSI'!$C$5),3,IF(AND(V45&gt;='TABEL KONVERSI'!$B$6,'ENTRY DATA'!V45&lt;='TABEL KONVERSI'!$C$6),4,"")))),"-")</f>
        <v>-</v>
      </c>
      <c r="Y45" s="38" t="str">
        <f>IF(W45&lt;&gt;"",IF(AND(W45&gt;='TABEL KONVERSI'!$B$3,'ENTRY DATA'!W45&lt;='TABEL KONVERSI'!$C$3),1,IF(AND(W45&gt;='TABEL KONVERSI'!$B$4,'ENTRY DATA'!W45&lt;='TABEL KONVERSI'!$C$4),2,IF(AND(W45&gt;='TABEL KONVERSI'!$B$5,'ENTRY DATA'!W45&lt;='TABEL KONVERSI'!$C$5),3,IF(AND(W45&gt;='TABEL KONVERSI'!$B$6,'ENTRY DATA'!W45&lt;='TABEL KONVERSI'!$C$6),4,"")))),"-")</f>
        <v>-</v>
      </c>
      <c r="Z45" s="38" t="str">
        <f t="shared" si="40"/>
        <v>-</v>
      </c>
      <c r="AA45" s="38" t="str">
        <f>VLOOKUP(X45,'TABEL KONVERSI'!$A$3:$D$7,4)</f>
        <v>-</v>
      </c>
      <c r="AB45" s="38" t="str">
        <f t="shared" si="41"/>
        <v>-</v>
      </c>
      <c r="AC45" s="38" t="str">
        <f>VLOOKUP(Y45,'TABEL KONVERSI'!$A$3:$D$7,4)</f>
        <v>-</v>
      </c>
      <c r="AD45" s="42"/>
      <c r="AE45" s="37"/>
      <c r="AF45" s="73"/>
      <c r="AG45" s="73"/>
      <c r="AH45" s="38" t="str">
        <f t="shared" si="42"/>
        <v/>
      </c>
      <c r="AI45" s="38" t="str">
        <f t="shared" si="43"/>
        <v/>
      </c>
      <c r="AJ45" s="38" t="str">
        <f>IF(AH45&lt;&gt;"",IF(AND(AH45&gt;='TABEL KONVERSI'!$B$3,'ENTRY DATA'!AH45&lt;='TABEL KONVERSI'!$C$3),1,IF(AND(AH45&gt;='TABEL KONVERSI'!$B$4,'ENTRY DATA'!AH45&lt;='TABEL KONVERSI'!$C$4),2,IF(AND(AH45&gt;='TABEL KONVERSI'!$B$5,'ENTRY DATA'!AH45&lt;='TABEL KONVERSI'!$C$5),3,IF(AND(AH45&gt;='TABEL KONVERSI'!$B$6,'ENTRY DATA'!AH45&lt;='TABEL KONVERSI'!$C$6),4,"")))),"-")</f>
        <v>-</v>
      </c>
      <c r="AK45" s="38" t="str">
        <f>IF(AI45&lt;&gt;"",IF(AND(AI45&gt;='TABEL KONVERSI'!$B$3,'ENTRY DATA'!AI45&lt;='TABEL KONVERSI'!$C$3),1,IF(AND(AI45&gt;='TABEL KONVERSI'!$B$4,'ENTRY DATA'!AI45&lt;='TABEL KONVERSI'!$C$4),2,IF(AND(AI45&gt;='TABEL KONVERSI'!$B$5,'ENTRY DATA'!AI45&lt;='TABEL KONVERSI'!$C$5),3,IF(AND(AI45&gt;='TABEL KONVERSI'!$B$6,'ENTRY DATA'!AI45&lt;='TABEL KONVERSI'!$C$6),4,"")))),"-")</f>
        <v>-</v>
      </c>
      <c r="AL45" s="38" t="str">
        <f t="shared" si="44"/>
        <v>-</v>
      </c>
      <c r="AM45" s="38" t="str">
        <f>VLOOKUP(AJ45,'TABEL KONVERSI'!$A$3:$D$7,4)</f>
        <v>-</v>
      </c>
      <c r="AN45" s="38" t="str">
        <f t="shared" si="45"/>
        <v>-</v>
      </c>
      <c r="AO45" s="38" t="str">
        <f>VLOOKUP(AK45,'TABEL KONVERSI'!$A$3:$D$7,4)</f>
        <v>-</v>
      </c>
      <c r="AP45" s="42"/>
      <c r="AQ45" s="37"/>
      <c r="AR45" s="73"/>
      <c r="AS45" s="73"/>
      <c r="AT45" s="38" t="str">
        <f t="shared" si="46"/>
        <v/>
      </c>
      <c r="AU45" s="38" t="str">
        <f t="shared" si="47"/>
        <v/>
      </c>
      <c r="AV45" s="38" t="str">
        <f>IF(AT45&lt;&gt;"",IF(AND(AT45&gt;='TABEL KONVERSI'!$B$3,'ENTRY DATA'!AT45&lt;='TABEL KONVERSI'!$C$3),1,IF(AND(AT45&gt;='TABEL KONVERSI'!$B$4,'ENTRY DATA'!AT45&lt;='TABEL KONVERSI'!$C$4),2,IF(AND(AT45&gt;='TABEL KONVERSI'!$B$5,'ENTRY DATA'!AT45&lt;='TABEL KONVERSI'!$C$5),3,IF(AND(AT45&gt;='TABEL KONVERSI'!$B$6,'ENTRY DATA'!AT45&lt;='TABEL KONVERSI'!$C$6),4,"")))),"-")</f>
        <v>-</v>
      </c>
      <c r="AW45" s="38" t="str">
        <f>IF(AU45&lt;&gt;"",IF(AND(AU45&gt;='TABEL KONVERSI'!$B$3,'ENTRY DATA'!AU45&lt;='TABEL KONVERSI'!$C$3),1,IF(AND(AU45&gt;='TABEL KONVERSI'!$B$4,'ENTRY DATA'!AU45&lt;='TABEL KONVERSI'!$C$4),2,IF(AND(AU45&gt;='TABEL KONVERSI'!$B$5,'ENTRY DATA'!AU45&lt;='TABEL KONVERSI'!$C$5),3,IF(AND(AU45&gt;='TABEL KONVERSI'!$B$6,'ENTRY DATA'!AU45&lt;='TABEL KONVERSI'!$C$6),4,"")))),"-")</f>
        <v>-</v>
      </c>
      <c r="AX45" s="38" t="str">
        <f t="shared" si="48"/>
        <v>-</v>
      </c>
      <c r="AY45" s="38" t="str">
        <f>VLOOKUP(AV45,'TABEL KONVERSI'!$A$3:$D$7,4)</f>
        <v>-</v>
      </c>
      <c r="AZ45" s="38" t="str">
        <f t="shared" si="49"/>
        <v>-</v>
      </c>
      <c r="BA45" s="38" t="str">
        <f>VLOOKUP(AW45,'TABEL KONVERSI'!$A$3:$D$7,4)</f>
        <v>-</v>
      </c>
      <c r="BB45" s="42"/>
      <c r="BC45" s="37"/>
      <c r="BD45" s="73"/>
      <c r="BE45" s="73"/>
      <c r="BF45" s="38" t="str">
        <f t="shared" si="50"/>
        <v/>
      </c>
      <c r="BG45" s="38" t="str">
        <f t="shared" si="51"/>
        <v/>
      </c>
      <c r="BH45" s="38" t="str">
        <f>IF(BF45&lt;&gt;"",IF(AND(BF45&gt;='TABEL KONVERSI'!$B$3,'ENTRY DATA'!BF45&lt;='TABEL KONVERSI'!$C$3),1,IF(AND(BF45&gt;='TABEL KONVERSI'!$B$4,'ENTRY DATA'!BF45&lt;='TABEL KONVERSI'!$C$4),2,IF(AND(BF45&gt;='TABEL KONVERSI'!$B$5,'ENTRY DATA'!BF45&lt;='TABEL KONVERSI'!$C$5),3,IF(AND(BF45&gt;='TABEL KONVERSI'!$B$6,'ENTRY DATA'!BF45&lt;='TABEL KONVERSI'!$C$6),4,"")))),"-")</f>
        <v>-</v>
      </c>
      <c r="BI45" s="38" t="str">
        <f>IF(BG45&lt;&gt;"",IF(AND(BG45&gt;='TABEL KONVERSI'!$B$3,'ENTRY DATA'!BG45&lt;='TABEL KONVERSI'!$C$3),1,IF(AND(BG45&gt;='TABEL KONVERSI'!$B$4,'ENTRY DATA'!BG45&lt;='TABEL KONVERSI'!$C$4),2,IF(AND(BG45&gt;='TABEL KONVERSI'!$B$5,'ENTRY DATA'!BG45&lt;='TABEL KONVERSI'!$C$5),3,IF(AND(BG45&gt;='TABEL KONVERSI'!$B$6,'ENTRY DATA'!BG45&lt;='TABEL KONVERSI'!$C$6),4,"")))),"-")</f>
        <v>-</v>
      </c>
      <c r="BJ45" s="38" t="str">
        <f t="shared" si="52"/>
        <v>-</v>
      </c>
      <c r="BK45" s="38" t="str">
        <f>VLOOKUP(BH45,'TABEL KONVERSI'!$A$3:$D$7,4)</f>
        <v>-</v>
      </c>
      <c r="BL45" s="38" t="str">
        <f t="shared" si="53"/>
        <v>-</v>
      </c>
      <c r="BM45" s="38" t="str">
        <f>VLOOKUP(BI45,'TABEL KONVERSI'!$A$3:$D$7,4)</f>
        <v>-</v>
      </c>
      <c r="BN45" s="42"/>
      <c r="BO45" s="37"/>
      <c r="BP45" s="73"/>
      <c r="BQ45" s="73"/>
      <c r="BR45" s="38" t="str">
        <f t="shared" si="54"/>
        <v/>
      </c>
      <c r="BS45" s="38" t="str">
        <f t="shared" si="55"/>
        <v/>
      </c>
      <c r="BT45" s="38" t="str">
        <f>IF(BR45&lt;&gt;"",IF(AND(BR45&gt;='TABEL KONVERSI'!$B$3,'ENTRY DATA'!BR45&lt;='TABEL KONVERSI'!$C$3),1,IF(AND(BR45&gt;='TABEL KONVERSI'!$B$4,'ENTRY DATA'!BR45&lt;='TABEL KONVERSI'!$C$4),2,IF(AND(BR45&gt;='TABEL KONVERSI'!$B$5,'ENTRY DATA'!BR45&lt;='TABEL KONVERSI'!$C$5),3,IF(AND(BR45&gt;='TABEL KONVERSI'!$B$6,'ENTRY DATA'!BR45&lt;='TABEL KONVERSI'!$C$6),4,"")))),"-")</f>
        <v>-</v>
      </c>
      <c r="BU45" s="38" t="str">
        <f>IF(BS45&lt;&gt;"",IF(AND(BS45&gt;='TABEL KONVERSI'!$B$3,'ENTRY DATA'!BS45&lt;='TABEL KONVERSI'!$C$3),1,IF(AND(BS45&gt;='TABEL KONVERSI'!$B$4,'ENTRY DATA'!BS45&lt;='TABEL KONVERSI'!$C$4),2,IF(AND(BS45&gt;='TABEL KONVERSI'!$B$5,'ENTRY DATA'!BS45&lt;='TABEL KONVERSI'!$C$5),3,IF(AND(BS45&gt;='TABEL KONVERSI'!$B$6,'ENTRY DATA'!BS45&lt;='TABEL KONVERSI'!$C$6),4,"")))),"-")</f>
        <v>-</v>
      </c>
      <c r="BV45" s="38" t="str">
        <f t="shared" si="56"/>
        <v>-</v>
      </c>
      <c r="BW45" s="38" t="str">
        <f>VLOOKUP(BT45,'TABEL KONVERSI'!$A$3:$D$7,4)</f>
        <v>-</v>
      </c>
      <c r="BX45" s="38" t="str">
        <f t="shared" si="57"/>
        <v>-</v>
      </c>
      <c r="BY45" s="38" t="str">
        <f>VLOOKUP(BU45,'TABEL KONVERSI'!$A$3:$D$7,4)</f>
        <v>-</v>
      </c>
      <c r="BZ45" s="42"/>
      <c r="CA45" s="37"/>
      <c r="CB45" s="73"/>
      <c r="CC45" s="73"/>
      <c r="CD45" s="38" t="str">
        <f t="shared" si="58"/>
        <v/>
      </c>
      <c r="CE45" s="38" t="str">
        <f t="shared" si="59"/>
        <v/>
      </c>
      <c r="CF45" s="38" t="str">
        <f>IF(CD45&lt;&gt;"",IF(AND(CD45&gt;='TABEL KONVERSI'!$B$3,'ENTRY DATA'!CD45&lt;='TABEL KONVERSI'!$C$3),1,IF(AND(CD45&gt;='TABEL KONVERSI'!$B$4,'ENTRY DATA'!CD45&lt;='TABEL KONVERSI'!$C$4),2,IF(AND(CD45&gt;='TABEL KONVERSI'!$B$5,'ENTRY DATA'!CD45&lt;='TABEL KONVERSI'!$C$5),3,IF(AND(CD45&gt;='TABEL KONVERSI'!$B$6,'ENTRY DATA'!CD45&lt;='TABEL KONVERSI'!$C$6),4,"")))),"-")</f>
        <v>-</v>
      </c>
      <c r="CG45" s="38" t="str">
        <f>IF(CE45&lt;&gt;"",IF(AND(CE45&gt;='TABEL KONVERSI'!$B$3,'ENTRY DATA'!CE45&lt;='TABEL KONVERSI'!$C$3),1,IF(AND(CE45&gt;='TABEL KONVERSI'!$B$4,'ENTRY DATA'!CE45&lt;='TABEL KONVERSI'!$C$4),2,IF(AND(CE45&gt;='TABEL KONVERSI'!$B$5,'ENTRY DATA'!CE45&lt;='TABEL KONVERSI'!$C$5),3,IF(AND(CE45&gt;='TABEL KONVERSI'!$B$6,'ENTRY DATA'!CE45&lt;='TABEL KONVERSI'!$C$6),4,"")))),"-")</f>
        <v>-</v>
      </c>
      <c r="CH45" s="38" t="str">
        <f t="shared" si="60"/>
        <v>-</v>
      </c>
      <c r="CI45" s="38" t="str">
        <f>VLOOKUP(CF45,'TABEL KONVERSI'!$A$3:$D$7,4)</f>
        <v>-</v>
      </c>
      <c r="CJ45" s="38" t="str">
        <f t="shared" si="61"/>
        <v>-</v>
      </c>
      <c r="CK45" s="38" t="str">
        <f>VLOOKUP(CG45,'TABEL KONVERSI'!$A$3:$D$7,4)</f>
        <v>-</v>
      </c>
      <c r="CL45" s="42"/>
      <c r="CM45" s="37"/>
      <c r="CN45" s="73"/>
      <c r="CO45" s="73"/>
      <c r="CP45" s="38" t="str">
        <f t="shared" si="62"/>
        <v/>
      </c>
      <c r="CQ45" s="38" t="str">
        <f t="shared" si="63"/>
        <v/>
      </c>
      <c r="CR45" s="38" t="str">
        <f>IF(CP45&lt;&gt;"",IF(AND(CP45&gt;='TABEL KONVERSI'!$B$3,'ENTRY DATA'!CP45&lt;='TABEL KONVERSI'!$C$3),1,IF(AND(CP45&gt;='TABEL KONVERSI'!$B$4,'ENTRY DATA'!CP45&lt;='TABEL KONVERSI'!$C$4),2,IF(AND(CP45&gt;='TABEL KONVERSI'!$B$5,'ENTRY DATA'!CP45&lt;='TABEL KONVERSI'!$C$5),3,IF(AND(CP45&gt;='TABEL KONVERSI'!$B$6,'ENTRY DATA'!CP45&lt;='TABEL KONVERSI'!$C$6),4,"")))),"-")</f>
        <v>-</v>
      </c>
      <c r="CS45" s="38" t="str">
        <f>IF(CQ45&lt;&gt;"",IF(AND(CQ45&gt;='TABEL KONVERSI'!$B$3,'ENTRY DATA'!CQ45&lt;='TABEL KONVERSI'!$C$3),1,IF(AND(CQ45&gt;='TABEL KONVERSI'!$B$4,'ENTRY DATA'!CQ45&lt;='TABEL KONVERSI'!$C$4),2,IF(AND(CQ45&gt;='TABEL KONVERSI'!$B$5,'ENTRY DATA'!CQ45&lt;='TABEL KONVERSI'!$C$5),3,IF(AND(CQ45&gt;='TABEL KONVERSI'!$B$6,'ENTRY DATA'!CQ45&lt;='TABEL KONVERSI'!$C$6),4,"")))),"-")</f>
        <v>-</v>
      </c>
      <c r="CT45" s="38" t="str">
        <f t="shared" si="64"/>
        <v>-</v>
      </c>
      <c r="CU45" s="38" t="str">
        <f>VLOOKUP(CR45,'TABEL KONVERSI'!$A$3:$D$7,4)</f>
        <v>-</v>
      </c>
      <c r="CV45" s="38" t="str">
        <f t="shared" si="65"/>
        <v>-</v>
      </c>
      <c r="CW45" s="38" t="str">
        <f>VLOOKUP(CS45,'TABEL KONVERSI'!$A$3:$D$7,4)</f>
        <v>-</v>
      </c>
      <c r="CX45" s="42"/>
      <c r="CY45" s="37"/>
      <c r="CZ45" s="73"/>
      <c r="DA45" s="73"/>
      <c r="DB45" s="38" t="str">
        <f t="shared" si="66"/>
        <v/>
      </c>
      <c r="DC45" s="38" t="str">
        <f t="shared" si="67"/>
        <v/>
      </c>
      <c r="DD45" s="38" t="str">
        <f>IF(DB45&lt;&gt;"",IF(AND(DB45&gt;='TABEL KONVERSI'!$B$3,'ENTRY DATA'!DB45&lt;='TABEL KONVERSI'!$C$3),1,IF(AND(DB45&gt;='TABEL KONVERSI'!$B$4,'ENTRY DATA'!DB45&lt;='TABEL KONVERSI'!$C$4),2,IF(AND(DB45&gt;='TABEL KONVERSI'!$B$5,'ENTRY DATA'!DB45&lt;='TABEL KONVERSI'!$C$5),3,IF(AND(DB45&gt;='TABEL KONVERSI'!$B$6,'ENTRY DATA'!DB45&lt;='TABEL KONVERSI'!$C$6),4,"")))),"-")</f>
        <v>-</v>
      </c>
      <c r="DE45" s="38" t="str">
        <f>IF(DC45&lt;&gt;"",IF(AND(DC45&gt;='TABEL KONVERSI'!$B$3,'ENTRY DATA'!DC45&lt;='TABEL KONVERSI'!$C$3),1,IF(AND(DC45&gt;='TABEL KONVERSI'!$B$4,'ENTRY DATA'!DC45&lt;='TABEL KONVERSI'!$C$4),2,IF(AND(DC45&gt;='TABEL KONVERSI'!$B$5,'ENTRY DATA'!DC45&lt;='TABEL KONVERSI'!$C$5),3,IF(AND(DC45&gt;='TABEL KONVERSI'!$B$6,'ENTRY DATA'!DC45&lt;='TABEL KONVERSI'!$C$6),4,"")))),"-")</f>
        <v>-</v>
      </c>
      <c r="DF45" s="38" t="str">
        <f t="shared" si="68"/>
        <v>-</v>
      </c>
      <c r="DG45" s="38" t="str">
        <f>VLOOKUP(DD45,'TABEL KONVERSI'!$A$3:$D$7,4)</f>
        <v>-</v>
      </c>
      <c r="DH45" s="38" t="str">
        <f t="shared" si="69"/>
        <v>-</v>
      </c>
      <c r="DI45" s="38" t="str">
        <f>VLOOKUP(DE45,'TABEL KONVERSI'!$A$3:$D$7,4)</f>
        <v>-</v>
      </c>
      <c r="DJ45" s="42"/>
      <c r="DK45" s="37"/>
      <c r="DL45" s="73"/>
      <c r="DM45" s="73"/>
      <c r="DN45" s="38" t="str">
        <f t="shared" si="70"/>
        <v/>
      </c>
      <c r="DO45" s="38" t="str">
        <f t="shared" si="71"/>
        <v/>
      </c>
      <c r="DP45" s="38" t="str">
        <f>IF(DN45&lt;&gt;"",IF(AND(DN45&gt;='TABEL KONVERSI'!$B$3,'ENTRY DATA'!DN45&lt;='TABEL KONVERSI'!$C$3),1,IF(AND(DN45&gt;='TABEL KONVERSI'!$B$4,'ENTRY DATA'!DN45&lt;='TABEL KONVERSI'!$C$4),2,IF(AND(DN45&gt;='TABEL KONVERSI'!$B$5,'ENTRY DATA'!DN45&lt;='TABEL KONVERSI'!$C$5),3,IF(AND(DN45&gt;='TABEL KONVERSI'!$B$6,'ENTRY DATA'!DN45&lt;='TABEL KONVERSI'!$C$6),4,"")))),"-")</f>
        <v>-</v>
      </c>
      <c r="DQ45" s="38" t="str">
        <f>IF(DO45&lt;&gt;"",IF(AND(DO45&gt;='TABEL KONVERSI'!$B$3,'ENTRY DATA'!DO45&lt;='TABEL KONVERSI'!$C$3),1,IF(AND(DO45&gt;='TABEL KONVERSI'!$B$4,'ENTRY DATA'!DO45&lt;='TABEL KONVERSI'!$C$4),2,IF(AND(DO45&gt;='TABEL KONVERSI'!$B$5,'ENTRY DATA'!DO45&lt;='TABEL KONVERSI'!$C$5),3,IF(AND(DO45&gt;='TABEL KONVERSI'!$B$6,'ENTRY DATA'!DO45&lt;='TABEL KONVERSI'!$C$6),4,"")))),"-")</f>
        <v>-</v>
      </c>
      <c r="DR45" s="38" t="str">
        <f t="shared" si="72"/>
        <v>-</v>
      </c>
      <c r="DS45" s="38" t="str">
        <f>VLOOKUP(DP45,'TABEL KONVERSI'!$A$3:$D$7,4)</f>
        <v>-</v>
      </c>
      <c r="DT45" s="38" t="str">
        <f t="shared" si="73"/>
        <v>-</v>
      </c>
      <c r="DU45" s="38" t="str">
        <f>VLOOKUP(DQ45,'TABEL KONVERSI'!$A$3:$D$7,4)</f>
        <v>-</v>
      </c>
      <c r="DV45" s="42"/>
      <c r="DW45" s="37"/>
      <c r="DX45" s="73"/>
      <c r="DY45" s="73"/>
      <c r="DZ45" s="38" t="str">
        <f t="shared" si="74"/>
        <v/>
      </c>
      <c r="EA45" s="38" t="str">
        <f t="shared" si="75"/>
        <v/>
      </c>
      <c r="EB45" s="38" t="str">
        <f>IF(DZ45&lt;&gt;"",IF(AND(DZ45&gt;='TABEL KONVERSI'!$B$3,'ENTRY DATA'!DZ45&lt;='TABEL KONVERSI'!$C$3),1,IF(AND(DZ45&gt;='TABEL KONVERSI'!$B$4,'ENTRY DATA'!DZ45&lt;='TABEL KONVERSI'!$C$4),2,IF(AND(DZ45&gt;='TABEL KONVERSI'!$B$5,'ENTRY DATA'!DZ45&lt;='TABEL KONVERSI'!$C$5),3,IF(AND(DZ45&gt;='TABEL KONVERSI'!$B$6,'ENTRY DATA'!DZ45&lt;='TABEL KONVERSI'!$C$6),4,"")))),"-")</f>
        <v>-</v>
      </c>
      <c r="EC45" s="38" t="str">
        <f>IF(EA45&lt;&gt;"",IF(AND(EA45&gt;='TABEL KONVERSI'!$B$3,'ENTRY DATA'!EA45&lt;='TABEL KONVERSI'!$C$3),1,IF(AND(EA45&gt;='TABEL KONVERSI'!$B$4,'ENTRY DATA'!EA45&lt;='TABEL KONVERSI'!$C$4),2,IF(AND(EA45&gt;='TABEL KONVERSI'!$B$5,'ENTRY DATA'!EA45&lt;='TABEL KONVERSI'!$C$5),3,IF(AND(EA45&gt;='TABEL KONVERSI'!$B$6,'ENTRY DATA'!EA45&lt;='TABEL KONVERSI'!$C$6),4,"")))),"-")</f>
        <v>-</v>
      </c>
      <c r="ED45" s="38" t="str">
        <f t="shared" si="76"/>
        <v>-</v>
      </c>
      <c r="EE45" s="38" t="str">
        <f>VLOOKUP(EB45,'TABEL KONVERSI'!$A$3:$D$7,4)</f>
        <v>-</v>
      </c>
      <c r="EF45" s="38" t="str">
        <f t="shared" si="77"/>
        <v>-</v>
      </c>
      <c r="EG45" s="38" t="str">
        <f>VLOOKUP(EC45,'TABEL KONVERSI'!$A$3:$D$7,4)</f>
        <v>-</v>
      </c>
      <c r="EH45" s="42"/>
      <c r="EI45" s="37"/>
      <c r="EJ45" s="73"/>
      <c r="EK45" s="73"/>
      <c r="EL45" s="38" t="str">
        <f t="shared" si="78"/>
        <v/>
      </c>
      <c r="EM45" s="38" t="str">
        <f t="shared" si="79"/>
        <v/>
      </c>
      <c r="EN45" s="38" t="str">
        <f>IF(EL45&lt;&gt;"",IF(AND(EL45&gt;='TABEL KONVERSI'!$B$3,'ENTRY DATA'!EL45&lt;='TABEL KONVERSI'!$C$3),1,IF(AND(EL45&gt;='TABEL KONVERSI'!$B$4,'ENTRY DATA'!EL45&lt;='TABEL KONVERSI'!$C$4),2,IF(AND(EL45&gt;='TABEL KONVERSI'!$B$5,'ENTRY DATA'!EL45&lt;='TABEL KONVERSI'!$C$5),3,IF(AND(EL45&gt;='TABEL KONVERSI'!$B$6,'ENTRY DATA'!EL45&lt;='TABEL KONVERSI'!$C$6),4,"")))),"-")</f>
        <v>-</v>
      </c>
      <c r="EO45" s="38" t="str">
        <f>IF(EM45&lt;&gt;"",IF(AND(EM45&gt;='TABEL KONVERSI'!$B$3,'ENTRY DATA'!EM45&lt;='TABEL KONVERSI'!$C$3),1,IF(AND(EM45&gt;='TABEL KONVERSI'!$B$4,'ENTRY DATA'!EM45&lt;='TABEL KONVERSI'!$C$4),2,IF(AND(EM45&gt;='TABEL KONVERSI'!$B$5,'ENTRY DATA'!EM45&lt;='TABEL KONVERSI'!$C$5),3,IF(AND(EM45&gt;='TABEL KONVERSI'!$B$6,'ENTRY DATA'!EM45&lt;='TABEL KONVERSI'!$C$6),4,"")))),"-")</f>
        <v>-</v>
      </c>
      <c r="EP45" s="38" t="str">
        <f t="shared" si="80"/>
        <v>-</v>
      </c>
      <c r="EQ45" s="38" t="str">
        <f>VLOOKUP(EN45,'TABEL KONVERSI'!$A$3:$D$7,4)</f>
        <v>-</v>
      </c>
      <c r="ER45" s="38" t="str">
        <f t="shared" si="81"/>
        <v>-</v>
      </c>
      <c r="ES45" s="38" t="str">
        <f>VLOOKUP(EO45,'TABEL KONVERSI'!$A$3:$D$7,4)</f>
        <v>-</v>
      </c>
      <c r="ET45" s="42"/>
      <c r="EU45" s="37"/>
      <c r="EV45" s="73"/>
      <c r="EW45" s="73"/>
      <c r="EX45" s="38" t="str">
        <f t="shared" si="82"/>
        <v/>
      </c>
      <c r="EY45" s="38" t="str">
        <f t="shared" si="83"/>
        <v/>
      </c>
      <c r="EZ45" s="38" t="str">
        <f>IF(EX45&lt;&gt;"",IF(AND(EX45&gt;='TABEL KONVERSI'!$B$3,'ENTRY DATA'!EX45&lt;='TABEL KONVERSI'!$C$3),1,IF(AND(EX45&gt;='TABEL KONVERSI'!$B$4,'ENTRY DATA'!EX45&lt;='TABEL KONVERSI'!$C$4),2,IF(AND(EX45&gt;='TABEL KONVERSI'!$B$5,'ENTRY DATA'!EX45&lt;='TABEL KONVERSI'!$C$5),3,IF(AND(EX45&gt;='TABEL KONVERSI'!$B$6,'ENTRY DATA'!EX45&lt;='TABEL KONVERSI'!$C$6),4,"")))),"-")</f>
        <v>-</v>
      </c>
      <c r="FA45" s="38" t="str">
        <f>IF(EY45&lt;&gt;"",IF(AND(EY45&gt;='TABEL KONVERSI'!$B$3,'ENTRY DATA'!EY45&lt;='TABEL KONVERSI'!$C$3),1,IF(AND(EY45&gt;='TABEL KONVERSI'!$B$4,'ENTRY DATA'!EY45&lt;='TABEL KONVERSI'!$C$4),2,IF(AND(EY45&gt;='TABEL KONVERSI'!$B$5,'ENTRY DATA'!EY45&lt;='TABEL KONVERSI'!$C$5),3,IF(AND(EY45&gt;='TABEL KONVERSI'!$B$6,'ENTRY DATA'!EY45&lt;='TABEL KONVERSI'!$C$6),4,"")))),"-")</f>
        <v>-</v>
      </c>
      <c r="FB45" s="38" t="str">
        <f t="shared" si="84"/>
        <v>-</v>
      </c>
      <c r="FC45" s="38" t="str">
        <f>VLOOKUP(EZ45,'TABEL KONVERSI'!$A$3:$D$7,4)</f>
        <v>-</v>
      </c>
      <c r="FD45" s="38" t="str">
        <f t="shared" si="85"/>
        <v>-</v>
      </c>
      <c r="FE45" s="38" t="str">
        <f>VLOOKUP(FA45,'TABEL KONVERSI'!$A$3:$D$7,4)</f>
        <v>-</v>
      </c>
      <c r="FF45" s="42"/>
      <c r="FG45" s="37"/>
      <c r="FH45" s="73"/>
      <c r="FI45" s="73"/>
      <c r="FJ45" s="38" t="str">
        <f t="shared" si="86"/>
        <v/>
      </c>
      <c r="FK45" s="38" t="str">
        <f t="shared" si="87"/>
        <v/>
      </c>
      <c r="FL45" s="38" t="str">
        <f>IF(FJ45&lt;&gt;"",IF(AND(FJ45&gt;='TABEL KONVERSI'!$B$3,'ENTRY DATA'!FJ45&lt;='TABEL KONVERSI'!$C$3),1,IF(AND(FJ45&gt;='TABEL KONVERSI'!$B$4,'ENTRY DATA'!FJ45&lt;='TABEL KONVERSI'!$C$4),2,IF(AND(FJ45&gt;='TABEL KONVERSI'!$B$5,'ENTRY DATA'!FJ45&lt;='TABEL KONVERSI'!$C$5),3,IF(AND(FJ45&gt;='TABEL KONVERSI'!$B$6,'ENTRY DATA'!FJ45&lt;='TABEL KONVERSI'!$C$6),4,"")))),"-")</f>
        <v>-</v>
      </c>
      <c r="FM45" s="38" t="str">
        <f>IF(FK45&lt;&gt;"",IF(AND(FK45&gt;='TABEL KONVERSI'!$B$3,'ENTRY DATA'!FK45&lt;='TABEL KONVERSI'!$C$3),1,IF(AND(FK45&gt;='TABEL KONVERSI'!$B$4,'ENTRY DATA'!FK45&lt;='TABEL KONVERSI'!$C$4),2,IF(AND(FK45&gt;='TABEL KONVERSI'!$B$5,'ENTRY DATA'!FK45&lt;='TABEL KONVERSI'!$C$5),3,IF(AND(FK45&gt;='TABEL KONVERSI'!$B$6,'ENTRY DATA'!FK45&lt;='TABEL KONVERSI'!$C$6),4,"")))),"-")</f>
        <v>-</v>
      </c>
      <c r="FN45" s="38" t="str">
        <f t="shared" si="88"/>
        <v>-</v>
      </c>
      <c r="FO45" s="38" t="str">
        <f>VLOOKUP(FL45,'TABEL KONVERSI'!$A$3:$D$7,4)</f>
        <v>-</v>
      </c>
      <c r="FP45" s="38" t="str">
        <f t="shared" si="89"/>
        <v>-</v>
      </c>
      <c r="FQ45" s="38" t="str">
        <f>VLOOKUP(FM45,'TABEL KONVERSI'!$A$3:$D$7,4)</f>
        <v>-</v>
      </c>
      <c r="FR45" s="42"/>
      <c r="FS45" s="37"/>
      <c r="FT45" s="73"/>
      <c r="FU45" s="73"/>
      <c r="FV45" s="38" t="str">
        <f t="shared" si="90"/>
        <v/>
      </c>
      <c r="FW45" s="38" t="str">
        <f t="shared" si="91"/>
        <v/>
      </c>
      <c r="FX45" s="38" t="str">
        <f>IF(FV45&lt;&gt;"",IF(AND(FV45&gt;='TABEL KONVERSI'!$B$3,'ENTRY DATA'!FV45&lt;='TABEL KONVERSI'!$C$3),1,IF(AND(FV45&gt;='TABEL KONVERSI'!$B$4,'ENTRY DATA'!FV45&lt;='TABEL KONVERSI'!$C$4),2,IF(AND(FV45&gt;='TABEL KONVERSI'!$B$5,'ENTRY DATA'!FV45&lt;='TABEL KONVERSI'!$C$5),3,IF(AND(FV45&gt;='TABEL KONVERSI'!$B$6,'ENTRY DATA'!FV45&lt;='TABEL KONVERSI'!$C$6),4,"")))),"-")</f>
        <v>-</v>
      </c>
      <c r="FY45" s="38" t="str">
        <f>IF(FW45&lt;&gt;"",IF(AND(FW45&gt;='TABEL KONVERSI'!$B$3,'ENTRY DATA'!FW45&lt;='TABEL KONVERSI'!$C$3),1,IF(AND(FW45&gt;='TABEL KONVERSI'!$B$4,'ENTRY DATA'!FW45&lt;='TABEL KONVERSI'!$C$4),2,IF(AND(FW45&gt;='TABEL KONVERSI'!$B$5,'ENTRY DATA'!FW45&lt;='TABEL KONVERSI'!$C$5),3,IF(AND(FW45&gt;='TABEL KONVERSI'!$B$6,'ENTRY DATA'!FW45&lt;='TABEL KONVERSI'!$C$6),4,"")))),"-")</f>
        <v>-</v>
      </c>
      <c r="FZ45" s="38" t="str">
        <f t="shared" si="92"/>
        <v>-</v>
      </c>
      <c r="GA45" s="38" t="str">
        <f>VLOOKUP(FX45,'TABEL KONVERSI'!$A$3:$D$7,4)</f>
        <v>-</v>
      </c>
      <c r="GB45" s="38" t="str">
        <f t="shared" si="93"/>
        <v>-</v>
      </c>
      <c r="GC45" s="38" t="str">
        <f>VLOOKUP(FY45,'TABEL KONVERSI'!$A$3:$D$7,4)</f>
        <v>-</v>
      </c>
      <c r="GD45" s="42"/>
      <c r="GE45" s="37"/>
      <c r="GF45" s="73"/>
      <c r="GG45" s="73"/>
      <c r="GH45" s="38" t="str">
        <f t="shared" si="94"/>
        <v/>
      </c>
      <c r="GI45" s="38" t="str">
        <f t="shared" si="95"/>
        <v/>
      </c>
      <c r="GJ45" s="38" t="str">
        <f>IF(GH45&lt;&gt;"",IF(AND(GH45&gt;='TABEL KONVERSI'!$B$3,'ENTRY DATA'!GH45&lt;='TABEL KONVERSI'!$C$3),1,IF(AND(GH45&gt;='TABEL KONVERSI'!$B$4,'ENTRY DATA'!GH45&lt;='TABEL KONVERSI'!$C$4),2,IF(AND(GH45&gt;='TABEL KONVERSI'!$B$5,'ENTRY DATA'!GH45&lt;='TABEL KONVERSI'!$C$5),3,IF(AND(GH45&gt;='TABEL KONVERSI'!$B$6,'ENTRY DATA'!GH45&lt;='TABEL KONVERSI'!$C$6),4,"")))),"-")</f>
        <v>-</v>
      </c>
      <c r="GK45" s="38" t="str">
        <f>IF(GI45&lt;&gt;"",IF(AND(GI45&gt;='TABEL KONVERSI'!$B$3,'ENTRY DATA'!GI45&lt;='TABEL KONVERSI'!$C$3),1,IF(AND(GI45&gt;='TABEL KONVERSI'!$B$4,'ENTRY DATA'!GI45&lt;='TABEL KONVERSI'!$C$4),2,IF(AND(GI45&gt;='TABEL KONVERSI'!$B$5,'ENTRY DATA'!GI45&lt;='TABEL KONVERSI'!$C$5),3,IF(AND(GI45&gt;='TABEL KONVERSI'!$B$6,'ENTRY DATA'!GI45&lt;='TABEL KONVERSI'!$C$6),4,"")))),"-")</f>
        <v>-</v>
      </c>
      <c r="GL45" s="38" t="str">
        <f t="shared" si="96"/>
        <v>-</v>
      </c>
      <c r="GM45" s="38" t="str">
        <f>VLOOKUP(GJ45,'TABEL KONVERSI'!$A$3:$D$7,4)</f>
        <v>-</v>
      </c>
      <c r="GN45" s="38" t="str">
        <f t="shared" si="97"/>
        <v>-</v>
      </c>
      <c r="GO45" s="38" t="str">
        <f>VLOOKUP(GK45,'TABEL KONVERSI'!$A$3:$D$7,4)</f>
        <v>-</v>
      </c>
      <c r="GP45" s="43">
        <f t="shared" ref="GP45:GP62" si="108">H45</f>
        <v>0</v>
      </c>
      <c r="GQ45" s="43">
        <f t="shared" ref="GQ45:GQ62" si="109">T45</f>
        <v>0</v>
      </c>
      <c r="GR45" s="43">
        <f t="shared" ref="GR45:GR62" si="110">AF45</f>
        <v>0</v>
      </c>
      <c r="GS45" s="43">
        <f t="shared" ref="GS45:GS62" si="111">AR45</f>
        <v>0</v>
      </c>
      <c r="GT45" s="43">
        <f t="shared" ref="GT45:GT62" si="112">BD45</f>
        <v>0</v>
      </c>
      <c r="GU45" s="43">
        <f t="shared" ref="GU45:GU62" si="113">BP45</f>
        <v>0</v>
      </c>
      <c r="GV45" s="43">
        <f t="shared" ref="GV45:GV62" si="114">CB45</f>
        <v>0</v>
      </c>
      <c r="GW45" s="43">
        <f t="shared" ref="GW45:GW62" si="115">CN45</f>
        <v>0</v>
      </c>
      <c r="GX45" s="43">
        <f t="shared" ref="GX45:GX62" si="116">CZ45</f>
        <v>0</v>
      </c>
      <c r="GY45" s="43">
        <f t="shared" ref="GY45:GY62" si="117">DL45</f>
        <v>0</v>
      </c>
      <c r="GZ45" s="43">
        <f t="shared" ref="GZ45:GZ62" si="118">DX45</f>
        <v>0</v>
      </c>
      <c r="HA45" s="43">
        <f t="shared" ref="HA45:HA62" si="119">EJ45</f>
        <v>0</v>
      </c>
      <c r="HB45" s="43">
        <f t="shared" ref="HB45:HB62" si="120">EV45</f>
        <v>0</v>
      </c>
      <c r="HC45" s="43">
        <f t="shared" ref="HC45:HC62" si="121">FH45</f>
        <v>0</v>
      </c>
      <c r="HD45" s="43">
        <f t="shared" ref="HD45:HD62" si="122">FT45</f>
        <v>0</v>
      </c>
      <c r="HE45" s="43">
        <f t="shared" ref="HE45:HE62" si="123">GF45</f>
        <v>0</v>
      </c>
      <c r="HF45" s="38">
        <f t="shared" si="98"/>
        <v>0</v>
      </c>
      <c r="HG45" s="38">
        <f t="shared" si="99"/>
        <v>0</v>
      </c>
      <c r="HH45" s="38">
        <f t="shared" si="100"/>
        <v>0</v>
      </c>
      <c r="HI45" s="39">
        <f t="shared" si="101"/>
        <v>0</v>
      </c>
      <c r="HJ45" s="44" t="str">
        <f t="shared" si="102"/>
        <v>-</v>
      </c>
      <c r="HK45" s="45" t="str">
        <f>VLOOKUP(HJ45,'TABEL KONVERSI'!$B$11:$D$15,2,0)</f>
        <v>-</v>
      </c>
      <c r="HL45" s="43">
        <f t="shared" ref="HL45:HL62" si="124">I45</f>
        <v>0</v>
      </c>
      <c r="HM45" s="43">
        <f t="shared" ref="HM45:HM62" si="125">U45</f>
        <v>0</v>
      </c>
      <c r="HN45" s="43">
        <f t="shared" ref="HN45:HN62" si="126">AG45</f>
        <v>0</v>
      </c>
      <c r="HO45" s="43">
        <f t="shared" ref="HO45:HO62" si="127">AS45</f>
        <v>0</v>
      </c>
      <c r="HP45" s="43">
        <f t="shared" ref="HP45:HP62" si="128">BE45</f>
        <v>0</v>
      </c>
      <c r="HQ45" s="43">
        <f t="shared" ref="HQ45:HQ62" si="129">BQ45</f>
        <v>0</v>
      </c>
      <c r="HR45" s="43">
        <f t="shared" ref="HR45:HR62" si="130">CC45</f>
        <v>0</v>
      </c>
      <c r="HS45" s="43">
        <f t="shared" ref="HS45:HS62" si="131">CO45</f>
        <v>0</v>
      </c>
      <c r="HT45" s="43">
        <f t="shared" ref="HT45:HT62" si="132">DA45</f>
        <v>0</v>
      </c>
      <c r="HU45" s="43">
        <f t="shared" ref="HU45:HU62" si="133">DM45</f>
        <v>0</v>
      </c>
      <c r="HV45" s="43">
        <f t="shared" ref="HV45:HV62" si="134">DY45</f>
        <v>0</v>
      </c>
      <c r="HW45" s="43">
        <f t="shared" ref="HW45:HW62" si="135">EK45</f>
        <v>0</v>
      </c>
      <c r="HX45" s="43">
        <f t="shared" ref="HX45:HX62" si="136">EW45</f>
        <v>0</v>
      </c>
      <c r="HY45" s="43">
        <f t="shared" ref="HY45:HY62" si="137">FI45</f>
        <v>0</v>
      </c>
      <c r="HZ45" s="43">
        <f t="shared" ref="HZ45:HZ62" si="138">FU45</f>
        <v>0</v>
      </c>
      <c r="IA45" s="43">
        <f t="shared" ref="IA45:IA62" si="139">GG45</f>
        <v>0</v>
      </c>
      <c r="IB45" s="38">
        <f t="shared" si="103"/>
        <v>0</v>
      </c>
      <c r="IC45" s="38">
        <f t="shared" si="104"/>
        <v>0</v>
      </c>
      <c r="ID45" s="38">
        <f t="shared" si="105"/>
        <v>0</v>
      </c>
      <c r="IE45" s="38">
        <f t="shared" si="106"/>
        <v>0</v>
      </c>
      <c r="IF45" s="46" t="str">
        <f t="shared" si="107"/>
        <v>-</v>
      </c>
      <c r="IG45" s="45" t="str">
        <f>VLOOKUP(IF45,'TABEL KONVERSI'!$B$11:$D$15,3,0)</f>
        <v>-</v>
      </c>
      <c r="IH45" s="40" t="s">
        <v>223</v>
      </c>
      <c r="II45" s="41" t="s">
        <v>106</v>
      </c>
      <c r="IJ45" s="45" t="str">
        <f>IF(II45&lt;&gt;"",VLOOKUP(II45,'TABEL KONVERSI'!$A$19:$B$23,2,0),"")</f>
        <v>Aktif dalam mengikuti kegiatan</v>
      </c>
      <c r="IK45" s="47" t="s">
        <v>58</v>
      </c>
      <c r="IL45" s="50" t="s">
        <v>58</v>
      </c>
      <c r="IM45" s="45" t="str">
        <f>IF(IL45&lt;&gt;"",VLOOKUP(IL45,'TABEL KONVERSI'!$A$19:$B$23,2,0),"")</f>
        <v>-</v>
      </c>
      <c r="IN45" s="49" t="s">
        <v>58</v>
      </c>
      <c r="IO45" s="48" t="s">
        <v>58</v>
      </c>
      <c r="IP45" s="45" t="str">
        <f>IF(IO45&lt;&gt;"",VLOOKUP(IO45,'TABEL KONVERSI'!$A$19:$B$23,2,0),"")</f>
        <v>-</v>
      </c>
      <c r="IQ45" s="49" t="s">
        <v>58</v>
      </c>
      <c r="IR45" s="50" t="s">
        <v>58</v>
      </c>
      <c r="IS45" s="45" t="str">
        <f>IF(IR45&lt;&gt;"",VLOOKUP(IR45,'TABEL KONVERSI'!$A$19:$B$23,2,0),"")</f>
        <v>-</v>
      </c>
      <c r="IT45" s="49" t="s">
        <v>58</v>
      </c>
      <c r="IU45" s="50" t="s">
        <v>58</v>
      </c>
      <c r="IV45" s="45" t="str">
        <f>IF(IU45&lt;&gt;"",VLOOKUP(IU45,'TABEL KONVERSI'!$A$19:$B$23,2,0),"")</f>
        <v>-</v>
      </c>
      <c r="IW45" s="48" t="s">
        <v>58</v>
      </c>
      <c r="IX45" s="48" t="s">
        <v>58</v>
      </c>
      <c r="IY45" s="48" t="s">
        <v>58</v>
      </c>
      <c r="IZ45" s="47" t="s">
        <v>58</v>
      </c>
      <c r="JA45" s="45">
        <f t="shared" ref="JA45:JA62" si="140">SUM(N45,P45,Z45,AB45,AL45,AN45,AX45,AZ45,BJ45,BL45,BV45,BX45,CH45,CJ45,CT45,CV45,DF45,DH45,DR45,DT45,ED45,EF45,EP45,ER45,FB45,FD45,FN45,FP45,FZ45,GB45,GL45,GN45)</f>
        <v>0</v>
      </c>
      <c r="JB45" s="45">
        <f t="shared" si="33"/>
        <v>1</v>
      </c>
    </row>
    <row r="46" spans="1:262" x14ac:dyDescent="0.25">
      <c r="A46" s="33">
        <v>34</v>
      </c>
      <c r="B46" s="51"/>
      <c r="C46" s="51"/>
      <c r="D46" s="77"/>
      <c r="E46" s="52"/>
      <c r="F46" s="42"/>
      <c r="G46" s="37"/>
      <c r="H46" s="73"/>
      <c r="I46" s="73"/>
      <c r="J46" s="38" t="str">
        <f t="shared" si="34"/>
        <v/>
      </c>
      <c r="K46" s="38" t="str">
        <f t="shared" si="35"/>
        <v/>
      </c>
      <c r="L46" s="38" t="str">
        <f>IF(J46&lt;&gt;"",IF(AND(J46&gt;='TABEL KONVERSI'!$B$3,'ENTRY DATA'!J46&lt;='TABEL KONVERSI'!$C$3),1,IF(AND(J46&gt;='TABEL KONVERSI'!$B$4,'ENTRY DATA'!J46&lt;='TABEL KONVERSI'!$C$4),2,IF(AND(J46&gt;='TABEL KONVERSI'!$B$5,'ENTRY DATA'!J46&lt;='TABEL KONVERSI'!$C$5),3,IF(AND(J46&gt;='TABEL KONVERSI'!$B$6,'ENTRY DATA'!J46&lt;='TABEL KONVERSI'!$C$6),4,"")))),"-")</f>
        <v>-</v>
      </c>
      <c r="M46" s="38" t="str">
        <f>IF(K46&lt;&gt;"",IF(AND(K46&gt;='TABEL KONVERSI'!$B$3,'ENTRY DATA'!K46&lt;='TABEL KONVERSI'!$C$3),1,IF(AND(K46&gt;='TABEL KONVERSI'!$B$4,'ENTRY DATA'!K46&lt;='TABEL KONVERSI'!$C$4),2,IF(AND(K46&gt;='TABEL KONVERSI'!$B$5,'ENTRY DATA'!K46&lt;='TABEL KONVERSI'!$C$5),3,IF(AND(K46&gt;='TABEL KONVERSI'!$B$6,'ENTRY DATA'!K46&lt;='TABEL KONVERSI'!$C$6),4,"")))),"-")</f>
        <v>-</v>
      </c>
      <c r="N46" s="38" t="str">
        <f t="shared" si="36"/>
        <v>-</v>
      </c>
      <c r="O46" s="38" t="str">
        <f>VLOOKUP(L46,'TABEL KONVERSI'!$A$3:$D$7,4)</f>
        <v>-</v>
      </c>
      <c r="P46" s="38" t="str">
        <f t="shared" si="37"/>
        <v>-</v>
      </c>
      <c r="Q46" s="38" t="str">
        <f>VLOOKUP(M46,'TABEL KONVERSI'!$A$3:$D$7,4)</f>
        <v>-</v>
      </c>
      <c r="R46" s="42"/>
      <c r="S46" s="37"/>
      <c r="T46" s="73"/>
      <c r="U46" s="73"/>
      <c r="V46" s="38" t="str">
        <f t="shared" si="38"/>
        <v/>
      </c>
      <c r="W46" s="38" t="str">
        <f t="shared" si="39"/>
        <v/>
      </c>
      <c r="X46" s="38" t="str">
        <f>IF(V46&lt;&gt;"",IF(AND(V46&gt;='TABEL KONVERSI'!$B$3,'ENTRY DATA'!V46&lt;='TABEL KONVERSI'!$C$3),1,IF(AND(V46&gt;='TABEL KONVERSI'!$B$4,'ENTRY DATA'!V46&lt;='TABEL KONVERSI'!$C$4),2,IF(AND(V46&gt;='TABEL KONVERSI'!$B$5,'ENTRY DATA'!V46&lt;='TABEL KONVERSI'!$C$5),3,IF(AND(V46&gt;='TABEL KONVERSI'!$B$6,'ENTRY DATA'!V46&lt;='TABEL KONVERSI'!$C$6),4,"")))),"-")</f>
        <v>-</v>
      </c>
      <c r="Y46" s="38" t="str">
        <f>IF(W46&lt;&gt;"",IF(AND(W46&gt;='TABEL KONVERSI'!$B$3,'ENTRY DATA'!W46&lt;='TABEL KONVERSI'!$C$3),1,IF(AND(W46&gt;='TABEL KONVERSI'!$B$4,'ENTRY DATA'!W46&lt;='TABEL KONVERSI'!$C$4),2,IF(AND(W46&gt;='TABEL KONVERSI'!$B$5,'ENTRY DATA'!W46&lt;='TABEL KONVERSI'!$C$5),3,IF(AND(W46&gt;='TABEL KONVERSI'!$B$6,'ENTRY DATA'!W46&lt;='TABEL KONVERSI'!$C$6),4,"")))),"-")</f>
        <v>-</v>
      </c>
      <c r="Z46" s="38" t="str">
        <f t="shared" si="40"/>
        <v>-</v>
      </c>
      <c r="AA46" s="38" t="str">
        <f>VLOOKUP(X46,'TABEL KONVERSI'!$A$3:$D$7,4)</f>
        <v>-</v>
      </c>
      <c r="AB46" s="38" t="str">
        <f t="shared" si="41"/>
        <v>-</v>
      </c>
      <c r="AC46" s="38" t="str">
        <f>VLOOKUP(Y46,'TABEL KONVERSI'!$A$3:$D$7,4)</f>
        <v>-</v>
      </c>
      <c r="AD46" s="42"/>
      <c r="AE46" s="37"/>
      <c r="AF46" s="73"/>
      <c r="AG46" s="73"/>
      <c r="AH46" s="38" t="str">
        <f t="shared" si="42"/>
        <v/>
      </c>
      <c r="AI46" s="38" t="str">
        <f t="shared" si="43"/>
        <v/>
      </c>
      <c r="AJ46" s="38" t="str">
        <f>IF(AH46&lt;&gt;"",IF(AND(AH46&gt;='TABEL KONVERSI'!$B$3,'ENTRY DATA'!AH46&lt;='TABEL KONVERSI'!$C$3),1,IF(AND(AH46&gt;='TABEL KONVERSI'!$B$4,'ENTRY DATA'!AH46&lt;='TABEL KONVERSI'!$C$4),2,IF(AND(AH46&gt;='TABEL KONVERSI'!$B$5,'ENTRY DATA'!AH46&lt;='TABEL KONVERSI'!$C$5),3,IF(AND(AH46&gt;='TABEL KONVERSI'!$B$6,'ENTRY DATA'!AH46&lt;='TABEL KONVERSI'!$C$6),4,"")))),"-")</f>
        <v>-</v>
      </c>
      <c r="AK46" s="38" t="str">
        <f>IF(AI46&lt;&gt;"",IF(AND(AI46&gt;='TABEL KONVERSI'!$B$3,'ENTRY DATA'!AI46&lt;='TABEL KONVERSI'!$C$3),1,IF(AND(AI46&gt;='TABEL KONVERSI'!$B$4,'ENTRY DATA'!AI46&lt;='TABEL KONVERSI'!$C$4),2,IF(AND(AI46&gt;='TABEL KONVERSI'!$B$5,'ENTRY DATA'!AI46&lt;='TABEL KONVERSI'!$C$5),3,IF(AND(AI46&gt;='TABEL KONVERSI'!$B$6,'ENTRY DATA'!AI46&lt;='TABEL KONVERSI'!$C$6),4,"")))),"-")</f>
        <v>-</v>
      </c>
      <c r="AL46" s="38" t="str">
        <f t="shared" si="44"/>
        <v>-</v>
      </c>
      <c r="AM46" s="38" t="str">
        <f>VLOOKUP(AJ46,'TABEL KONVERSI'!$A$3:$D$7,4)</f>
        <v>-</v>
      </c>
      <c r="AN46" s="38" t="str">
        <f t="shared" si="45"/>
        <v>-</v>
      </c>
      <c r="AO46" s="38" t="str">
        <f>VLOOKUP(AK46,'TABEL KONVERSI'!$A$3:$D$7,4)</f>
        <v>-</v>
      </c>
      <c r="AP46" s="42"/>
      <c r="AQ46" s="37"/>
      <c r="AR46" s="73"/>
      <c r="AS46" s="73"/>
      <c r="AT46" s="38" t="str">
        <f t="shared" si="46"/>
        <v/>
      </c>
      <c r="AU46" s="38" t="str">
        <f t="shared" si="47"/>
        <v/>
      </c>
      <c r="AV46" s="38" t="str">
        <f>IF(AT46&lt;&gt;"",IF(AND(AT46&gt;='TABEL KONVERSI'!$B$3,'ENTRY DATA'!AT46&lt;='TABEL KONVERSI'!$C$3),1,IF(AND(AT46&gt;='TABEL KONVERSI'!$B$4,'ENTRY DATA'!AT46&lt;='TABEL KONVERSI'!$C$4),2,IF(AND(AT46&gt;='TABEL KONVERSI'!$B$5,'ENTRY DATA'!AT46&lt;='TABEL KONVERSI'!$C$5),3,IF(AND(AT46&gt;='TABEL KONVERSI'!$B$6,'ENTRY DATA'!AT46&lt;='TABEL KONVERSI'!$C$6),4,"")))),"-")</f>
        <v>-</v>
      </c>
      <c r="AW46" s="38" t="str">
        <f>IF(AU46&lt;&gt;"",IF(AND(AU46&gt;='TABEL KONVERSI'!$B$3,'ENTRY DATA'!AU46&lt;='TABEL KONVERSI'!$C$3),1,IF(AND(AU46&gt;='TABEL KONVERSI'!$B$4,'ENTRY DATA'!AU46&lt;='TABEL KONVERSI'!$C$4),2,IF(AND(AU46&gt;='TABEL KONVERSI'!$B$5,'ENTRY DATA'!AU46&lt;='TABEL KONVERSI'!$C$5),3,IF(AND(AU46&gt;='TABEL KONVERSI'!$B$6,'ENTRY DATA'!AU46&lt;='TABEL KONVERSI'!$C$6),4,"")))),"-")</f>
        <v>-</v>
      </c>
      <c r="AX46" s="38" t="str">
        <f t="shared" si="48"/>
        <v>-</v>
      </c>
      <c r="AY46" s="38" t="str">
        <f>VLOOKUP(AV46,'TABEL KONVERSI'!$A$3:$D$7,4)</f>
        <v>-</v>
      </c>
      <c r="AZ46" s="38" t="str">
        <f t="shared" si="49"/>
        <v>-</v>
      </c>
      <c r="BA46" s="38" t="str">
        <f>VLOOKUP(AW46,'TABEL KONVERSI'!$A$3:$D$7,4)</f>
        <v>-</v>
      </c>
      <c r="BB46" s="42"/>
      <c r="BC46" s="37"/>
      <c r="BD46" s="73"/>
      <c r="BE46" s="73"/>
      <c r="BF46" s="38" t="str">
        <f t="shared" si="50"/>
        <v/>
      </c>
      <c r="BG46" s="38" t="str">
        <f t="shared" si="51"/>
        <v/>
      </c>
      <c r="BH46" s="38" t="str">
        <f>IF(BF46&lt;&gt;"",IF(AND(BF46&gt;='TABEL KONVERSI'!$B$3,'ENTRY DATA'!BF46&lt;='TABEL KONVERSI'!$C$3),1,IF(AND(BF46&gt;='TABEL KONVERSI'!$B$4,'ENTRY DATA'!BF46&lt;='TABEL KONVERSI'!$C$4),2,IF(AND(BF46&gt;='TABEL KONVERSI'!$B$5,'ENTRY DATA'!BF46&lt;='TABEL KONVERSI'!$C$5),3,IF(AND(BF46&gt;='TABEL KONVERSI'!$B$6,'ENTRY DATA'!BF46&lt;='TABEL KONVERSI'!$C$6),4,"")))),"-")</f>
        <v>-</v>
      </c>
      <c r="BI46" s="38" t="str">
        <f>IF(BG46&lt;&gt;"",IF(AND(BG46&gt;='TABEL KONVERSI'!$B$3,'ENTRY DATA'!BG46&lt;='TABEL KONVERSI'!$C$3),1,IF(AND(BG46&gt;='TABEL KONVERSI'!$B$4,'ENTRY DATA'!BG46&lt;='TABEL KONVERSI'!$C$4),2,IF(AND(BG46&gt;='TABEL KONVERSI'!$B$5,'ENTRY DATA'!BG46&lt;='TABEL KONVERSI'!$C$5),3,IF(AND(BG46&gt;='TABEL KONVERSI'!$B$6,'ENTRY DATA'!BG46&lt;='TABEL KONVERSI'!$C$6),4,"")))),"-")</f>
        <v>-</v>
      </c>
      <c r="BJ46" s="38" t="str">
        <f t="shared" si="52"/>
        <v>-</v>
      </c>
      <c r="BK46" s="38" t="str">
        <f>VLOOKUP(BH46,'TABEL KONVERSI'!$A$3:$D$7,4)</f>
        <v>-</v>
      </c>
      <c r="BL46" s="38" t="str">
        <f t="shared" si="53"/>
        <v>-</v>
      </c>
      <c r="BM46" s="38" t="str">
        <f>VLOOKUP(BI46,'TABEL KONVERSI'!$A$3:$D$7,4)</f>
        <v>-</v>
      </c>
      <c r="BN46" s="42"/>
      <c r="BO46" s="37"/>
      <c r="BP46" s="73"/>
      <c r="BQ46" s="73"/>
      <c r="BR46" s="38" t="str">
        <f t="shared" si="54"/>
        <v/>
      </c>
      <c r="BS46" s="38" t="str">
        <f t="shared" si="55"/>
        <v/>
      </c>
      <c r="BT46" s="38" t="str">
        <f>IF(BR46&lt;&gt;"",IF(AND(BR46&gt;='TABEL KONVERSI'!$B$3,'ENTRY DATA'!BR46&lt;='TABEL KONVERSI'!$C$3),1,IF(AND(BR46&gt;='TABEL KONVERSI'!$B$4,'ENTRY DATA'!BR46&lt;='TABEL KONVERSI'!$C$4),2,IF(AND(BR46&gt;='TABEL KONVERSI'!$B$5,'ENTRY DATA'!BR46&lt;='TABEL KONVERSI'!$C$5),3,IF(AND(BR46&gt;='TABEL KONVERSI'!$B$6,'ENTRY DATA'!BR46&lt;='TABEL KONVERSI'!$C$6),4,"")))),"-")</f>
        <v>-</v>
      </c>
      <c r="BU46" s="38" t="str">
        <f>IF(BS46&lt;&gt;"",IF(AND(BS46&gt;='TABEL KONVERSI'!$B$3,'ENTRY DATA'!BS46&lt;='TABEL KONVERSI'!$C$3),1,IF(AND(BS46&gt;='TABEL KONVERSI'!$B$4,'ENTRY DATA'!BS46&lt;='TABEL KONVERSI'!$C$4),2,IF(AND(BS46&gt;='TABEL KONVERSI'!$B$5,'ENTRY DATA'!BS46&lt;='TABEL KONVERSI'!$C$5),3,IF(AND(BS46&gt;='TABEL KONVERSI'!$B$6,'ENTRY DATA'!BS46&lt;='TABEL KONVERSI'!$C$6),4,"")))),"-")</f>
        <v>-</v>
      </c>
      <c r="BV46" s="38" t="str">
        <f t="shared" si="56"/>
        <v>-</v>
      </c>
      <c r="BW46" s="38" t="str">
        <f>VLOOKUP(BT46,'TABEL KONVERSI'!$A$3:$D$7,4)</f>
        <v>-</v>
      </c>
      <c r="BX46" s="38" t="str">
        <f t="shared" si="57"/>
        <v>-</v>
      </c>
      <c r="BY46" s="38" t="str">
        <f>VLOOKUP(BU46,'TABEL KONVERSI'!$A$3:$D$7,4)</f>
        <v>-</v>
      </c>
      <c r="BZ46" s="42"/>
      <c r="CA46" s="37"/>
      <c r="CB46" s="73"/>
      <c r="CC46" s="73"/>
      <c r="CD46" s="38" t="str">
        <f t="shared" si="58"/>
        <v/>
      </c>
      <c r="CE46" s="38" t="str">
        <f t="shared" si="59"/>
        <v/>
      </c>
      <c r="CF46" s="38" t="str">
        <f>IF(CD46&lt;&gt;"",IF(AND(CD46&gt;='TABEL KONVERSI'!$B$3,'ENTRY DATA'!CD46&lt;='TABEL KONVERSI'!$C$3),1,IF(AND(CD46&gt;='TABEL KONVERSI'!$B$4,'ENTRY DATA'!CD46&lt;='TABEL KONVERSI'!$C$4),2,IF(AND(CD46&gt;='TABEL KONVERSI'!$B$5,'ENTRY DATA'!CD46&lt;='TABEL KONVERSI'!$C$5),3,IF(AND(CD46&gt;='TABEL KONVERSI'!$B$6,'ENTRY DATA'!CD46&lt;='TABEL KONVERSI'!$C$6),4,"")))),"-")</f>
        <v>-</v>
      </c>
      <c r="CG46" s="38" t="str">
        <f>IF(CE46&lt;&gt;"",IF(AND(CE46&gt;='TABEL KONVERSI'!$B$3,'ENTRY DATA'!CE46&lt;='TABEL KONVERSI'!$C$3),1,IF(AND(CE46&gt;='TABEL KONVERSI'!$B$4,'ENTRY DATA'!CE46&lt;='TABEL KONVERSI'!$C$4),2,IF(AND(CE46&gt;='TABEL KONVERSI'!$B$5,'ENTRY DATA'!CE46&lt;='TABEL KONVERSI'!$C$5),3,IF(AND(CE46&gt;='TABEL KONVERSI'!$B$6,'ENTRY DATA'!CE46&lt;='TABEL KONVERSI'!$C$6),4,"")))),"-")</f>
        <v>-</v>
      </c>
      <c r="CH46" s="38" t="str">
        <f t="shared" si="60"/>
        <v>-</v>
      </c>
      <c r="CI46" s="38" t="str">
        <f>VLOOKUP(CF46,'TABEL KONVERSI'!$A$3:$D$7,4)</f>
        <v>-</v>
      </c>
      <c r="CJ46" s="38" t="str">
        <f t="shared" si="61"/>
        <v>-</v>
      </c>
      <c r="CK46" s="38" t="str">
        <f>VLOOKUP(CG46,'TABEL KONVERSI'!$A$3:$D$7,4)</f>
        <v>-</v>
      </c>
      <c r="CL46" s="42"/>
      <c r="CM46" s="37"/>
      <c r="CN46" s="73"/>
      <c r="CO46" s="73"/>
      <c r="CP46" s="38" t="str">
        <f t="shared" si="62"/>
        <v/>
      </c>
      <c r="CQ46" s="38" t="str">
        <f t="shared" si="63"/>
        <v/>
      </c>
      <c r="CR46" s="38" t="str">
        <f>IF(CP46&lt;&gt;"",IF(AND(CP46&gt;='TABEL KONVERSI'!$B$3,'ENTRY DATA'!CP46&lt;='TABEL KONVERSI'!$C$3),1,IF(AND(CP46&gt;='TABEL KONVERSI'!$B$4,'ENTRY DATA'!CP46&lt;='TABEL KONVERSI'!$C$4),2,IF(AND(CP46&gt;='TABEL KONVERSI'!$B$5,'ENTRY DATA'!CP46&lt;='TABEL KONVERSI'!$C$5),3,IF(AND(CP46&gt;='TABEL KONVERSI'!$B$6,'ENTRY DATA'!CP46&lt;='TABEL KONVERSI'!$C$6),4,"")))),"-")</f>
        <v>-</v>
      </c>
      <c r="CS46" s="38" t="str">
        <f>IF(CQ46&lt;&gt;"",IF(AND(CQ46&gt;='TABEL KONVERSI'!$B$3,'ENTRY DATA'!CQ46&lt;='TABEL KONVERSI'!$C$3),1,IF(AND(CQ46&gt;='TABEL KONVERSI'!$B$4,'ENTRY DATA'!CQ46&lt;='TABEL KONVERSI'!$C$4),2,IF(AND(CQ46&gt;='TABEL KONVERSI'!$B$5,'ENTRY DATA'!CQ46&lt;='TABEL KONVERSI'!$C$5),3,IF(AND(CQ46&gt;='TABEL KONVERSI'!$B$6,'ENTRY DATA'!CQ46&lt;='TABEL KONVERSI'!$C$6),4,"")))),"-")</f>
        <v>-</v>
      </c>
      <c r="CT46" s="38" t="str">
        <f t="shared" si="64"/>
        <v>-</v>
      </c>
      <c r="CU46" s="38" t="str">
        <f>VLOOKUP(CR46,'TABEL KONVERSI'!$A$3:$D$7,4)</f>
        <v>-</v>
      </c>
      <c r="CV46" s="38" t="str">
        <f t="shared" si="65"/>
        <v>-</v>
      </c>
      <c r="CW46" s="38" t="str">
        <f>VLOOKUP(CS46,'TABEL KONVERSI'!$A$3:$D$7,4)</f>
        <v>-</v>
      </c>
      <c r="CX46" s="42"/>
      <c r="CY46" s="37"/>
      <c r="CZ46" s="73"/>
      <c r="DA46" s="73"/>
      <c r="DB46" s="38" t="str">
        <f t="shared" si="66"/>
        <v/>
      </c>
      <c r="DC46" s="38" t="str">
        <f t="shared" si="67"/>
        <v/>
      </c>
      <c r="DD46" s="38" t="str">
        <f>IF(DB46&lt;&gt;"",IF(AND(DB46&gt;='TABEL KONVERSI'!$B$3,'ENTRY DATA'!DB46&lt;='TABEL KONVERSI'!$C$3),1,IF(AND(DB46&gt;='TABEL KONVERSI'!$B$4,'ENTRY DATA'!DB46&lt;='TABEL KONVERSI'!$C$4),2,IF(AND(DB46&gt;='TABEL KONVERSI'!$B$5,'ENTRY DATA'!DB46&lt;='TABEL KONVERSI'!$C$5),3,IF(AND(DB46&gt;='TABEL KONVERSI'!$B$6,'ENTRY DATA'!DB46&lt;='TABEL KONVERSI'!$C$6),4,"")))),"-")</f>
        <v>-</v>
      </c>
      <c r="DE46" s="38" t="str">
        <f>IF(DC46&lt;&gt;"",IF(AND(DC46&gt;='TABEL KONVERSI'!$B$3,'ENTRY DATA'!DC46&lt;='TABEL KONVERSI'!$C$3),1,IF(AND(DC46&gt;='TABEL KONVERSI'!$B$4,'ENTRY DATA'!DC46&lt;='TABEL KONVERSI'!$C$4),2,IF(AND(DC46&gt;='TABEL KONVERSI'!$B$5,'ENTRY DATA'!DC46&lt;='TABEL KONVERSI'!$C$5),3,IF(AND(DC46&gt;='TABEL KONVERSI'!$B$6,'ENTRY DATA'!DC46&lt;='TABEL KONVERSI'!$C$6),4,"")))),"-")</f>
        <v>-</v>
      </c>
      <c r="DF46" s="38" t="str">
        <f t="shared" si="68"/>
        <v>-</v>
      </c>
      <c r="DG46" s="38" t="str">
        <f>VLOOKUP(DD46,'TABEL KONVERSI'!$A$3:$D$7,4)</f>
        <v>-</v>
      </c>
      <c r="DH46" s="38" t="str">
        <f t="shared" si="69"/>
        <v>-</v>
      </c>
      <c r="DI46" s="38" t="str">
        <f>VLOOKUP(DE46,'TABEL KONVERSI'!$A$3:$D$7,4)</f>
        <v>-</v>
      </c>
      <c r="DJ46" s="42"/>
      <c r="DK46" s="37"/>
      <c r="DL46" s="73"/>
      <c r="DM46" s="73"/>
      <c r="DN46" s="38" t="str">
        <f t="shared" si="70"/>
        <v/>
      </c>
      <c r="DO46" s="38" t="str">
        <f t="shared" si="71"/>
        <v/>
      </c>
      <c r="DP46" s="38" t="str">
        <f>IF(DN46&lt;&gt;"",IF(AND(DN46&gt;='TABEL KONVERSI'!$B$3,'ENTRY DATA'!DN46&lt;='TABEL KONVERSI'!$C$3),1,IF(AND(DN46&gt;='TABEL KONVERSI'!$B$4,'ENTRY DATA'!DN46&lt;='TABEL KONVERSI'!$C$4),2,IF(AND(DN46&gt;='TABEL KONVERSI'!$B$5,'ENTRY DATA'!DN46&lt;='TABEL KONVERSI'!$C$5),3,IF(AND(DN46&gt;='TABEL KONVERSI'!$B$6,'ENTRY DATA'!DN46&lt;='TABEL KONVERSI'!$C$6),4,"")))),"-")</f>
        <v>-</v>
      </c>
      <c r="DQ46" s="38" t="str">
        <f>IF(DO46&lt;&gt;"",IF(AND(DO46&gt;='TABEL KONVERSI'!$B$3,'ENTRY DATA'!DO46&lt;='TABEL KONVERSI'!$C$3),1,IF(AND(DO46&gt;='TABEL KONVERSI'!$B$4,'ENTRY DATA'!DO46&lt;='TABEL KONVERSI'!$C$4),2,IF(AND(DO46&gt;='TABEL KONVERSI'!$B$5,'ENTRY DATA'!DO46&lt;='TABEL KONVERSI'!$C$5),3,IF(AND(DO46&gt;='TABEL KONVERSI'!$B$6,'ENTRY DATA'!DO46&lt;='TABEL KONVERSI'!$C$6),4,"")))),"-")</f>
        <v>-</v>
      </c>
      <c r="DR46" s="38" t="str">
        <f t="shared" si="72"/>
        <v>-</v>
      </c>
      <c r="DS46" s="38" t="str">
        <f>VLOOKUP(DP46,'TABEL KONVERSI'!$A$3:$D$7,4)</f>
        <v>-</v>
      </c>
      <c r="DT46" s="38" t="str">
        <f t="shared" si="73"/>
        <v>-</v>
      </c>
      <c r="DU46" s="38" t="str">
        <f>VLOOKUP(DQ46,'TABEL KONVERSI'!$A$3:$D$7,4)</f>
        <v>-</v>
      </c>
      <c r="DV46" s="42"/>
      <c r="DW46" s="37"/>
      <c r="DX46" s="73"/>
      <c r="DY46" s="73"/>
      <c r="DZ46" s="38" t="str">
        <f t="shared" si="74"/>
        <v/>
      </c>
      <c r="EA46" s="38" t="str">
        <f t="shared" si="75"/>
        <v/>
      </c>
      <c r="EB46" s="38" t="str">
        <f>IF(DZ46&lt;&gt;"",IF(AND(DZ46&gt;='TABEL KONVERSI'!$B$3,'ENTRY DATA'!DZ46&lt;='TABEL KONVERSI'!$C$3),1,IF(AND(DZ46&gt;='TABEL KONVERSI'!$B$4,'ENTRY DATA'!DZ46&lt;='TABEL KONVERSI'!$C$4),2,IF(AND(DZ46&gt;='TABEL KONVERSI'!$B$5,'ENTRY DATA'!DZ46&lt;='TABEL KONVERSI'!$C$5),3,IF(AND(DZ46&gt;='TABEL KONVERSI'!$B$6,'ENTRY DATA'!DZ46&lt;='TABEL KONVERSI'!$C$6),4,"")))),"-")</f>
        <v>-</v>
      </c>
      <c r="EC46" s="38" t="str">
        <f>IF(EA46&lt;&gt;"",IF(AND(EA46&gt;='TABEL KONVERSI'!$B$3,'ENTRY DATA'!EA46&lt;='TABEL KONVERSI'!$C$3),1,IF(AND(EA46&gt;='TABEL KONVERSI'!$B$4,'ENTRY DATA'!EA46&lt;='TABEL KONVERSI'!$C$4),2,IF(AND(EA46&gt;='TABEL KONVERSI'!$B$5,'ENTRY DATA'!EA46&lt;='TABEL KONVERSI'!$C$5),3,IF(AND(EA46&gt;='TABEL KONVERSI'!$B$6,'ENTRY DATA'!EA46&lt;='TABEL KONVERSI'!$C$6),4,"")))),"-")</f>
        <v>-</v>
      </c>
      <c r="ED46" s="38" t="str">
        <f t="shared" si="76"/>
        <v>-</v>
      </c>
      <c r="EE46" s="38" t="str">
        <f>VLOOKUP(EB46,'TABEL KONVERSI'!$A$3:$D$7,4)</f>
        <v>-</v>
      </c>
      <c r="EF46" s="38" t="str">
        <f t="shared" si="77"/>
        <v>-</v>
      </c>
      <c r="EG46" s="38" t="str">
        <f>VLOOKUP(EC46,'TABEL KONVERSI'!$A$3:$D$7,4)</f>
        <v>-</v>
      </c>
      <c r="EH46" s="42"/>
      <c r="EI46" s="37"/>
      <c r="EJ46" s="73"/>
      <c r="EK46" s="73"/>
      <c r="EL46" s="38" t="str">
        <f t="shared" si="78"/>
        <v/>
      </c>
      <c r="EM46" s="38" t="str">
        <f t="shared" si="79"/>
        <v/>
      </c>
      <c r="EN46" s="38" t="str">
        <f>IF(EL46&lt;&gt;"",IF(AND(EL46&gt;='TABEL KONVERSI'!$B$3,'ENTRY DATA'!EL46&lt;='TABEL KONVERSI'!$C$3),1,IF(AND(EL46&gt;='TABEL KONVERSI'!$B$4,'ENTRY DATA'!EL46&lt;='TABEL KONVERSI'!$C$4),2,IF(AND(EL46&gt;='TABEL KONVERSI'!$B$5,'ENTRY DATA'!EL46&lt;='TABEL KONVERSI'!$C$5),3,IF(AND(EL46&gt;='TABEL KONVERSI'!$B$6,'ENTRY DATA'!EL46&lt;='TABEL KONVERSI'!$C$6),4,"")))),"-")</f>
        <v>-</v>
      </c>
      <c r="EO46" s="38" t="str">
        <f>IF(EM46&lt;&gt;"",IF(AND(EM46&gt;='TABEL KONVERSI'!$B$3,'ENTRY DATA'!EM46&lt;='TABEL KONVERSI'!$C$3),1,IF(AND(EM46&gt;='TABEL KONVERSI'!$B$4,'ENTRY DATA'!EM46&lt;='TABEL KONVERSI'!$C$4),2,IF(AND(EM46&gt;='TABEL KONVERSI'!$B$5,'ENTRY DATA'!EM46&lt;='TABEL KONVERSI'!$C$5),3,IF(AND(EM46&gt;='TABEL KONVERSI'!$B$6,'ENTRY DATA'!EM46&lt;='TABEL KONVERSI'!$C$6),4,"")))),"-")</f>
        <v>-</v>
      </c>
      <c r="EP46" s="38" t="str">
        <f t="shared" si="80"/>
        <v>-</v>
      </c>
      <c r="EQ46" s="38" t="str">
        <f>VLOOKUP(EN46,'TABEL KONVERSI'!$A$3:$D$7,4)</f>
        <v>-</v>
      </c>
      <c r="ER46" s="38" t="str">
        <f t="shared" si="81"/>
        <v>-</v>
      </c>
      <c r="ES46" s="38" t="str">
        <f>VLOOKUP(EO46,'TABEL KONVERSI'!$A$3:$D$7,4)</f>
        <v>-</v>
      </c>
      <c r="ET46" s="42"/>
      <c r="EU46" s="37"/>
      <c r="EV46" s="73"/>
      <c r="EW46" s="73"/>
      <c r="EX46" s="38" t="str">
        <f t="shared" si="82"/>
        <v/>
      </c>
      <c r="EY46" s="38" t="str">
        <f t="shared" si="83"/>
        <v/>
      </c>
      <c r="EZ46" s="38" t="str">
        <f>IF(EX46&lt;&gt;"",IF(AND(EX46&gt;='TABEL KONVERSI'!$B$3,'ENTRY DATA'!EX46&lt;='TABEL KONVERSI'!$C$3),1,IF(AND(EX46&gt;='TABEL KONVERSI'!$B$4,'ENTRY DATA'!EX46&lt;='TABEL KONVERSI'!$C$4),2,IF(AND(EX46&gt;='TABEL KONVERSI'!$B$5,'ENTRY DATA'!EX46&lt;='TABEL KONVERSI'!$C$5),3,IF(AND(EX46&gt;='TABEL KONVERSI'!$B$6,'ENTRY DATA'!EX46&lt;='TABEL KONVERSI'!$C$6),4,"")))),"-")</f>
        <v>-</v>
      </c>
      <c r="FA46" s="38" t="str">
        <f>IF(EY46&lt;&gt;"",IF(AND(EY46&gt;='TABEL KONVERSI'!$B$3,'ENTRY DATA'!EY46&lt;='TABEL KONVERSI'!$C$3),1,IF(AND(EY46&gt;='TABEL KONVERSI'!$B$4,'ENTRY DATA'!EY46&lt;='TABEL KONVERSI'!$C$4),2,IF(AND(EY46&gt;='TABEL KONVERSI'!$B$5,'ENTRY DATA'!EY46&lt;='TABEL KONVERSI'!$C$5),3,IF(AND(EY46&gt;='TABEL KONVERSI'!$B$6,'ENTRY DATA'!EY46&lt;='TABEL KONVERSI'!$C$6),4,"")))),"-")</f>
        <v>-</v>
      </c>
      <c r="FB46" s="38" t="str">
        <f t="shared" si="84"/>
        <v>-</v>
      </c>
      <c r="FC46" s="38" t="str">
        <f>VLOOKUP(EZ46,'TABEL KONVERSI'!$A$3:$D$7,4)</f>
        <v>-</v>
      </c>
      <c r="FD46" s="38" t="str">
        <f t="shared" si="85"/>
        <v>-</v>
      </c>
      <c r="FE46" s="38" t="str">
        <f>VLOOKUP(FA46,'TABEL KONVERSI'!$A$3:$D$7,4)</f>
        <v>-</v>
      </c>
      <c r="FF46" s="42"/>
      <c r="FG46" s="37"/>
      <c r="FH46" s="73"/>
      <c r="FI46" s="73"/>
      <c r="FJ46" s="38" t="str">
        <f t="shared" si="86"/>
        <v/>
      </c>
      <c r="FK46" s="38" t="str">
        <f t="shared" si="87"/>
        <v/>
      </c>
      <c r="FL46" s="38" t="str">
        <f>IF(FJ46&lt;&gt;"",IF(AND(FJ46&gt;='TABEL KONVERSI'!$B$3,'ENTRY DATA'!FJ46&lt;='TABEL KONVERSI'!$C$3),1,IF(AND(FJ46&gt;='TABEL KONVERSI'!$B$4,'ENTRY DATA'!FJ46&lt;='TABEL KONVERSI'!$C$4),2,IF(AND(FJ46&gt;='TABEL KONVERSI'!$B$5,'ENTRY DATA'!FJ46&lt;='TABEL KONVERSI'!$C$5),3,IF(AND(FJ46&gt;='TABEL KONVERSI'!$B$6,'ENTRY DATA'!FJ46&lt;='TABEL KONVERSI'!$C$6),4,"")))),"-")</f>
        <v>-</v>
      </c>
      <c r="FM46" s="38" t="str">
        <f>IF(FK46&lt;&gt;"",IF(AND(FK46&gt;='TABEL KONVERSI'!$B$3,'ENTRY DATA'!FK46&lt;='TABEL KONVERSI'!$C$3),1,IF(AND(FK46&gt;='TABEL KONVERSI'!$B$4,'ENTRY DATA'!FK46&lt;='TABEL KONVERSI'!$C$4),2,IF(AND(FK46&gt;='TABEL KONVERSI'!$B$5,'ENTRY DATA'!FK46&lt;='TABEL KONVERSI'!$C$5),3,IF(AND(FK46&gt;='TABEL KONVERSI'!$B$6,'ENTRY DATA'!FK46&lt;='TABEL KONVERSI'!$C$6),4,"")))),"-")</f>
        <v>-</v>
      </c>
      <c r="FN46" s="38" t="str">
        <f t="shared" si="88"/>
        <v>-</v>
      </c>
      <c r="FO46" s="38" t="str">
        <f>VLOOKUP(FL46,'TABEL KONVERSI'!$A$3:$D$7,4)</f>
        <v>-</v>
      </c>
      <c r="FP46" s="38" t="str">
        <f t="shared" si="89"/>
        <v>-</v>
      </c>
      <c r="FQ46" s="38" t="str">
        <f>VLOOKUP(FM46,'TABEL KONVERSI'!$A$3:$D$7,4)</f>
        <v>-</v>
      </c>
      <c r="FR46" s="42"/>
      <c r="FS46" s="37"/>
      <c r="FT46" s="73"/>
      <c r="FU46" s="73"/>
      <c r="FV46" s="38" t="str">
        <f t="shared" si="90"/>
        <v/>
      </c>
      <c r="FW46" s="38" t="str">
        <f t="shared" si="91"/>
        <v/>
      </c>
      <c r="FX46" s="38" t="str">
        <f>IF(FV46&lt;&gt;"",IF(AND(FV46&gt;='TABEL KONVERSI'!$B$3,'ENTRY DATA'!FV46&lt;='TABEL KONVERSI'!$C$3),1,IF(AND(FV46&gt;='TABEL KONVERSI'!$B$4,'ENTRY DATA'!FV46&lt;='TABEL KONVERSI'!$C$4),2,IF(AND(FV46&gt;='TABEL KONVERSI'!$B$5,'ENTRY DATA'!FV46&lt;='TABEL KONVERSI'!$C$5),3,IF(AND(FV46&gt;='TABEL KONVERSI'!$B$6,'ENTRY DATA'!FV46&lt;='TABEL KONVERSI'!$C$6),4,"")))),"-")</f>
        <v>-</v>
      </c>
      <c r="FY46" s="38" t="str">
        <f>IF(FW46&lt;&gt;"",IF(AND(FW46&gt;='TABEL KONVERSI'!$B$3,'ENTRY DATA'!FW46&lt;='TABEL KONVERSI'!$C$3),1,IF(AND(FW46&gt;='TABEL KONVERSI'!$B$4,'ENTRY DATA'!FW46&lt;='TABEL KONVERSI'!$C$4),2,IF(AND(FW46&gt;='TABEL KONVERSI'!$B$5,'ENTRY DATA'!FW46&lt;='TABEL KONVERSI'!$C$5),3,IF(AND(FW46&gt;='TABEL KONVERSI'!$B$6,'ENTRY DATA'!FW46&lt;='TABEL KONVERSI'!$C$6),4,"")))),"-")</f>
        <v>-</v>
      </c>
      <c r="FZ46" s="38" t="str">
        <f t="shared" si="92"/>
        <v>-</v>
      </c>
      <c r="GA46" s="38" t="str">
        <f>VLOOKUP(FX46,'TABEL KONVERSI'!$A$3:$D$7,4)</f>
        <v>-</v>
      </c>
      <c r="GB46" s="38" t="str">
        <f t="shared" si="93"/>
        <v>-</v>
      </c>
      <c r="GC46" s="38" t="str">
        <f>VLOOKUP(FY46,'TABEL KONVERSI'!$A$3:$D$7,4)</f>
        <v>-</v>
      </c>
      <c r="GD46" s="42"/>
      <c r="GE46" s="37"/>
      <c r="GF46" s="73"/>
      <c r="GG46" s="73"/>
      <c r="GH46" s="38" t="str">
        <f t="shared" si="94"/>
        <v/>
      </c>
      <c r="GI46" s="38" t="str">
        <f t="shared" si="95"/>
        <v/>
      </c>
      <c r="GJ46" s="38" t="str">
        <f>IF(GH46&lt;&gt;"",IF(AND(GH46&gt;='TABEL KONVERSI'!$B$3,'ENTRY DATA'!GH46&lt;='TABEL KONVERSI'!$C$3),1,IF(AND(GH46&gt;='TABEL KONVERSI'!$B$4,'ENTRY DATA'!GH46&lt;='TABEL KONVERSI'!$C$4),2,IF(AND(GH46&gt;='TABEL KONVERSI'!$B$5,'ENTRY DATA'!GH46&lt;='TABEL KONVERSI'!$C$5),3,IF(AND(GH46&gt;='TABEL KONVERSI'!$B$6,'ENTRY DATA'!GH46&lt;='TABEL KONVERSI'!$C$6),4,"")))),"-")</f>
        <v>-</v>
      </c>
      <c r="GK46" s="38" t="str">
        <f>IF(GI46&lt;&gt;"",IF(AND(GI46&gt;='TABEL KONVERSI'!$B$3,'ENTRY DATA'!GI46&lt;='TABEL KONVERSI'!$C$3),1,IF(AND(GI46&gt;='TABEL KONVERSI'!$B$4,'ENTRY DATA'!GI46&lt;='TABEL KONVERSI'!$C$4),2,IF(AND(GI46&gt;='TABEL KONVERSI'!$B$5,'ENTRY DATA'!GI46&lt;='TABEL KONVERSI'!$C$5),3,IF(AND(GI46&gt;='TABEL KONVERSI'!$B$6,'ENTRY DATA'!GI46&lt;='TABEL KONVERSI'!$C$6),4,"")))),"-")</f>
        <v>-</v>
      </c>
      <c r="GL46" s="38" t="str">
        <f t="shared" si="96"/>
        <v>-</v>
      </c>
      <c r="GM46" s="38" t="str">
        <f>VLOOKUP(GJ46,'TABEL KONVERSI'!$A$3:$D$7,4)</f>
        <v>-</v>
      </c>
      <c r="GN46" s="38" t="str">
        <f t="shared" si="97"/>
        <v>-</v>
      </c>
      <c r="GO46" s="38" t="str">
        <f>VLOOKUP(GK46,'TABEL KONVERSI'!$A$3:$D$7,4)</f>
        <v>-</v>
      </c>
      <c r="GP46" s="43">
        <f t="shared" si="108"/>
        <v>0</v>
      </c>
      <c r="GQ46" s="43">
        <f t="shared" si="109"/>
        <v>0</v>
      </c>
      <c r="GR46" s="43">
        <f t="shared" si="110"/>
        <v>0</v>
      </c>
      <c r="GS46" s="43">
        <f t="shared" si="111"/>
        <v>0</v>
      </c>
      <c r="GT46" s="43">
        <f t="shared" si="112"/>
        <v>0</v>
      </c>
      <c r="GU46" s="43">
        <f t="shared" si="113"/>
        <v>0</v>
      </c>
      <c r="GV46" s="43">
        <f t="shared" si="114"/>
        <v>0</v>
      </c>
      <c r="GW46" s="43">
        <f t="shared" si="115"/>
        <v>0</v>
      </c>
      <c r="GX46" s="43">
        <f t="shared" si="116"/>
        <v>0</v>
      </c>
      <c r="GY46" s="43">
        <f t="shared" si="117"/>
        <v>0</v>
      </c>
      <c r="GZ46" s="43">
        <f t="shared" si="118"/>
        <v>0</v>
      </c>
      <c r="HA46" s="43">
        <f t="shared" si="119"/>
        <v>0</v>
      </c>
      <c r="HB46" s="43">
        <f t="shared" si="120"/>
        <v>0</v>
      </c>
      <c r="HC46" s="43">
        <f t="shared" si="121"/>
        <v>0</v>
      </c>
      <c r="HD46" s="43">
        <f t="shared" si="122"/>
        <v>0</v>
      </c>
      <c r="HE46" s="43">
        <f t="shared" si="123"/>
        <v>0</v>
      </c>
      <c r="HF46" s="38">
        <f t="shared" si="98"/>
        <v>0</v>
      </c>
      <c r="HG46" s="38">
        <f t="shared" si="99"/>
        <v>0</v>
      </c>
      <c r="HH46" s="38">
        <f t="shared" si="100"/>
        <v>0</v>
      </c>
      <c r="HI46" s="39">
        <f t="shared" si="101"/>
        <v>0</v>
      </c>
      <c r="HJ46" s="44" t="str">
        <f t="shared" si="102"/>
        <v>-</v>
      </c>
      <c r="HK46" s="45" t="str">
        <f>VLOOKUP(HJ46,'TABEL KONVERSI'!$B$11:$D$15,2,0)</f>
        <v>-</v>
      </c>
      <c r="HL46" s="43">
        <f t="shared" si="124"/>
        <v>0</v>
      </c>
      <c r="HM46" s="43">
        <f t="shared" si="125"/>
        <v>0</v>
      </c>
      <c r="HN46" s="43">
        <f t="shared" si="126"/>
        <v>0</v>
      </c>
      <c r="HO46" s="43">
        <f t="shared" si="127"/>
        <v>0</v>
      </c>
      <c r="HP46" s="43">
        <f t="shared" si="128"/>
        <v>0</v>
      </c>
      <c r="HQ46" s="43">
        <f t="shared" si="129"/>
        <v>0</v>
      </c>
      <c r="HR46" s="43">
        <f t="shared" si="130"/>
        <v>0</v>
      </c>
      <c r="HS46" s="43">
        <f t="shared" si="131"/>
        <v>0</v>
      </c>
      <c r="HT46" s="43">
        <f t="shared" si="132"/>
        <v>0</v>
      </c>
      <c r="HU46" s="43">
        <f t="shared" si="133"/>
        <v>0</v>
      </c>
      <c r="HV46" s="43">
        <f t="shared" si="134"/>
        <v>0</v>
      </c>
      <c r="HW46" s="43">
        <f t="shared" si="135"/>
        <v>0</v>
      </c>
      <c r="HX46" s="43">
        <f t="shared" si="136"/>
        <v>0</v>
      </c>
      <c r="HY46" s="43">
        <f t="shared" si="137"/>
        <v>0</v>
      </c>
      <c r="HZ46" s="43">
        <f t="shared" si="138"/>
        <v>0</v>
      </c>
      <c r="IA46" s="43">
        <f t="shared" si="139"/>
        <v>0</v>
      </c>
      <c r="IB46" s="38">
        <f t="shared" si="103"/>
        <v>0</v>
      </c>
      <c r="IC46" s="38">
        <f t="shared" si="104"/>
        <v>0</v>
      </c>
      <c r="ID46" s="38">
        <f t="shared" si="105"/>
        <v>0</v>
      </c>
      <c r="IE46" s="38">
        <f t="shared" si="106"/>
        <v>0</v>
      </c>
      <c r="IF46" s="46" t="str">
        <f t="shared" si="107"/>
        <v>-</v>
      </c>
      <c r="IG46" s="45" t="str">
        <f>VLOOKUP(IF46,'TABEL KONVERSI'!$B$11:$D$15,3,0)</f>
        <v>-</v>
      </c>
      <c r="IH46" s="40" t="s">
        <v>223</v>
      </c>
      <c r="II46" s="41" t="s">
        <v>106</v>
      </c>
      <c r="IJ46" s="45" t="str">
        <f>IF(II46&lt;&gt;"",VLOOKUP(II46,'TABEL KONVERSI'!$A$19:$B$23,2,0),"")</f>
        <v>Aktif dalam mengikuti kegiatan</v>
      </c>
      <c r="IK46" s="47" t="s">
        <v>58</v>
      </c>
      <c r="IL46" s="50" t="s">
        <v>58</v>
      </c>
      <c r="IM46" s="45" t="str">
        <f>IF(IL46&lt;&gt;"",VLOOKUP(IL46,'TABEL KONVERSI'!$A$19:$B$23,2,0),"")</f>
        <v>-</v>
      </c>
      <c r="IN46" s="49" t="s">
        <v>58</v>
      </c>
      <c r="IO46" s="48" t="s">
        <v>58</v>
      </c>
      <c r="IP46" s="45" t="str">
        <f>IF(IO46&lt;&gt;"",VLOOKUP(IO46,'TABEL KONVERSI'!$A$19:$B$23,2,0),"")</f>
        <v>-</v>
      </c>
      <c r="IQ46" s="49" t="s">
        <v>58</v>
      </c>
      <c r="IR46" s="50" t="s">
        <v>58</v>
      </c>
      <c r="IS46" s="45" t="str">
        <f>IF(IR46&lt;&gt;"",VLOOKUP(IR46,'TABEL KONVERSI'!$A$19:$B$23,2,0),"")</f>
        <v>-</v>
      </c>
      <c r="IT46" s="49" t="s">
        <v>58</v>
      </c>
      <c r="IU46" s="50" t="s">
        <v>58</v>
      </c>
      <c r="IV46" s="45" t="str">
        <f>IF(IU46&lt;&gt;"",VLOOKUP(IU46,'TABEL KONVERSI'!$A$19:$B$23,2,0),"")</f>
        <v>-</v>
      </c>
      <c r="IW46" s="48" t="s">
        <v>58</v>
      </c>
      <c r="IX46" s="48" t="s">
        <v>58</v>
      </c>
      <c r="IY46" s="48" t="s">
        <v>58</v>
      </c>
      <c r="IZ46" s="47" t="s">
        <v>58</v>
      </c>
      <c r="JA46" s="45">
        <f t="shared" si="140"/>
        <v>0</v>
      </c>
      <c r="JB46" s="45">
        <f t="shared" si="33"/>
        <v>1</v>
      </c>
    </row>
    <row r="47" spans="1:262" x14ac:dyDescent="0.25">
      <c r="A47" s="33">
        <v>35</v>
      </c>
      <c r="B47" s="51"/>
      <c r="C47" s="51"/>
      <c r="D47" s="77"/>
      <c r="E47" s="52"/>
      <c r="F47" s="42"/>
      <c r="G47" s="37"/>
      <c r="H47" s="73"/>
      <c r="I47" s="73"/>
      <c r="J47" s="38" t="str">
        <f t="shared" si="34"/>
        <v/>
      </c>
      <c r="K47" s="38" t="str">
        <f t="shared" si="35"/>
        <v/>
      </c>
      <c r="L47" s="38" t="str">
        <f>IF(J47&lt;&gt;"",IF(AND(J47&gt;='TABEL KONVERSI'!$B$3,'ENTRY DATA'!J47&lt;='TABEL KONVERSI'!$C$3),1,IF(AND(J47&gt;='TABEL KONVERSI'!$B$4,'ENTRY DATA'!J47&lt;='TABEL KONVERSI'!$C$4),2,IF(AND(J47&gt;='TABEL KONVERSI'!$B$5,'ENTRY DATA'!J47&lt;='TABEL KONVERSI'!$C$5),3,IF(AND(J47&gt;='TABEL KONVERSI'!$B$6,'ENTRY DATA'!J47&lt;='TABEL KONVERSI'!$C$6),4,"")))),"-")</f>
        <v>-</v>
      </c>
      <c r="M47" s="38" t="str">
        <f>IF(K47&lt;&gt;"",IF(AND(K47&gt;='TABEL KONVERSI'!$B$3,'ENTRY DATA'!K47&lt;='TABEL KONVERSI'!$C$3),1,IF(AND(K47&gt;='TABEL KONVERSI'!$B$4,'ENTRY DATA'!K47&lt;='TABEL KONVERSI'!$C$4),2,IF(AND(K47&gt;='TABEL KONVERSI'!$B$5,'ENTRY DATA'!K47&lt;='TABEL KONVERSI'!$C$5),3,IF(AND(K47&gt;='TABEL KONVERSI'!$B$6,'ENTRY DATA'!K47&lt;='TABEL KONVERSI'!$C$6),4,"")))),"-")</f>
        <v>-</v>
      </c>
      <c r="N47" s="38" t="str">
        <f t="shared" si="36"/>
        <v>-</v>
      </c>
      <c r="O47" s="38" t="str">
        <f>VLOOKUP(L47,'TABEL KONVERSI'!$A$3:$D$7,4)</f>
        <v>-</v>
      </c>
      <c r="P47" s="38" t="str">
        <f t="shared" si="37"/>
        <v>-</v>
      </c>
      <c r="Q47" s="38" t="str">
        <f>VLOOKUP(M47,'TABEL KONVERSI'!$A$3:$D$7,4)</f>
        <v>-</v>
      </c>
      <c r="R47" s="42"/>
      <c r="S47" s="37"/>
      <c r="T47" s="73"/>
      <c r="U47" s="73"/>
      <c r="V47" s="38" t="str">
        <f t="shared" si="38"/>
        <v/>
      </c>
      <c r="W47" s="38" t="str">
        <f t="shared" si="39"/>
        <v/>
      </c>
      <c r="X47" s="38" t="str">
        <f>IF(V47&lt;&gt;"",IF(AND(V47&gt;='TABEL KONVERSI'!$B$3,'ENTRY DATA'!V47&lt;='TABEL KONVERSI'!$C$3),1,IF(AND(V47&gt;='TABEL KONVERSI'!$B$4,'ENTRY DATA'!V47&lt;='TABEL KONVERSI'!$C$4),2,IF(AND(V47&gt;='TABEL KONVERSI'!$B$5,'ENTRY DATA'!V47&lt;='TABEL KONVERSI'!$C$5),3,IF(AND(V47&gt;='TABEL KONVERSI'!$B$6,'ENTRY DATA'!V47&lt;='TABEL KONVERSI'!$C$6),4,"")))),"-")</f>
        <v>-</v>
      </c>
      <c r="Y47" s="38" t="str">
        <f>IF(W47&lt;&gt;"",IF(AND(W47&gt;='TABEL KONVERSI'!$B$3,'ENTRY DATA'!W47&lt;='TABEL KONVERSI'!$C$3),1,IF(AND(W47&gt;='TABEL KONVERSI'!$B$4,'ENTRY DATA'!W47&lt;='TABEL KONVERSI'!$C$4),2,IF(AND(W47&gt;='TABEL KONVERSI'!$B$5,'ENTRY DATA'!W47&lt;='TABEL KONVERSI'!$C$5),3,IF(AND(W47&gt;='TABEL KONVERSI'!$B$6,'ENTRY DATA'!W47&lt;='TABEL KONVERSI'!$C$6),4,"")))),"-")</f>
        <v>-</v>
      </c>
      <c r="Z47" s="38" t="str">
        <f t="shared" si="40"/>
        <v>-</v>
      </c>
      <c r="AA47" s="38" t="str">
        <f>VLOOKUP(X47,'TABEL KONVERSI'!$A$3:$D$7,4)</f>
        <v>-</v>
      </c>
      <c r="AB47" s="38" t="str">
        <f t="shared" si="41"/>
        <v>-</v>
      </c>
      <c r="AC47" s="38" t="str">
        <f>VLOOKUP(Y47,'TABEL KONVERSI'!$A$3:$D$7,4)</f>
        <v>-</v>
      </c>
      <c r="AD47" s="42"/>
      <c r="AE47" s="37"/>
      <c r="AF47" s="73"/>
      <c r="AG47" s="73"/>
      <c r="AH47" s="38" t="str">
        <f t="shared" si="42"/>
        <v/>
      </c>
      <c r="AI47" s="38" t="str">
        <f t="shared" si="43"/>
        <v/>
      </c>
      <c r="AJ47" s="38" t="str">
        <f>IF(AH47&lt;&gt;"",IF(AND(AH47&gt;='TABEL KONVERSI'!$B$3,'ENTRY DATA'!AH47&lt;='TABEL KONVERSI'!$C$3),1,IF(AND(AH47&gt;='TABEL KONVERSI'!$B$4,'ENTRY DATA'!AH47&lt;='TABEL KONVERSI'!$C$4),2,IF(AND(AH47&gt;='TABEL KONVERSI'!$B$5,'ENTRY DATA'!AH47&lt;='TABEL KONVERSI'!$C$5),3,IF(AND(AH47&gt;='TABEL KONVERSI'!$B$6,'ENTRY DATA'!AH47&lt;='TABEL KONVERSI'!$C$6),4,"")))),"-")</f>
        <v>-</v>
      </c>
      <c r="AK47" s="38" t="str">
        <f>IF(AI47&lt;&gt;"",IF(AND(AI47&gt;='TABEL KONVERSI'!$B$3,'ENTRY DATA'!AI47&lt;='TABEL KONVERSI'!$C$3),1,IF(AND(AI47&gt;='TABEL KONVERSI'!$B$4,'ENTRY DATA'!AI47&lt;='TABEL KONVERSI'!$C$4),2,IF(AND(AI47&gt;='TABEL KONVERSI'!$B$5,'ENTRY DATA'!AI47&lt;='TABEL KONVERSI'!$C$5),3,IF(AND(AI47&gt;='TABEL KONVERSI'!$B$6,'ENTRY DATA'!AI47&lt;='TABEL KONVERSI'!$C$6),4,"")))),"-")</f>
        <v>-</v>
      </c>
      <c r="AL47" s="38" t="str">
        <f t="shared" si="44"/>
        <v>-</v>
      </c>
      <c r="AM47" s="38" t="str">
        <f>VLOOKUP(AJ47,'TABEL KONVERSI'!$A$3:$D$7,4)</f>
        <v>-</v>
      </c>
      <c r="AN47" s="38" t="str">
        <f t="shared" si="45"/>
        <v>-</v>
      </c>
      <c r="AO47" s="38" t="str">
        <f>VLOOKUP(AK47,'TABEL KONVERSI'!$A$3:$D$7,4)</f>
        <v>-</v>
      </c>
      <c r="AP47" s="42"/>
      <c r="AQ47" s="37"/>
      <c r="AR47" s="73"/>
      <c r="AS47" s="73"/>
      <c r="AT47" s="38" t="str">
        <f t="shared" si="46"/>
        <v/>
      </c>
      <c r="AU47" s="38" t="str">
        <f t="shared" si="47"/>
        <v/>
      </c>
      <c r="AV47" s="38" t="str">
        <f>IF(AT47&lt;&gt;"",IF(AND(AT47&gt;='TABEL KONVERSI'!$B$3,'ENTRY DATA'!AT47&lt;='TABEL KONVERSI'!$C$3),1,IF(AND(AT47&gt;='TABEL KONVERSI'!$B$4,'ENTRY DATA'!AT47&lt;='TABEL KONVERSI'!$C$4),2,IF(AND(AT47&gt;='TABEL KONVERSI'!$B$5,'ENTRY DATA'!AT47&lt;='TABEL KONVERSI'!$C$5),3,IF(AND(AT47&gt;='TABEL KONVERSI'!$B$6,'ENTRY DATA'!AT47&lt;='TABEL KONVERSI'!$C$6),4,"")))),"-")</f>
        <v>-</v>
      </c>
      <c r="AW47" s="38" t="str">
        <f>IF(AU47&lt;&gt;"",IF(AND(AU47&gt;='TABEL KONVERSI'!$B$3,'ENTRY DATA'!AU47&lt;='TABEL KONVERSI'!$C$3),1,IF(AND(AU47&gt;='TABEL KONVERSI'!$B$4,'ENTRY DATA'!AU47&lt;='TABEL KONVERSI'!$C$4),2,IF(AND(AU47&gt;='TABEL KONVERSI'!$B$5,'ENTRY DATA'!AU47&lt;='TABEL KONVERSI'!$C$5),3,IF(AND(AU47&gt;='TABEL KONVERSI'!$B$6,'ENTRY DATA'!AU47&lt;='TABEL KONVERSI'!$C$6),4,"")))),"-")</f>
        <v>-</v>
      </c>
      <c r="AX47" s="38" t="str">
        <f t="shared" si="48"/>
        <v>-</v>
      </c>
      <c r="AY47" s="38" t="str">
        <f>VLOOKUP(AV47,'TABEL KONVERSI'!$A$3:$D$7,4)</f>
        <v>-</v>
      </c>
      <c r="AZ47" s="38" t="str">
        <f t="shared" si="49"/>
        <v>-</v>
      </c>
      <c r="BA47" s="38" t="str">
        <f>VLOOKUP(AW47,'TABEL KONVERSI'!$A$3:$D$7,4)</f>
        <v>-</v>
      </c>
      <c r="BB47" s="42"/>
      <c r="BC47" s="37"/>
      <c r="BD47" s="73"/>
      <c r="BE47" s="73"/>
      <c r="BF47" s="38" t="str">
        <f t="shared" si="50"/>
        <v/>
      </c>
      <c r="BG47" s="38" t="str">
        <f t="shared" si="51"/>
        <v/>
      </c>
      <c r="BH47" s="38" t="str">
        <f>IF(BF47&lt;&gt;"",IF(AND(BF47&gt;='TABEL KONVERSI'!$B$3,'ENTRY DATA'!BF47&lt;='TABEL KONVERSI'!$C$3),1,IF(AND(BF47&gt;='TABEL KONVERSI'!$B$4,'ENTRY DATA'!BF47&lt;='TABEL KONVERSI'!$C$4),2,IF(AND(BF47&gt;='TABEL KONVERSI'!$B$5,'ENTRY DATA'!BF47&lt;='TABEL KONVERSI'!$C$5),3,IF(AND(BF47&gt;='TABEL KONVERSI'!$B$6,'ENTRY DATA'!BF47&lt;='TABEL KONVERSI'!$C$6),4,"")))),"-")</f>
        <v>-</v>
      </c>
      <c r="BI47" s="38" t="str">
        <f>IF(BG47&lt;&gt;"",IF(AND(BG47&gt;='TABEL KONVERSI'!$B$3,'ENTRY DATA'!BG47&lt;='TABEL KONVERSI'!$C$3),1,IF(AND(BG47&gt;='TABEL KONVERSI'!$B$4,'ENTRY DATA'!BG47&lt;='TABEL KONVERSI'!$C$4),2,IF(AND(BG47&gt;='TABEL KONVERSI'!$B$5,'ENTRY DATA'!BG47&lt;='TABEL KONVERSI'!$C$5),3,IF(AND(BG47&gt;='TABEL KONVERSI'!$B$6,'ENTRY DATA'!BG47&lt;='TABEL KONVERSI'!$C$6),4,"")))),"-")</f>
        <v>-</v>
      </c>
      <c r="BJ47" s="38" t="str">
        <f t="shared" si="52"/>
        <v>-</v>
      </c>
      <c r="BK47" s="38" t="str">
        <f>VLOOKUP(BH47,'TABEL KONVERSI'!$A$3:$D$7,4)</f>
        <v>-</v>
      </c>
      <c r="BL47" s="38" t="str">
        <f t="shared" si="53"/>
        <v>-</v>
      </c>
      <c r="BM47" s="38" t="str">
        <f>VLOOKUP(BI47,'TABEL KONVERSI'!$A$3:$D$7,4)</f>
        <v>-</v>
      </c>
      <c r="BN47" s="42"/>
      <c r="BO47" s="37"/>
      <c r="BP47" s="73"/>
      <c r="BQ47" s="73"/>
      <c r="BR47" s="38" t="str">
        <f t="shared" si="54"/>
        <v/>
      </c>
      <c r="BS47" s="38" t="str">
        <f t="shared" si="55"/>
        <v/>
      </c>
      <c r="BT47" s="38" t="str">
        <f>IF(BR47&lt;&gt;"",IF(AND(BR47&gt;='TABEL KONVERSI'!$B$3,'ENTRY DATA'!BR47&lt;='TABEL KONVERSI'!$C$3),1,IF(AND(BR47&gt;='TABEL KONVERSI'!$B$4,'ENTRY DATA'!BR47&lt;='TABEL KONVERSI'!$C$4),2,IF(AND(BR47&gt;='TABEL KONVERSI'!$B$5,'ENTRY DATA'!BR47&lt;='TABEL KONVERSI'!$C$5),3,IF(AND(BR47&gt;='TABEL KONVERSI'!$B$6,'ENTRY DATA'!BR47&lt;='TABEL KONVERSI'!$C$6),4,"")))),"-")</f>
        <v>-</v>
      </c>
      <c r="BU47" s="38" t="str">
        <f>IF(BS47&lt;&gt;"",IF(AND(BS47&gt;='TABEL KONVERSI'!$B$3,'ENTRY DATA'!BS47&lt;='TABEL KONVERSI'!$C$3),1,IF(AND(BS47&gt;='TABEL KONVERSI'!$B$4,'ENTRY DATA'!BS47&lt;='TABEL KONVERSI'!$C$4),2,IF(AND(BS47&gt;='TABEL KONVERSI'!$B$5,'ENTRY DATA'!BS47&lt;='TABEL KONVERSI'!$C$5),3,IF(AND(BS47&gt;='TABEL KONVERSI'!$B$6,'ENTRY DATA'!BS47&lt;='TABEL KONVERSI'!$C$6),4,"")))),"-")</f>
        <v>-</v>
      </c>
      <c r="BV47" s="38" t="str">
        <f t="shared" si="56"/>
        <v>-</v>
      </c>
      <c r="BW47" s="38" t="str">
        <f>VLOOKUP(BT47,'TABEL KONVERSI'!$A$3:$D$7,4)</f>
        <v>-</v>
      </c>
      <c r="BX47" s="38" t="str">
        <f t="shared" si="57"/>
        <v>-</v>
      </c>
      <c r="BY47" s="38" t="str">
        <f>VLOOKUP(BU47,'TABEL KONVERSI'!$A$3:$D$7,4)</f>
        <v>-</v>
      </c>
      <c r="BZ47" s="42"/>
      <c r="CA47" s="37"/>
      <c r="CB47" s="73"/>
      <c r="CC47" s="73"/>
      <c r="CD47" s="38" t="str">
        <f t="shared" si="58"/>
        <v/>
      </c>
      <c r="CE47" s="38" t="str">
        <f t="shared" si="59"/>
        <v/>
      </c>
      <c r="CF47" s="38" t="str">
        <f>IF(CD47&lt;&gt;"",IF(AND(CD47&gt;='TABEL KONVERSI'!$B$3,'ENTRY DATA'!CD47&lt;='TABEL KONVERSI'!$C$3),1,IF(AND(CD47&gt;='TABEL KONVERSI'!$B$4,'ENTRY DATA'!CD47&lt;='TABEL KONVERSI'!$C$4),2,IF(AND(CD47&gt;='TABEL KONVERSI'!$B$5,'ENTRY DATA'!CD47&lt;='TABEL KONVERSI'!$C$5),3,IF(AND(CD47&gt;='TABEL KONVERSI'!$B$6,'ENTRY DATA'!CD47&lt;='TABEL KONVERSI'!$C$6),4,"")))),"-")</f>
        <v>-</v>
      </c>
      <c r="CG47" s="38" t="str">
        <f>IF(CE47&lt;&gt;"",IF(AND(CE47&gt;='TABEL KONVERSI'!$B$3,'ENTRY DATA'!CE47&lt;='TABEL KONVERSI'!$C$3),1,IF(AND(CE47&gt;='TABEL KONVERSI'!$B$4,'ENTRY DATA'!CE47&lt;='TABEL KONVERSI'!$C$4),2,IF(AND(CE47&gt;='TABEL KONVERSI'!$B$5,'ENTRY DATA'!CE47&lt;='TABEL KONVERSI'!$C$5),3,IF(AND(CE47&gt;='TABEL KONVERSI'!$B$6,'ENTRY DATA'!CE47&lt;='TABEL KONVERSI'!$C$6),4,"")))),"-")</f>
        <v>-</v>
      </c>
      <c r="CH47" s="38" t="str">
        <f t="shared" si="60"/>
        <v>-</v>
      </c>
      <c r="CI47" s="38" t="str">
        <f>VLOOKUP(CF47,'TABEL KONVERSI'!$A$3:$D$7,4)</f>
        <v>-</v>
      </c>
      <c r="CJ47" s="38" t="str">
        <f t="shared" si="61"/>
        <v>-</v>
      </c>
      <c r="CK47" s="38" t="str">
        <f>VLOOKUP(CG47,'TABEL KONVERSI'!$A$3:$D$7,4)</f>
        <v>-</v>
      </c>
      <c r="CL47" s="42"/>
      <c r="CM47" s="37"/>
      <c r="CN47" s="73"/>
      <c r="CO47" s="73"/>
      <c r="CP47" s="38" t="str">
        <f t="shared" si="62"/>
        <v/>
      </c>
      <c r="CQ47" s="38" t="str">
        <f t="shared" si="63"/>
        <v/>
      </c>
      <c r="CR47" s="38" t="str">
        <f>IF(CP47&lt;&gt;"",IF(AND(CP47&gt;='TABEL KONVERSI'!$B$3,'ENTRY DATA'!CP47&lt;='TABEL KONVERSI'!$C$3),1,IF(AND(CP47&gt;='TABEL KONVERSI'!$B$4,'ENTRY DATA'!CP47&lt;='TABEL KONVERSI'!$C$4),2,IF(AND(CP47&gt;='TABEL KONVERSI'!$B$5,'ENTRY DATA'!CP47&lt;='TABEL KONVERSI'!$C$5),3,IF(AND(CP47&gt;='TABEL KONVERSI'!$B$6,'ENTRY DATA'!CP47&lt;='TABEL KONVERSI'!$C$6),4,"")))),"-")</f>
        <v>-</v>
      </c>
      <c r="CS47" s="38" t="str">
        <f>IF(CQ47&lt;&gt;"",IF(AND(CQ47&gt;='TABEL KONVERSI'!$B$3,'ENTRY DATA'!CQ47&lt;='TABEL KONVERSI'!$C$3),1,IF(AND(CQ47&gt;='TABEL KONVERSI'!$B$4,'ENTRY DATA'!CQ47&lt;='TABEL KONVERSI'!$C$4),2,IF(AND(CQ47&gt;='TABEL KONVERSI'!$B$5,'ENTRY DATA'!CQ47&lt;='TABEL KONVERSI'!$C$5),3,IF(AND(CQ47&gt;='TABEL KONVERSI'!$B$6,'ENTRY DATA'!CQ47&lt;='TABEL KONVERSI'!$C$6),4,"")))),"-")</f>
        <v>-</v>
      </c>
      <c r="CT47" s="38" t="str">
        <f t="shared" si="64"/>
        <v>-</v>
      </c>
      <c r="CU47" s="38" t="str">
        <f>VLOOKUP(CR47,'TABEL KONVERSI'!$A$3:$D$7,4)</f>
        <v>-</v>
      </c>
      <c r="CV47" s="38" t="str">
        <f t="shared" si="65"/>
        <v>-</v>
      </c>
      <c r="CW47" s="38" t="str">
        <f>VLOOKUP(CS47,'TABEL KONVERSI'!$A$3:$D$7,4)</f>
        <v>-</v>
      </c>
      <c r="CX47" s="42"/>
      <c r="CY47" s="37"/>
      <c r="CZ47" s="73"/>
      <c r="DA47" s="73"/>
      <c r="DB47" s="38" t="str">
        <f t="shared" si="66"/>
        <v/>
      </c>
      <c r="DC47" s="38" t="str">
        <f t="shared" si="67"/>
        <v/>
      </c>
      <c r="DD47" s="38" t="str">
        <f>IF(DB47&lt;&gt;"",IF(AND(DB47&gt;='TABEL KONVERSI'!$B$3,'ENTRY DATA'!DB47&lt;='TABEL KONVERSI'!$C$3),1,IF(AND(DB47&gt;='TABEL KONVERSI'!$B$4,'ENTRY DATA'!DB47&lt;='TABEL KONVERSI'!$C$4),2,IF(AND(DB47&gt;='TABEL KONVERSI'!$B$5,'ENTRY DATA'!DB47&lt;='TABEL KONVERSI'!$C$5),3,IF(AND(DB47&gt;='TABEL KONVERSI'!$B$6,'ENTRY DATA'!DB47&lt;='TABEL KONVERSI'!$C$6),4,"")))),"-")</f>
        <v>-</v>
      </c>
      <c r="DE47" s="38" t="str">
        <f>IF(DC47&lt;&gt;"",IF(AND(DC47&gt;='TABEL KONVERSI'!$B$3,'ENTRY DATA'!DC47&lt;='TABEL KONVERSI'!$C$3),1,IF(AND(DC47&gt;='TABEL KONVERSI'!$B$4,'ENTRY DATA'!DC47&lt;='TABEL KONVERSI'!$C$4),2,IF(AND(DC47&gt;='TABEL KONVERSI'!$B$5,'ENTRY DATA'!DC47&lt;='TABEL KONVERSI'!$C$5),3,IF(AND(DC47&gt;='TABEL KONVERSI'!$B$6,'ENTRY DATA'!DC47&lt;='TABEL KONVERSI'!$C$6),4,"")))),"-")</f>
        <v>-</v>
      </c>
      <c r="DF47" s="38" t="str">
        <f t="shared" si="68"/>
        <v>-</v>
      </c>
      <c r="DG47" s="38" t="str">
        <f>VLOOKUP(DD47,'TABEL KONVERSI'!$A$3:$D$7,4)</f>
        <v>-</v>
      </c>
      <c r="DH47" s="38" t="str">
        <f t="shared" si="69"/>
        <v>-</v>
      </c>
      <c r="DI47" s="38" t="str">
        <f>VLOOKUP(DE47,'TABEL KONVERSI'!$A$3:$D$7,4)</f>
        <v>-</v>
      </c>
      <c r="DJ47" s="42"/>
      <c r="DK47" s="37"/>
      <c r="DL47" s="73"/>
      <c r="DM47" s="73"/>
      <c r="DN47" s="38" t="str">
        <f t="shared" si="70"/>
        <v/>
      </c>
      <c r="DO47" s="38" t="str">
        <f t="shared" si="71"/>
        <v/>
      </c>
      <c r="DP47" s="38" t="str">
        <f>IF(DN47&lt;&gt;"",IF(AND(DN47&gt;='TABEL KONVERSI'!$B$3,'ENTRY DATA'!DN47&lt;='TABEL KONVERSI'!$C$3),1,IF(AND(DN47&gt;='TABEL KONVERSI'!$B$4,'ENTRY DATA'!DN47&lt;='TABEL KONVERSI'!$C$4),2,IF(AND(DN47&gt;='TABEL KONVERSI'!$B$5,'ENTRY DATA'!DN47&lt;='TABEL KONVERSI'!$C$5),3,IF(AND(DN47&gt;='TABEL KONVERSI'!$B$6,'ENTRY DATA'!DN47&lt;='TABEL KONVERSI'!$C$6),4,"")))),"-")</f>
        <v>-</v>
      </c>
      <c r="DQ47" s="38" t="str">
        <f>IF(DO47&lt;&gt;"",IF(AND(DO47&gt;='TABEL KONVERSI'!$B$3,'ENTRY DATA'!DO47&lt;='TABEL KONVERSI'!$C$3),1,IF(AND(DO47&gt;='TABEL KONVERSI'!$B$4,'ENTRY DATA'!DO47&lt;='TABEL KONVERSI'!$C$4),2,IF(AND(DO47&gt;='TABEL KONVERSI'!$B$5,'ENTRY DATA'!DO47&lt;='TABEL KONVERSI'!$C$5),3,IF(AND(DO47&gt;='TABEL KONVERSI'!$B$6,'ENTRY DATA'!DO47&lt;='TABEL KONVERSI'!$C$6),4,"")))),"-")</f>
        <v>-</v>
      </c>
      <c r="DR47" s="38" t="str">
        <f t="shared" si="72"/>
        <v>-</v>
      </c>
      <c r="DS47" s="38" t="str">
        <f>VLOOKUP(DP47,'TABEL KONVERSI'!$A$3:$D$7,4)</f>
        <v>-</v>
      </c>
      <c r="DT47" s="38" t="str">
        <f t="shared" si="73"/>
        <v>-</v>
      </c>
      <c r="DU47" s="38" t="str">
        <f>VLOOKUP(DQ47,'TABEL KONVERSI'!$A$3:$D$7,4)</f>
        <v>-</v>
      </c>
      <c r="DV47" s="42"/>
      <c r="DW47" s="37"/>
      <c r="DX47" s="73"/>
      <c r="DY47" s="73"/>
      <c r="DZ47" s="38" t="str">
        <f t="shared" si="74"/>
        <v/>
      </c>
      <c r="EA47" s="38" t="str">
        <f t="shared" si="75"/>
        <v/>
      </c>
      <c r="EB47" s="38" t="str">
        <f>IF(DZ47&lt;&gt;"",IF(AND(DZ47&gt;='TABEL KONVERSI'!$B$3,'ENTRY DATA'!DZ47&lt;='TABEL KONVERSI'!$C$3),1,IF(AND(DZ47&gt;='TABEL KONVERSI'!$B$4,'ENTRY DATA'!DZ47&lt;='TABEL KONVERSI'!$C$4),2,IF(AND(DZ47&gt;='TABEL KONVERSI'!$B$5,'ENTRY DATA'!DZ47&lt;='TABEL KONVERSI'!$C$5),3,IF(AND(DZ47&gt;='TABEL KONVERSI'!$B$6,'ENTRY DATA'!DZ47&lt;='TABEL KONVERSI'!$C$6),4,"")))),"-")</f>
        <v>-</v>
      </c>
      <c r="EC47" s="38" t="str">
        <f>IF(EA47&lt;&gt;"",IF(AND(EA47&gt;='TABEL KONVERSI'!$B$3,'ENTRY DATA'!EA47&lt;='TABEL KONVERSI'!$C$3),1,IF(AND(EA47&gt;='TABEL KONVERSI'!$B$4,'ENTRY DATA'!EA47&lt;='TABEL KONVERSI'!$C$4),2,IF(AND(EA47&gt;='TABEL KONVERSI'!$B$5,'ENTRY DATA'!EA47&lt;='TABEL KONVERSI'!$C$5),3,IF(AND(EA47&gt;='TABEL KONVERSI'!$B$6,'ENTRY DATA'!EA47&lt;='TABEL KONVERSI'!$C$6),4,"")))),"-")</f>
        <v>-</v>
      </c>
      <c r="ED47" s="38" t="str">
        <f t="shared" si="76"/>
        <v>-</v>
      </c>
      <c r="EE47" s="38" t="str">
        <f>VLOOKUP(EB47,'TABEL KONVERSI'!$A$3:$D$7,4)</f>
        <v>-</v>
      </c>
      <c r="EF47" s="38" t="str">
        <f t="shared" si="77"/>
        <v>-</v>
      </c>
      <c r="EG47" s="38" t="str">
        <f>VLOOKUP(EC47,'TABEL KONVERSI'!$A$3:$D$7,4)</f>
        <v>-</v>
      </c>
      <c r="EH47" s="42"/>
      <c r="EI47" s="37"/>
      <c r="EJ47" s="73"/>
      <c r="EK47" s="73"/>
      <c r="EL47" s="38" t="str">
        <f t="shared" si="78"/>
        <v/>
      </c>
      <c r="EM47" s="38" t="str">
        <f t="shared" si="79"/>
        <v/>
      </c>
      <c r="EN47" s="38" t="str">
        <f>IF(EL47&lt;&gt;"",IF(AND(EL47&gt;='TABEL KONVERSI'!$B$3,'ENTRY DATA'!EL47&lt;='TABEL KONVERSI'!$C$3),1,IF(AND(EL47&gt;='TABEL KONVERSI'!$B$4,'ENTRY DATA'!EL47&lt;='TABEL KONVERSI'!$C$4),2,IF(AND(EL47&gt;='TABEL KONVERSI'!$B$5,'ENTRY DATA'!EL47&lt;='TABEL KONVERSI'!$C$5),3,IF(AND(EL47&gt;='TABEL KONVERSI'!$B$6,'ENTRY DATA'!EL47&lt;='TABEL KONVERSI'!$C$6),4,"")))),"-")</f>
        <v>-</v>
      </c>
      <c r="EO47" s="38" t="str">
        <f>IF(EM47&lt;&gt;"",IF(AND(EM47&gt;='TABEL KONVERSI'!$B$3,'ENTRY DATA'!EM47&lt;='TABEL KONVERSI'!$C$3),1,IF(AND(EM47&gt;='TABEL KONVERSI'!$B$4,'ENTRY DATA'!EM47&lt;='TABEL KONVERSI'!$C$4),2,IF(AND(EM47&gt;='TABEL KONVERSI'!$B$5,'ENTRY DATA'!EM47&lt;='TABEL KONVERSI'!$C$5),3,IF(AND(EM47&gt;='TABEL KONVERSI'!$B$6,'ENTRY DATA'!EM47&lt;='TABEL KONVERSI'!$C$6),4,"")))),"-")</f>
        <v>-</v>
      </c>
      <c r="EP47" s="38" t="str">
        <f t="shared" si="80"/>
        <v>-</v>
      </c>
      <c r="EQ47" s="38" t="str">
        <f>VLOOKUP(EN47,'TABEL KONVERSI'!$A$3:$D$7,4)</f>
        <v>-</v>
      </c>
      <c r="ER47" s="38" t="str">
        <f t="shared" si="81"/>
        <v>-</v>
      </c>
      <c r="ES47" s="38" t="str">
        <f>VLOOKUP(EO47,'TABEL KONVERSI'!$A$3:$D$7,4)</f>
        <v>-</v>
      </c>
      <c r="ET47" s="42"/>
      <c r="EU47" s="37"/>
      <c r="EV47" s="73"/>
      <c r="EW47" s="73"/>
      <c r="EX47" s="38" t="str">
        <f t="shared" si="82"/>
        <v/>
      </c>
      <c r="EY47" s="38" t="str">
        <f t="shared" si="83"/>
        <v/>
      </c>
      <c r="EZ47" s="38" t="str">
        <f>IF(EX47&lt;&gt;"",IF(AND(EX47&gt;='TABEL KONVERSI'!$B$3,'ENTRY DATA'!EX47&lt;='TABEL KONVERSI'!$C$3),1,IF(AND(EX47&gt;='TABEL KONVERSI'!$B$4,'ENTRY DATA'!EX47&lt;='TABEL KONVERSI'!$C$4),2,IF(AND(EX47&gt;='TABEL KONVERSI'!$B$5,'ENTRY DATA'!EX47&lt;='TABEL KONVERSI'!$C$5),3,IF(AND(EX47&gt;='TABEL KONVERSI'!$B$6,'ENTRY DATA'!EX47&lt;='TABEL KONVERSI'!$C$6),4,"")))),"-")</f>
        <v>-</v>
      </c>
      <c r="FA47" s="38" t="str">
        <f>IF(EY47&lt;&gt;"",IF(AND(EY47&gt;='TABEL KONVERSI'!$B$3,'ENTRY DATA'!EY47&lt;='TABEL KONVERSI'!$C$3),1,IF(AND(EY47&gt;='TABEL KONVERSI'!$B$4,'ENTRY DATA'!EY47&lt;='TABEL KONVERSI'!$C$4),2,IF(AND(EY47&gt;='TABEL KONVERSI'!$B$5,'ENTRY DATA'!EY47&lt;='TABEL KONVERSI'!$C$5),3,IF(AND(EY47&gt;='TABEL KONVERSI'!$B$6,'ENTRY DATA'!EY47&lt;='TABEL KONVERSI'!$C$6),4,"")))),"-")</f>
        <v>-</v>
      </c>
      <c r="FB47" s="38" t="str">
        <f t="shared" si="84"/>
        <v>-</v>
      </c>
      <c r="FC47" s="38" t="str">
        <f>VLOOKUP(EZ47,'TABEL KONVERSI'!$A$3:$D$7,4)</f>
        <v>-</v>
      </c>
      <c r="FD47" s="38" t="str">
        <f t="shared" si="85"/>
        <v>-</v>
      </c>
      <c r="FE47" s="38" t="str">
        <f>VLOOKUP(FA47,'TABEL KONVERSI'!$A$3:$D$7,4)</f>
        <v>-</v>
      </c>
      <c r="FF47" s="42"/>
      <c r="FG47" s="37"/>
      <c r="FH47" s="73"/>
      <c r="FI47" s="73"/>
      <c r="FJ47" s="38" t="str">
        <f t="shared" si="86"/>
        <v/>
      </c>
      <c r="FK47" s="38" t="str">
        <f t="shared" si="87"/>
        <v/>
      </c>
      <c r="FL47" s="38" t="str">
        <f>IF(FJ47&lt;&gt;"",IF(AND(FJ47&gt;='TABEL KONVERSI'!$B$3,'ENTRY DATA'!FJ47&lt;='TABEL KONVERSI'!$C$3),1,IF(AND(FJ47&gt;='TABEL KONVERSI'!$B$4,'ENTRY DATA'!FJ47&lt;='TABEL KONVERSI'!$C$4),2,IF(AND(FJ47&gt;='TABEL KONVERSI'!$B$5,'ENTRY DATA'!FJ47&lt;='TABEL KONVERSI'!$C$5),3,IF(AND(FJ47&gt;='TABEL KONVERSI'!$B$6,'ENTRY DATA'!FJ47&lt;='TABEL KONVERSI'!$C$6),4,"")))),"-")</f>
        <v>-</v>
      </c>
      <c r="FM47" s="38" t="str">
        <f>IF(FK47&lt;&gt;"",IF(AND(FK47&gt;='TABEL KONVERSI'!$B$3,'ENTRY DATA'!FK47&lt;='TABEL KONVERSI'!$C$3),1,IF(AND(FK47&gt;='TABEL KONVERSI'!$B$4,'ENTRY DATA'!FK47&lt;='TABEL KONVERSI'!$C$4),2,IF(AND(FK47&gt;='TABEL KONVERSI'!$B$5,'ENTRY DATA'!FK47&lt;='TABEL KONVERSI'!$C$5),3,IF(AND(FK47&gt;='TABEL KONVERSI'!$B$6,'ENTRY DATA'!FK47&lt;='TABEL KONVERSI'!$C$6),4,"")))),"-")</f>
        <v>-</v>
      </c>
      <c r="FN47" s="38" t="str">
        <f t="shared" si="88"/>
        <v>-</v>
      </c>
      <c r="FO47" s="38" t="str">
        <f>VLOOKUP(FL47,'TABEL KONVERSI'!$A$3:$D$7,4)</f>
        <v>-</v>
      </c>
      <c r="FP47" s="38" t="str">
        <f t="shared" si="89"/>
        <v>-</v>
      </c>
      <c r="FQ47" s="38" t="str">
        <f>VLOOKUP(FM47,'TABEL KONVERSI'!$A$3:$D$7,4)</f>
        <v>-</v>
      </c>
      <c r="FR47" s="42"/>
      <c r="FS47" s="37"/>
      <c r="FT47" s="73"/>
      <c r="FU47" s="73"/>
      <c r="FV47" s="38" t="str">
        <f t="shared" si="90"/>
        <v/>
      </c>
      <c r="FW47" s="38" t="str">
        <f t="shared" si="91"/>
        <v/>
      </c>
      <c r="FX47" s="38" t="str">
        <f>IF(FV47&lt;&gt;"",IF(AND(FV47&gt;='TABEL KONVERSI'!$B$3,'ENTRY DATA'!FV47&lt;='TABEL KONVERSI'!$C$3),1,IF(AND(FV47&gt;='TABEL KONVERSI'!$B$4,'ENTRY DATA'!FV47&lt;='TABEL KONVERSI'!$C$4),2,IF(AND(FV47&gt;='TABEL KONVERSI'!$B$5,'ENTRY DATA'!FV47&lt;='TABEL KONVERSI'!$C$5),3,IF(AND(FV47&gt;='TABEL KONVERSI'!$B$6,'ENTRY DATA'!FV47&lt;='TABEL KONVERSI'!$C$6),4,"")))),"-")</f>
        <v>-</v>
      </c>
      <c r="FY47" s="38" t="str">
        <f>IF(FW47&lt;&gt;"",IF(AND(FW47&gt;='TABEL KONVERSI'!$B$3,'ENTRY DATA'!FW47&lt;='TABEL KONVERSI'!$C$3),1,IF(AND(FW47&gt;='TABEL KONVERSI'!$B$4,'ENTRY DATA'!FW47&lt;='TABEL KONVERSI'!$C$4),2,IF(AND(FW47&gt;='TABEL KONVERSI'!$B$5,'ENTRY DATA'!FW47&lt;='TABEL KONVERSI'!$C$5),3,IF(AND(FW47&gt;='TABEL KONVERSI'!$B$6,'ENTRY DATA'!FW47&lt;='TABEL KONVERSI'!$C$6),4,"")))),"-")</f>
        <v>-</v>
      </c>
      <c r="FZ47" s="38" t="str">
        <f t="shared" si="92"/>
        <v>-</v>
      </c>
      <c r="GA47" s="38" t="str">
        <f>VLOOKUP(FX47,'TABEL KONVERSI'!$A$3:$D$7,4)</f>
        <v>-</v>
      </c>
      <c r="GB47" s="38" t="str">
        <f t="shared" si="93"/>
        <v>-</v>
      </c>
      <c r="GC47" s="38" t="str">
        <f>VLOOKUP(FY47,'TABEL KONVERSI'!$A$3:$D$7,4)</f>
        <v>-</v>
      </c>
      <c r="GD47" s="42"/>
      <c r="GE47" s="37"/>
      <c r="GF47" s="73"/>
      <c r="GG47" s="73"/>
      <c r="GH47" s="38" t="str">
        <f t="shared" si="94"/>
        <v/>
      </c>
      <c r="GI47" s="38" t="str">
        <f t="shared" si="95"/>
        <v/>
      </c>
      <c r="GJ47" s="38" t="str">
        <f>IF(GH47&lt;&gt;"",IF(AND(GH47&gt;='TABEL KONVERSI'!$B$3,'ENTRY DATA'!GH47&lt;='TABEL KONVERSI'!$C$3),1,IF(AND(GH47&gt;='TABEL KONVERSI'!$B$4,'ENTRY DATA'!GH47&lt;='TABEL KONVERSI'!$C$4),2,IF(AND(GH47&gt;='TABEL KONVERSI'!$B$5,'ENTRY DATA'!GH47&lt;='TABEL KONVERSI'!$C$5),3,IF(AND(GH47&gt;='TABEL KONVERSI'!$B$6,'ENTRY DATA'!GH47&lt;='TABEL KONVERSI'!$C$6),4,"")))),"-")</f>
        <v>-</v>
      </c>
      <c r="GK47" s="38" t="str">
        <f>IF(GI47&lt;&gt;"",IF(AND(GI47&gt;='TABEL KONVERSI'!$B$3,'ENTRY DATA'!GI47&lt;='TABEL KONVERSI'!$C$3),1,IF(AND(GI47&gt;='TABEL KONVERSI'!$B$4,'ENTRY DATA'!GI47&lt;='TABEL KONVERSI'!$C$4),2,IF(AND(GI47&gt;='TABEL KONVERSI'!$B$5,'ENTRY DATA'!GI47&lt;='TABEL KONVERSI'!$C$5),3,IF(AND(GI47&gt;='TABEL KONVERSI'!$B$6,'ENTRY DATA'!GI47&lt;='TABEL KONVERSI'!$C$6),4,"")))),"-")</f>
        <v>-</v>
      </c>
      <c r="GL47" s="38" t="str">
        <f t="shared" si="96"/>
        <v>-</v>
      </c>
      <c r="GM47" s="38" t="str">
        <f>VLOOKUP(GJ47,'TABEL KONVERSI'!$A$3:$D$7,4)</f>
        <v>-</v>
      </c>
      <c r="GN47" s="38" t="str">
        <f t="shared" si="97"/>
        <v>-</v>
      </c>
      <c r="GO47" s="38" t="str">
        <f>VLOOKUP(GK47,'TABEL KONVERSI'!$A$3:$D$7,4)</f>
        <v>-</v>
      </c>
      <c r="GP47" s="43">
        <f t="shared" si="108"/>
        <v>0</v>
      </c>
      <c r="GQ47" s="43">
        <f t="shared" si="109"/>
        <v>0</v>
      </c>
      <c r="GR47" s="43">
        <f t="shared" si="110"/>
        <v>0</v>
      </c>
      <c r="GS47" s="43">
        <f t="shared" si="111"/>
        <v>0</v>
      </c>
      <c r="GT47" s="43">
        <f t="shared" si="112"/>
        <v>0</v>
      </c>
      <c r="GU47" s="43">
        <f t="shared" si="113"/>
        <v>0</v>
      </c>
      <c r="GV47" s="43">
        <f t="shared" si="114"/>
        <v>0</v>
      </c>
      <c r="GW47" s="43">
        <f t="shared" si="115"/>
        <v>0</v>
      </c>
      <c r="GX47" s="43">
        <f t="shared" si="116"/>
        <v>0</v>
      </c>
      <c r="GY47" s="43">
        <f t="shared" si="117"/>
        <v>0</v>
      </c>
      <c r="GZ47" s="43">
        <f t="shared" si="118"/>
        <v>0</v>
      </c>
      <c r="HA47" s="43">
        <f t="shared" si="119"/>
        <v>0</v>
      </c>
      <c r="HB47" s="43">
        <f t="shared" si="120"/>
        <v>0</v>
      </c>
      <c r="HC47" s="43">
        <f t="shared" si="121"/>
        <v>0</v>
      </c>
      <c r="HD47" s="43">
        <f t="shared" si="122"/>
        <v>0</v>
      </c>
      <c r="HE47" s="43">
        <f t="shared" si="123"/>
        <v>0</v>
      </c>
      <c r="HF47" s="38">
        <f t="shared" si="98"/>
        <v>0</v>
      </c>
      <c r="HG47" s="38">
        <f t="shared" si="99"/>
        <v>0</v>
      </c>
      <c r="HH47" s="38">
        <f t="shared" si="100"/>
        <v>0</v>
      </c>
      <c r="HI47" s="39">
        <f t="shared" si="101"/>
        <v>0</v>
      </c>
      <c r="HJ47" s="44" t="str">
        <f t="shared" si="102"/>
        <v>-</v>
      </c>
      <c r="HK47" s="45" t="str">
        <f>VLOOKUP(HJ47,'TABEL KONVERSI'!$B$11:$D$15,2,0)</f>
        <v>-</v>
      </c>
      <c r="HL47" s="43">
        <f t="shared" si="124"/>
        <v>0</v>
      </c>
      <c r="HM47" s="43">
        <f t="shared" si="125"/>
        <v>0</v>
      </c>
      <c r="HN47" s="43">
        <f t="shared" si="126"/>
        <v>0</v>
      </c>
      <c r="HO47" s="43">
        <f t="shared" si="127"/>
        <v>0</v>
      </c>
      <c r="HP47" s="43">
        <f t="shared" si="128"/>
        <v>0</v>
      </c>
      <c r="HQ47" s="43">
        <f t="shared" si="129"/>
        <v>0</v>
      </c>
      <c r="HR47" s="43">
        <f t="shared" si="130"/>
        <v>0</v>
      </c>
      <c r="HS47" s="43">
        <f t="shared" si="131"/>
        <v>0</v>
      </c>
      <c r="HT47" s="43">
        <f t="shared" si="132"/>
        <v>0</v>
      </c>
      <c r="HU47" s="43">
        <f t="shared" si="133"/>
        <v>0</v>
      </c>
      <c r="HV47" s="43">
        <f t="shared" si="134"/>
        <v>0</v>
      </c>
      <c r="HW47" s="43">
        <f t="shared" si="135"/>
        <v>0</v>
      </c>
      <c r="HX47" s="43">
        <f t="shared" si="136"/>
        <v>0</v>
      </c>
      <c r="HY47" s="43">
        <f t="shared" si="137"/>
        <v>0</v>
      </c>
      <c r="HZ47" s="43">
        <f t="shared" si="138"/>
        <v>0</v>
      </c>
      <c r="IA47" s="43">
        <f t="shared" si="139"/>
        <v>0</v>
      </c>
      <c r="IB47" s="38">
        <f t="shared" si="103"/>
        <v>0</v>
      </c>
      <c r="IC47" s="38">
        <f t="shared" si="104"/>
        <v>0</v>
      </c>
      <c r="ID47" s="38">
        <f t="shared" si="105"/>
        <v>0</v>
      </c>
      <c r="IE47" s="38">
        <f t="shared" si="106"/>
        <v>0</v>
      </c>
      <c r="IF47" s="46" t="str">
        <f t="shared" si="107"/>
        <v>-</v>
      </c>
      <c r="IG47" s="45" t="str">
        <f>VLOOKUP(IF47,'TABEL KONVERSI'!$B$11:$D$15,3,0)</f>
        <v>-</v>
      </c>
      <c r="IH47" s="40" t="s">
        <v>223</v>
      </c>
      <c r="II47" s="41" t="s">
        <v>106</v>
      </c>
      <c r="IJ47" s="45" t="str">
        <f>IF(II47&lt;&gt;"",VLOOKUP(II47,'TABEL KONVERSI'!$A$19:$B$23,2,0),"")</f>
        <v>Aktif dalam mengikuti kegiatan</v>
      </c>
      <c r="IK47" s="47" t="s">
        <v>58</v>
      </c>
      <c r="IL47" s="50" t="s">
        <v>58</v>
      </c>
      <c r="IM47" s="45" t="str">
        <f>IF(IL47&lt;&gt;"",VLOOKUP(IL47,'TABEL KONVERSI'!$A$19:$B$23,2,0),"")</f>
        <v>-</v>
      </c>
      <c r="IN47" s="49" t="s">
        <v>58</v>
      </c>
      <c r="IO47" s="48" t="s">
        <v>58</v>
      </c>
      <c r="IP47" s="45" t="str">
        <f>IF(IO47&lt;&gt;"",VLOOKUP(IO47,'TABEL KONVERSI'!$A$19:$B$23,2,0),"")</f>
        <v>-</v>
      </c>
      <c r="IQ47" s="49" t="s">
        <v>58</v>
      </c>
      <c r="IR47" s="50" t="s">
        <v>58</v>
      </c>
      <c r="IS47" s="45" t="str">
        <f>IF(IR47&lt;&gt;"",VLOOKUP(IR47,'TABEL KONVERSI'!$A$19:$B$23,2,0),"")</f>
        <v>-</v>
      </c>
      <c r="IT47" s="49" t="s">
        <v>58</v>
      </c>
      <c r="IU47" s="50" t="s">
        <v>58</v>
      </c>
      <c r="IV47" s="45" t="str">
        <f>IF(IU47&lt;&gt;"",VLOOKUP(IU47,'TABEL KONVERSI'!$A$19:$B$23,2,0),"")</f>
        <v>-</v>
      </c>
      <c r="IW47" s="48" t="s">
        <v>58</v>
      </c>
      <c r="IX47" s="48" t="s">
        <v>58</v>
      </c>
      <c r="IY47" s="48" t="s">
        <v>58</v>
      </c>
      <c r="IZ47" s="47" t="s">
        <v>58</v>
      </c>
      <c r="JA47" s="45">
        <f t="shared" si="140"/>
        <v>0</v>
      </c>
      <c r="JB47" s="45">
        <f t="shared" si="33"/>
        <v>1</v>
      </c>
    </row>
    <row r="48" spans="1:262" x14ac:dyDescent="0.25">
      <c r="A48" s="33">
        <v>36</v>
      </c>
      <c r="B48" s="53"/>
      <c r="C48" s="53"/>
      <c r="D48" s="78"/>
      <c r="E48" s="55"/>
      <c r="F48" s="42"/>
      <c r="G48" s="37"/>
      <c r="H48" s="73"/>
      <c r="I48" s="73"/>
      <c r="J48" s="38" t="str">
        <f t="shared" si="34"/>
        <v/>
      </c>
      <c r="K48" s="38" t="str">
        <f t="shared" si="35"/>
        <v/>
      </c>
      <c r="L48" s="38" t="str">
        <f>IF(J48&lt;&gt;"",IF(AND(J48&gt;='TABEL KONVERSI'!$B$3,'ENTRY DATA'!J48&lt;='TABEL KONVERSI'!$C$3),1,IF(AND(J48&gt;='TABEL KONVERSI'!$B$4,'ENTRY DATA'!J48&lt;='TABEL KONVERSI'!$C$4),2,IF(AND(J48&gt;='TABEL KONVERSI'!$B$5,'ENTRY DATA'!J48&lt;='TABEL KONVERSI'!$C$5),3,IF(AND(J48&gt;='TABEL KONVERSI'!$B$6,'ENTRY DATA'!J48&lt;='TABEL KONVERSI'!$C$6),4,"")))),"-")</f>
        <v>-</v>
      </c>
      <c r="M48" s="38" t="str">
        <f>IF(K48&lt;&gt;"",IF(AND(K48&gt;='TABEL KONVERSI'!$B$3,'ENTRY DATA'!K48&lt;='TABEL KONVERSI'!$C$3),1,IF(AND(K48&gt;='TABEL KONVERSI'!$B$4,'ENTRY DATA'!K48&lt;='TABEL KONVERSI'!$C$4),2,IF(AND(K48&gt;='TABEL KONVERSI'!$B$5,'ENTRY DATA'!K48&lt;='TABEL KONVERSI'!$C$5),3,IF(AND(K48&gt;='TABEL KONVERSI'!$B$6,'ENTRY DATA'!K48&lt;='TABEL KONVERSI'!$C$6),4,"")))),"-")</f>
        <v>-</v>
      </c>
      <c r="N48" s="38" t="str">
        <f t="shared" si="36"/>
        <v>-</v>
      </c>
      <c r="O48" s="38" t="str">
        <f>VLOOKUP(L48,'TABEL KONVERSI'!$A$3:$D$7,4)</f>
        <v>-</v>
      </c>
      <c r="P48" s="38" t="str">
        <f t="shared" si="37"/>
        <v>-</v>
      </c>
      <c r="Q48" s="38" t="str">
        <f>VLOOKUP(M48,'TABEL KONVERSI'!$A$3:$D$7,4)</f>
        <v>-</v>
      </c>
      <c r="R48" s="42"/>
      <c r="S48" s="37"/>
      <c r="T48" s="73"/>
      <c r="U48" s="73"/>
      <c r="V48" s="38" t="str">
        <f t="shared" si="38"/>
        <v/>
      </c>
      <c r="W48" s="38" t="str">
        <f t="shared" si="39"/>
        <v/>
      </c>
      <c r="X48" s="38" t="str">
        <f>IF(V48&lt;&gt;"",IF(AND(V48&gt;='TABEL KONVERSI'!$B$3,'ENTRY DATA'!V48&lt;='TABEL KONVERSI'!$C$3),1,IF(AND(V48&gt;='TABEL KONVERSI'!$B$4,'ENTRY DATA'!V48&lt;='TABEL KONVERSI'!$C$4),2,IF(AND(V48&gt;='TABEL KONVERSI'!$B$5,'ENTRY DATA'!V48&lt;='TABEL KONVERSI'!$C$5),3,IF(AND(V48&gt;='TABEL KONVERSI'!$B$6,'ENTRY DATA'!V48&lt;='TABEL KONVERSI'!$C$6),4,"")))),"-")</f>
        <v>-</v>
      </c>
      <c r="Y48" s="38" t="str">
        <f>IF(W48&lt;&gt;"",IF(AND(W48&gt;='TABEL KONVERSI'!$B$3,'ENTRY DATA'!W48&lt;='TABEL KONVERSI'!$C$3),1,IF(AND(W48&gt;='TABEL KONVERSI'!$B$4,'ENTRY DATA'!W48&lt;='TABEL KONVERSI'!$C$4),2,IF(AND(W48&gt;='TABEL KONVERSI'!$B$5,'ENTRY DATA'!W48&lt;='TABEL KONVERSI'!$C$5),3,IF(AND(W48&gt;='TABEL KONVERSI'!$B$6,'ENTRY DATA'!W48&lt;='TABEL KONVERSI'!$C$6),4,"")))),"-")</f>
        <v>-</v>
      </c>
      <c r="Z48" s="38" t="str">
        <f t="shared" si="40"/>
        <v>-</v>
      </c>
      <c r="AA48" s="38" t="str">
        <f>VLOOKUP(X48,'TABEL KONVERSI'!$A$3:$D$7,4)</f>
        <v>-</v>
      </c>
      <c r="AB48" s="38" t="str">
        <f t="shared" si="41"/>
        <v>-</v>
      </c>
      <c r="AC48" s="38" t="str">
        <f>VLOOKUP(Y48,'TABEL KONVERSI'!$A$3:$D$7,4)</f>
        <v>-</v>
      </c>
      <c r="AD48" s="42"/>
      <c r="AE48" s="37"/>
      <c r="AF48" s="73"/>
      <c r="AG48" s="73"/>
      <c r="AH48" s="38" t="str">
        <f t="shared" si="42"/>
        <v/>
      </c>
      <c r="AI48" s="38" t="str">
        <f t="shared" si="43"/>
        <v/>
      </c>
      <c r="AJ48" s="38" t="str">
        <f>IF(AH48&lt;&gt;"",IF(AND(AH48&gt;='TABEL KONVERSI'!$B$3,'ENTRY DATA'!AH48&lt;='TABEL KONVERSI'!$C$3),1,IF(AND(AH48&gt;='TABEL KONVERSI'!$B$4,'ENTRY DATA'!AH48&lt;='TABEL KONVERSI'!$C$4),2,IF(AND(AH48&gt;='TABEL KONVERSI'!$B$5,'ENTRY DATA'!AH48&lt;='TABEL KONVERSI'!$C$5),3,IF(AND(AH48&gt;='TABEL KONVERSI'!$B$6,'ENTRY DATA'!AH48&lt;='TABEL KONVERSI'!$C$6),4,"")))),"-")</f>
        <v>-</v>
      </c>
      <c r="AK48" s="38" t="str">
        <f>IF(AI48&lt;&gt;"",IF(AND(AI48&gt;='TABEL KONVERSI'!$B$3,'ENTRY DATA'!AI48&lt;='TABEL KONVERSI'!$C$3),1,IF(AND(AI48&gt;='TABEL KONVERSI'!$B$4,'ENTRY DATA'!AI48&lt;='TABEL KONVERSI'!$C$4),2,IF(AND(AI48&gt;='TABEL KONVERSI'!$B$5,'ENTRY DATA'!AI48&lt;='TABEL KONVERSI'!$C$5),3,IF(AND(AI48&gt;='TABEL KONVERSI'!$B$6,'ENTRY DATA'!AI48&lt;='TABEL KONVERSI'!$C$6),4,"")))),"-")</f>
        <v>-</v>
      </c>
      <c r="AL48" s="38" t="str">
        <f t="shared" si="44"/>
        <v>-</v>
      </c>
      <c r="AM48" s="38" t="str">
        <f>VLOOKUP(AJ48,'TABEL KONVERSI'!$A$3:$D$7,4)</f>
        <v>-</v>
      </c>
      <c r="AN48" s="38" t="str">
        <f t="shared" si="45"/>
        <v>-</v>
      </c>
      <c r="AO48" s="38" t="str">
        <f>VLOOKUP(AK48,'TABEL KONVERSI'!$A$3:$D$7,4)</f>
        <v>-</v>
      </c>
      <c r="AP48" s="42"/>
      <c r="AQ48" s="37"/>
      <c r="AR48" s="73"/>
      <c r="AS48" s="73"/>
      <c r="AT48" s="38" t="str">
        <f t="shared" si="46"/>
        <v/>
      </c>
      <c r="AU48" s="38" t="str">
        <f t="shared" si="47"/>
        <v/>
      </c>
      <c r="AV48" s="38" t="str">
        <f>IF(AT48&lt;&gt;"",IF(AND(AT48&gt;='TABEL KONVERSI'!$B$3,'ENTRY DATA'!AT48&lt;='TABEL KONVERSI'!$C$3),1,IF(AND(AT48&gt;='TABEL KONVERSI'!$B$4,'ENTRY DATA'!AT48&lt;='TABEL KONVERSI'!$C$4),2,IF(AND(AT48&gt;='TABEL KONVERSI'!$B$5,'ENTRY DATA'!AT48&lt;='TABEL KONVERSI'!$C$5),3,IF(AND(AT48&gt;='TABEL KONVERSI'!$B$6,'ENTRY DATA'!AT48&lt;='TABEL KONVERSI'!$C$6),4,"")))),"-")</f>
        <v>-</v>
      </c>
      <c r="AW48" s="38" t="str">
        <f>IF(AU48&lt;&gt;"",IF(AND(AU48&gt;='TABEL KONVERSI'!$B$3,'ENTRY DATA'!AU48&lt;='TABEL KONVERSI'!$C$3),1,IF(AND(AU48&gt;='TABEL KONVERSI'!$B$4,'ENTRY DATA'!AU48&lt;='TABEL KONVERSI'!$C$4),2,IF(AND(AU48&gt;='TABEL KONVERSI'!$B$5,'ENTRY DATA'!AU48&lt;='TABEL KONVERSI'!$C$5),3,IF(AND(AU48&gt;='TABEL KONVERSI'!$B$6,'ENTRY DATA'!AU48&lt;='TABEL KONVERSI'!$C$6),4,"")))),"-")</f>
        <v>-</v>
      </c>
      <c r="AX48" s="38" t="str">
        <f t="shared" si="48"/>
        <v>-</v>
      </c>
      <c r="AY48" s="38" t="str">
        <f>VLOOKUP(AV48,'TABEL KONVERSI'!$A$3:$D$7,4)</f>
        <v>-</v>
      </c>
      <c r="AZ48" s="38" t="str">
        <f t="shared" si="49"/>
        <v>-</v>
      </c>
      <c r="BA48" s="38" t="str">
        <f>VLOOKUP(AW48,'TABEL KONVERSI'!$A$3:$D$7,4)</f>
        <v>-</v>
      </c>
      <c r="BB48" s="42"/>
      <c r="BC48" s="37"/>
      <c r="BD48" s="73"/>
      <c r="BE48" s="73"/>
      <c r="BF48" s="38" t="str">
        <f t="shared" si="50"/>
        <v/>
      </c>
      <c r="BG48" s="38" t="str">
        <f t="shared" si="51"/>
        <v/>
      </c>
      <c r="BH48" s="38" t="str">
        <f>IF(BF48&lt;&gt;"",IF(AND(BF48&gt;='TABEL KONVERSI'!$B$3,'ENTRY DATA'!BF48&lt;='TABEL KONVERSI'!$C$3),1,IF(AND(BF48&gt;='TABEL KONVERSI'!$B$4,'ENTRY DATA'!BF48&lt;='TABEL KONVERSI'!$C$4),2,IF(AND(BF48&gt;='TABEL KONVERSI'!$B$5,'ENTRY DATA'!BF48&lt;='TABEL KONVERSI'!$C$5),3,IF(AND(BF48&gt;='TABEL KONVERSI'!$B$6,'ENTRY DATA'!BF48&lt;='TABEL KONVERSI'!$C$6),4,"")))),"-")</f>
        <v>-</v>
      </c>
      <c r="BI48" s="38" t="str">
        <f>IF(BG48&lt;&gt;"",IF(AND(BG48&gt;='TABEL KONVERSI'!$B$3,'ENTRY DATA'!BG48&lt;='TABEL KONVERSI'!$C$3),1,IF(AND(BG48&gt;='TABEL KONVERSI'!$B$4,'ENTRY DATA'!BG48&lt;='TABEL KONVERSI'!$C$4),2,IF(AND(BG48&gt;='TABEL KONVERSI'!$B$5,'ENTRY DATA'!BG48&lt;='TABEL KONVERSI'!$C$5),3,IF(AND(BG48&gt;='TABEL KONVERSI'!$B$6,'ENTRY DATA'!BG48&lt;='TABEL KONVERSI'!$C$6),4,"")))),"-")</f>
        <v>-</v>
      </c>
      <c r="BJ48" s="38" t="str">
        <f t="shared" si="52"/>
        <v>-</v>
      </c>
      <c r="BK48" s="38" t="str">
        <f>VLOOKUP(BH48,'TABEL KONVERSI'!$A$3:$D$7,4)</f>
        <v>-</v>
      </c>
      <c r="BL48" s="38" t="str">
        <f t="shared" si="53"/>
        <v>-</v>
      </c>
      <c r="BM48" s="38" t="str">
        <f>VLOOKUP(BI48,'TABEL KONVERSI'!$A$3:$D$7,4)</f>
        <v>-</v>
      </c>
      <c r="BN48" s="42"/>
      <c r="BO48" s="37"/>
      <c r="BP48" s="73"/>
      <c r="BQ48" s="73"/>
      <c r="BR48" s="38" t="str">
        <f t="shared" si="54"/>
        <v/>
      </c>
      <c r="BS48" s="38" t="str">
        <f t="shared" si="55"/>
        <v/>
      </c>
      <c r="BT48" s="38" t="str">
        <f>IF(BR48&lt;&gt;"",IF(AND(BR48&gt;='TABEL KONVERSI'!$B$3,'ENTRY DATA'!BR48&lt;='TABEL KONVERSI'!$C$3),1,IF(AND(BR48&gt;='TABEL KONVERSI'!$B$4,'ENTRY DATA'!BR48&lt;='TABEL KONVERSI'!$C$4),2,IF(AND(BR48&gt;='TABEL KONVERSI'!$B$5,'ENTRY DATA'!BR48&lt;='TABEL KONVERSI'!$C$5),3,IF(AND(BR48&gt;='TABEL KONVERSI'!$B$6,'ENTRY DATA'!BR48&lt;='TABEL KONVERSI'!$C$6),4,"")))),"-")</f>
        <v>-</v>
      </c>
      <c r="BU48" s="38" t="str">
        <f>IF(BS48&lt;&gt;"",IF(AND(BS48&gt;='TABEL KONVERSI'!$B$3,'ENTRY DATA'!BS48&lt;='TABEL KONVERSI'!$C$3),1,IF(AND(BS48&gt;='TABEL KONVERSI'!$B$4,'ENTRY DATA'!BS48&lt;='TABEL KONVERSI'!$C$4),2,IF(AND(BS48&gt;='TABEL KONVERSI'!$B$5,'ENTRY DATA'!BS48&lt;='TABEL KONVERSI'!$C$5),3,IF(AND(BS48&gt;='TABEL KONVERSI'!$B$6,'ENTRY DATA'!BS48&lt;='TABEL KONVERSI'!$C$6),4,"")))),"-")</f>
        <v>-</v>
      </c>
      <c r="BV48" s="38" t="str">
        <f t="shared" si="56"/>
        <v>-</v>
      </c>
      <c r="BW48" s="38" t="str">
        <f>VLOOKUP(BT48,'TABEL KONVERSI'!$A$3:$D$7,4)</f>
        <v>-</v>
      </c>
      <c r="BX48" s="38" t="str">
        <f t="shared" si="57"/>
        <v>-</v>
      </c>
      <c r="BY48" s="38" t="str">
        <f>VLOOKUP(BU48,'TABEL KONVERSI'!$A$3:$D$7,4)</f>
        <v>-</v>
      </c>
      <c r="BZ48" s="42"/>
      <c r="CA48" s="37"/>
      <c r="CB48" s="73"/>
      <c r="CC48" s="73"/>
      <c r="CD48" s="38" t="str">
        <f t="shared" si="58"/>
        <v/>
      </c>
      <c r="CE48" s="38" t="str">
        <f t="shared" si="59"/>
        <v/>
      </c>
      <c r="CF48" s="38" t="str">
        <f>IF(CD48&lt;&gt;"",IF(AND(CD48&gt;='TABEL KONVERSI'!$B$3,'ENTRY DATA'!CD48&lt;='TABEL KONVERSI'!$C$3),1,IF(AND(CD48&gt;='TABEL KONVERSI'!$B$4,'ENTRY DATA'!CD48&lt;='TABEL KONVERSI'!$C$4),2,IF(AND(CD48&gt;='TABEL KONVERSI'!$B$5,'ENTRY DATA'!CD48&lt;='TABEL KONVERSI'!$C$5),3,IF(AND(CD48&gt;='TABEL KONVERSI'!$B$6,'ENTRY DATA'!CD48&lt;='TABEL KONVERSI'!$C$6),4,"")))),"-")</f>
        <v>-</v>
      </c>
      <c r="CG48" s="38" t="str">
        <f>IF(CE48&lt;&gt;"",IF(AND(CE48&gt;='TABEL KONVERSI'!$B$3,'ENTRY DATA'!CE48&lt;='TABEL KONVERSI'!$C$3),1,IF(AND(CE48&gt;='TABEL KONVERSI'!$B$4,'ENTRY DATA'!CE48&lt;='TABEL KONVERSI'!$C$4),2,IF(AND(CE48&gt;='TABEL KONVERSI'!$B$5,'ENTRY DATA'!CE48&lt;='TABEL KONVERSI'!$C$5),3,IF(AND(CE48&gt;='TABEL KONVERSI'!$B$6,'ENTRY DATA'!CE48&lt;='TABEL KONVERSI'!$C$6),4,"")))),"-")</f>
        <v>-</v>
      </c>
      <c r="CH48" s="38" t="str">
        <f t="shared" si="60"/>
        <v>-</v>
      </c>
      <c r="CI48" s="38" t="str">
        <f>VLOOKUP(CF48,'TABEL KONVERSI'!$A$3:$D$7,4)</f>
        <v>-</v>
      </c>
      <c r="CJ48" s="38" t="str">
        <f t="shared" si="61"/>
        <v>-</v>
      </c>
      <c r="CK48" s="38" t="str">
        <f>VLOOKUP(CG48,'TABEL KONVERSI'!$A$3:$D$7,4)</f>
        <v>-</v>
      </c>
      <c r="CL48" s="42"/>
      <c r="CM48" s="37"/>
      <c r="CN48" s="73"/>
      <c r="CO48" s="73"/>
      <c r="CP48" s="38" t="str">
        <f t="shared" si="62"/>
        <v/>
      </c>
      <c r="CQ48" s="38" t="str">
        <f t="shared" si="63"/>
        <v/>
      </c>
      <c r="CR48" s="38" t="str">
        <f>IF(CP48&lt;&gt;"",IF(AND(CP48&gt;='TABEL KONVERSI'!$B$3,'ENTRY DATA'!CP48&lt;='TABEL KONVERSI'!$C$3),1,IF(AND(CP48&gt;='TABEL KONVERSI'!$B$4,'ENTRY DATA'!CP48&lt;='TABEL KONVERSI'!$C$4),2,IF(AND(CP48&gt;='TABEL KONVERSI'!$B$5,'ENTRY DATA'!CP48&lt;='TABEL KONVERSI'!$C$5),3,IF(AND(CP48&gt;='TABEL KONVERSI'!$B$6,'ENTRY DATA'!CP48&lt;='TABEL KONVERSI'!$C$6),4,"")))),"-")</f>
        <v>-</v>
      </c>
      <c r="CS48" s="38" t="str">
        <f>IF(CQ48&lt;&gt;"",IF(AND(CQ48&gt;='TABEL KONVERSI'!$B$3,'ENTRY DATA'!CQ48&lt;='TABEL KONVERSI'!$C$3),1,IF(AND(CQ48&gt;='TABEL KONVERSI'!$B$4,'ENTRY DATA'!CQ48&lt;='TABEL KONVERSI'!$C$4),2,IF(AND(CQ48&gt;='TABEL KONVERSI'!$B$5,'ENTRY DATA'!CQ48&lt;='TABEL KONVERSI'!$C$5),3,IF(AND(CQ48&gt;='TABEL KONVERSI'!$B$6,'ENTRY DATA'!CQ48&lt;='TABEL KONVERSI'!$C$6),4,"")))),"-")</f>
        <v>-</v>
      </c>
      <c r="CT48" s="38" t="str">
        <f t="shared" si="64"/>
        <v>-</v>
      </c>
      <c r="CU48" s="38" t="str">
        <f>VLOOKUP(CR48,'TABEL KONVERSI'!$A$3:$D$7,4)</f>
        <v>-</v>
      </c>
      <c r="CV48" s="38" t="str">
        <f t="shared" si="65"/>
        <v>-</v>
      </c>
      <c r="CW48" s="38" t="str">
        <f>VLOOKUP(CS48,'TABEL KONVERSI'!$A$3:$D$7,4)</f>
        <v>-</v>
      </c>
      <c r="CX48" s="42"/>
      <c r="CY48" s="37"/>
      <c r="CZ48" s="73"/>
      <c r="DA48" s="73"/>
      <c r="DB48" s="38" t="str">
        <f t="shared" si="66"/>
        <v/>
      </c>
      <c r="DC48" s="38" t="str">
        <f t="shared" si="67"/>
        <v/>
      </c>
      <c r="DD48" s="38" t="str">
        <f>IF(DB48&lt;&gt;"",IF(AND(DB48&gt;='TABEL KONVERSI'!$B$3,'ENTRY DATA'!DB48&lt;='TABEL KONVERSI'!$C$3),1,IF(AND(DB48&gt;='TABEL KONVERSI'!$B$4,'ENTRY DATA'!DB48&lt;='TABEL KONVERSI'!$C$4),2,IF(AND(DB48&gt;='TABEL KONVERSI'!$B$5,'ENTRY DATA'!DB48&lt;='TABEL KONVERSI'!$C$5),3,IF(AND(DB48&gt;='TABEL KONVERSI'!$B$6,'ENTRY DATA'!DB48&lt;='TABEL KONVERSI'!$C$6),4,"")))),"-")</f>
        <v>-</v>
      </c>
      <c r="DE48" s="38" t="str">
        <f>IF(DC48&lt;&gt;"",IF(AND(DC48&gt;='TABEL KONVERSI'!$B$3,'ENTRY DATA'!DC48&lt;='TABEL KONVERSI'!$C$3),1,IF(AND(DC48&gt;='TABEL KONVERSI'!$B$4,'ENTRY DATA'!DC48&lt;='TABEL KONVERSI'!$C$4),2,IF(AND(DC48&gt;='TABEL KONVERSI'!$B$5,'ENTRY DATA'!DC48&lt;='TABEL KONVERSI'!$C$5),3,IF(AND(DC48&gt;='TABEL KONVERSI'!$B$6,'ENTRY DATA'!DC48&lt;='TABEL KONVERSI'!$C$6),4,"")))),"-")</f>
        <v>-</v>
      </c>
      <c r="DF48" s="38" t="str">
        <f t="shared" si="68"/>
        <v>-</v>
      </c>
      <c r="DG48" s="38" t="str">
        <f>VLOOKUP(DD48,'TABEL KONVERSI'!$A$3:$D$7,4)</f>
        <v>-</v>
      </c>
      <c r="DH48" s="38" t="str">
        <f t="shared" si="69"/>
        <v>-</v>
      </c>
      <c r="DI48" s="38" t="str">
        <f>VLOOKUP(DE48,'TABEL KONVERSI'!$A$3:$D$7,4)</f>
        <v>-</v>
      </c>
      <c r="DJ48" s="42"/>
      <c r="DK48" s="37"/>
      <c r="DL48" s="73"/>
      <c r="DM48" s="73"/>
      <c r="DN48" s="38" t="str">
        <f t="shared" si="70"/>
        <v/>
      </c>
      <c r="DO48" s="38" t="str">
        <f t="shared" si="71"/>
        <v/>
      </c>
      <c r="DP48" s="38" t="str">
        <f>IF(DN48&lt;&gt;"",IF(AND(DN48&gt;='TABEL KONVERSI'!$B$3,'ENTRY DATA'!DN48&lt;='TABEL KONVERSI'!$C$3),1,IF(AND(DN48&gt;='TABEL KONVERSI'!$B$4,'ENTRY DATA'!DN48&lt;='TABEL KONVERSI'!$C$4),2,IF(AND(DN48&gt;='TABEL KONVERSI'!$B$5,'ENTRY DATA'!DN48&lt;='TABEL KONVERSI'!$C$5),3,IF(AND(DN48&gt;='TABEL KONVERSI'!$B$6,'ENTRY DATA'!DN48&lt;='TABEL KONVERSI'!$C$6),4,"")))),"-")</f>
        <v>-</v>
      </c>
      <c r="DQ48" s="38" t="str">
        <f>IF(DO48&lt;&gt;"",IF(AND(DO48&gt;='TABEL KONVERSI'!$B$3,'ENTRY DATA'!DO48&lt;='TABEL KONVERSI'!$C$3),1,IF(AND(DO48&gt;='TABEL KONVERSI'!$B$4,'ENTRY DATA'!DO48&lt;='TABEL KONVERSI'!$C$4),2,IF(AND(DO48&gt;='TABEL KONVERSI'!$B$5,'ENTRY DATA'!DO48&lt;='TABEL KONVERSI'!$C$5),3,IF(AND(DO48&gt;='TABEL KONVERSI'!$B$6,'ENTRY DATA'!DO48&lt;='TABEL KONVERSI'!$C$6),4,"")))),"-")</f>
        <v>-</v>
      </c>
      <c r="DR48" s="38" t="str">
        <f t="shared" si="72"/>
        <v>-</v>
      </c>
      <c r="DS48" s="38" t="str">
        <f>VLOOKUP(DP48,'TABEL KONVERSI'!$A$3:$D$7,4)</f>
        <v>-</v>
      </c>
      <c r="DT48" s="38" t="str">
        <f t="shared" si="73"/>
        <v>-</v>
      </c>
      <c r="DU48" s="38" t="str">
        <f>VLOOKUP(DQ48,'TABEL KONVERSI'!$A$3:$D$7,4)</f>
        <v>-</v>
      </c>
      <c r="DV48" s="42"/>
      <c r="DW48" s="37"/>
      <c r="DX48" s="73"/>
      <c r="DY48" s="73"/>
      <c r="DZ48" s="38" t="str">
        <f t="shared" si="74"/>
        <v/>
      </c>
      <c r="EA48" s="38" t="str">
        <f t="shared" si="75"/>
        <v/>
      </c>
      <c r="EB48" s="38" t="str">
        <f>IF(DZ48&lt;&gt;"",IF(AND(DZ48&gt;='TABEL KONVERSI'!$B$3,'ENTRY DATA'!DZ48&lt;='TABEL KONVERSI'!$C$3),1,IF(AND(DZ48&gt;='TABEL KONVERSI'!$B$4,'ENTRY DATA'!DZ48&lt;='TABEL KONVERSI'!$C$4),2,IF(AND(DZ48&gt;='TABEL KONVERSI'!$B$5,'ENTRY DATA'!DZ48&lt;='TABEL KONVERSI'!$C$5),3,IF(AND(DZ48&gt;='TABEL KONVERSI'!$B$6,'ENTRY DATA'!DZ48&lt;='TABEL KONVERSI'!$C$6),4,"")))),"-")</f>
        <v>-</v>
      </c>
      <c r="EC48" s="38" t="str">
        <f>IF(EA48&lt;&gt;"",IF(AND(EA48&gt;='TABEL KONVERSI'!$B$3,'ENTRY DATA'!EA48&lt;='TABEL KONVERSI'!$C$3),1,IF(AND(EA48&gt;='TABEL KONVERSI'!$B$4,'ENTRY DATA'!EA48&lt;='TABEL KONVERSI'!$C$4),2,IF(AND(EA48&gt;='TABEL KONVERSI'!$B$5,'ENTRY DATA'!EA48&lt;='TABEL KONVERSI'!$C$5),3,IF(AND(EA48&gt;='TABEL KONVERSI'!$B$6,'ENTRY DATA'!EA48&lt;='TABEL KONVERSI'!$C$6),4,"")))),"-")</f>
        <v>-</v>
      </c>
      <c r="ED48" s="38" t="str">
        <f t="shared" si="76"/>
        <v>-</v>
      </c>
      <c r="EE48" s="38" t="str">
        <f>VLOOKUP(EB48,'TABEL KONVERSI'!$A$3:$D$7,4)</f>
        <v>-</v>
      </c>
      <c r="EF48" s="38" t="str">
        <f t="shared" si="77"/>
        <v>-</v>
      </c>
      <c r="EG48" s="38" t="str">
        <f>VLOOKUP(EC48,'TABEL KONVERSI'!$A$3:$D$7,4)</f>
        <v>-</v>
      </c>
      <c r="EH48" s="42"/>
      <c r="EI48" s="37"/>
      <c r="EJ48" s="73"/>
      <c r="EK48" s="73"/>
      <c r="EL48" s="38" t="str">
        <f t="shared" si="78"/>
        <v/>
      </c>
      <c r="EM48" s="38" t="str">
        <f t="shared" si="79"/>
        <v/>
      </c>
      <c r="EN48" s="38" t="str">
        <f>IF(EL48&lt;&gt;"",IF(AND(EL48&gt;='TABEL KONVERSI'!$B$3,'ENTRY DATA'!EL48&lt;='TABEL KONVERSI'!$C$3),1,IF(AND(EL48&gt;='TABEL KONVERSI'!$B$4,'ENTRY DATA'!EL48&lt;='TABEL KONVERSI'!$C$4),2,IF(AND(EL48&gt;='TABEL KONVERSI'!$B$5,'ENTRY DATA'!EL48&lt;='TABEL KONVERSI'!$C$5),3,IF(AND(EL48&gt;='TABEL KONVERSI'!$B$6,'ENTRY DATA'!EL48&lt;='TABEL KONVERSI'!$C$6),4,"")))),"-")</f>
        <v>-</v>
      </c>
      <c r="EO48" s="38" t="str">
        <f>IF(EM48&lt;&gt;"",IF(AND(EM48&gt;='TABEL KONVERSI'!$B$3,'ENTRY DATA'!EM48&lt;='TABEL KONVERSI'!$C$3),1,IF(AND(EM48&gt;='TABEL KONVERSI'!$B$4,'ENTRY DATA'!EM48&lt;='TABEL KONVERSI'!$C$4),2,IF(AND(EM48&gt;='TABEL KONVERSI'!$B$5,'ENTRY DATA'!EM48&lt;='TABEL KONVERSI'!$C$5),3,IF(AND(EM48&gt;='TABEL KONVERSI'!$B$6,'ENTRY DATA'!EM48&lt;='TABEL KONVERSI'!$C$6),4,"")))),"-")</f>
        <v>-</v>
      </c>
      <c r="EP48" s="38" t="str">
        <f t="shared" si="80"/>
        <v>-</v>
      </c>
      <c r="EQ48" s="38" t="str">
        <f>VLOOKUP(EN48,'TABEL KONVERSI'!$A$3:$D$7,4)</f>
        <v>-</v>
      </c>
      <c r="ER48" s="38" t="str">
        <f t="shared" si="81"/>
        <v>-</v>
      </c>
      <c r="ES48" s="38" t="str">
        <f>VLOOKUP(EO48,'TABEL KONVERSI'!$A$3:$D$7,4)</f>
        <v>-</v>
      </c>
      <c r="ET48" s="42"/>
      <c r="EU48" s="37"/>
      <c r="EV48" s="73"/>
      <c r="EW48" s="73"/>
      <c r="EX48" s="38" t="str">
        <f t="shared" si="82"/>
        <v/>
      </c>
      <c r="EY48" s="38" t="str">
        <f t="shared" si="83"/>
        <v/>
      </c>
      <c r="EZ48" s="38" t="str">
        <f>IF(EX48&lt;&gt;"",IF(AND(EX48&gt;='TABEL KONVERSI'!$B$3,'ENTRY DATA'!EX48&lt;='TABEL KONVERSI'!$C$3),1,IF(AND(EX48&gt;='TABEL KONVERSI'!$B$4,'ENTRY DATA'!EX48&lt;='TABEL KONVERSI'!$C$4),2,IF(AND(EX48&gt;='TABEL KONVERSI'!$B$5,'ENTRY DATA'!EX48&lt;='TABEL KONVERSI'!$C$5),3,IF(AND(EX48&gt;='TABEL KONVERSI'!$B$6,'ENTRY DATA'!EX48&lt;='TABEL KONVERSI'!$C$6),4,"")))),"-")</f>
        <v>-</v>
      </c>
      <c r="FA48" s="38" t="str">
        <f>IF(EY48&lt;&gt;"",IF(AND(EY48&gt;='TABEL KONVERSI'!$B$3,'ENTRY DATA'!EY48&lt;='TABEL KONVERSI'!$C$3),1,IF(AND(EY48&gt;='TABEL KONVERSI'!$B$4,'ENTRY DATA'!EY48&lt;='TABEL KONVERSI'!$C$4),2,IF(AND(EY48&gt;='TABEL KONVERSI'!$B$5,'ENTRY DATA'!EY48&lt;='TABEL KONVERSI'!$C$5),3,IF(AND(EY48&gt;='TABEL KONVERSI'!$B$6,'ENTRY DATA'!EY48&lt;='TABEL KONVERSI'!$C$6),4,"")))),"-")</f>
        <v>-</v>
      </c>
      <c r="FB48" s="38" t="str">
        <f t="shared" si="84"/>
        <v>-</v>
      </c>
      <c r="FC48" s="38" t="str">
        <f>VLOOKUP(EZ48,'TABEL KONVERSI'!$A$3:$D$7,4)</f>
        <v>-</v>
      </c>
      <c r="FD48" s="38" t="str">
        <f t="shared" si="85"/>
        <v>-</v>
      </c>
      <c r="FE48" s="38" t="str">
        <f>VLOOKUP(FA48,'TABEL KONVERSI'!$A$3:$D$7,4)</f>
        <v>-</v>
      </c>
      <c r="FF48" s="42"/>
      <c r="FG48" s="37"/>
      <c r="FH48" s="73"/>
      <c r="FI48" s="73"/>
      <c r="FJ48" s="38" t="str">
        <f t="shared" si="86"/>
        <v/>
      </c>
      <c r="FK48" s="38" t="str">
        <f t="shared" si="87"/>
        <v/>
      </c>
      <c r="FL48" s="38" t="str">
        <f>IF(FJ48&lt;&gt;"",IF(AND(FJ48&gt;='TABEL KONVERSI'!$B$3,'ENTRY DATA'!FJ48&lt;='TABEL KONVERSI'!$C$3),1,IF(AND(FJ48&gt;='TABEL KONVERSI'!$B$4,'ENTRY DATA'!FJ48&lt;='TABEL KONVERSI'!$C$4),2,IF(AND(FJ48&gt;='TABEL KONVERSI'!$B$5,'ENTRY DATA'!FJ48&lt;='TABEL KONVERSI'!$C$5),3,IF(AND(FJ48&gt;='TABEL KONVERSI'!$B$6,'ENTRY DATA'!FJ48&lt;='TABEL KONVERSI'!$C$6),4,"")))),"-")</f>
        <v>-</v>
      </c>
      <c r="FM48" s="38" t="str">
        <f>IF(FK48&lt;&gt;"",IF(AND(FK48&gt;='TABEL KONVERSI'!$B$3,'ENTRY DATA'!FK48&lt;='TABEL KONVERSI'!$C$3),1,IF(AND(FK48&gt;='TABEL KONVERSI'!$B$4,'ENTRY DATA'!FK48&lt;='TABEL KONVERSI'!$C$4),2,IF(AND(FK48&gt;='TABEL KONVERSI'!$B$5,'ENTRY DATA'!FK48&lt;='TABEL KONVERSI'!$C$5),3,IF(AND(FK48&gt;='TABEL KONVERSI'!$B$6,'ENTRY DATA'!FK48&lt;='TABEL KONVERSI'!$C$6),4,"")))),"-")</f>
        <v>-</v>
      </c>
      <c r="FN48" s="38" t="str">
        <f t="shared" si="88"/>
        <v>-</v>
      </c>
      <c r="FO48" s="38" t="str">
        <f>VLOOKUP(FL48,'TABEL KONVERSI'!$A$3:$D$7,4)</f>
        <v>-</v>
      </c>
      <c r="FP48" s="38" t="str">
        <f t="shared" si="89"/>
        <v>-</v>
      </c>
      <c r="FQ48" s="38" t="str">
        <f>VLOOKUP(FM48,'TABEL KONVERSI'!$A$3:$D$7,4)</f>
        <v>-</v>
      </c>
      <c r="FR48" s="42"/>
      <c r="FS48" s="37"/>
      <c r="FT48" s="73"/>
      <c r="FU48" s="73"/>
      <c r="FV48" s="38" t="str">
        <f t="shared" si="90"/>
        <v/>
      </c>
      <c r="FW48" s="38" t="str">
        <f t="shared" si="91"/>
        <v/>
      </c>
      <c r="FX48" s="38" t="str">
        <f>IF(FV48&lt;&gt;"",IF(AND(FV48&gt;='TABEL KONVERSI'!$B$3,'ENTRY DATA'!FV48&lt;='TABEL KONVERSI'!$C$3),1,IF(AND(FV48&gt;='TABEL KONVERSI'!$B$4,'ENTRY DATA'!FV48&lt;='TABEL KONVERSI'!$C$4),2,IF(AND(FV48&gt;='TABEL KONVERSI'!$B$5,'ENTRY DATA'!FV48&lt;='TABEL KONVERSI'!$C$5),3,IF(AND(FV48&gt;='TABEL KONVERSI'!$B$6,'ENTRY DATA'!FV48&lt;='TABEL KONVERSI'!$C$6),4,"")))),"-")</f>
        <v>-</v>
      </c>
      <c r="FY48" s="38" t="str">
        <f>IF(FW48&lt;&gt;"",IF(AND(FW48&gt;='TABEL KONVERSI'!$B$3,'ENTRY DATA'!FW48&lt;='TABEL KONVERSI'!$C$3),1,IF(AND(FW48&gt;='TABEL KONVERSI'!$B$4,'ENTRY DATA'!FW48&lt;='TABEL KONVERSI'!$C$4),2,IF(AND(FW48&gt;='TABEL KONVERSI'!$B$5,'ENTRY DATA'!FW48&lt;='TABEL KONVERSI'!$C$5),3,IF(AND(FW48&gt;='TABEL KONVERSI'!$B$6,'ENTRY DATA'!FW48&lt;='TABEL KONVERSI'!$C$6),4,"")))),"-")</f>
        <v>-</v>
      </c>
      <c r="FZ48" s="38" t="str">
        <f t="shared" si="92"/>
        <v>-</v>
      </c>
      <c r="GA48" s="38" t="str">
        <f>VLOOKUP(FX48,'TABEL KONVERSI'!$A$3:$D$7,4)</f>
        <v>-</v>
      </c>
      <c r="GB48" s="38" t="str">
        <f t="shared" si="93"/>
        <v>-</v>
      </c>
      <c r="GC48" s="38" t="str">
        <f>VLOOKUP(FY48,'TABEL KONVERSI'!$A$3:$D$7,4)</f>
        <v>-</v>
      </c>
      <c r="GD48" s="42"/>
      <c r="GE48" s="37"/>
      <c r="GF48" s="73"/>
      <c r="GG48" s="73"/>
      <c r="GH48" s="38" t="str">
        <f t="shared" si="94"/>
        <v/>
      </c>
      <c r="GI48" s="38" t="str">
        <f t="shared" si="95"/>
        <v/>
      </c>
      <c r="GJ48" s="38" t="str">
        <f>IF(GH48&lt;&gt;"",IF(AND(GH48&gt;='TABEL KONVERSI'!$B$3,'ENTRY DATA'!GH48&lt;='TABEL KONVERSI'!$C$3),1,IF(AND(GH48&gt;='TABEL KONVERSI'!$B$4,'ENTRY DATA'!GH48&lt;='TABEL KONVERSI'!$C$4),2,IF(AND(GH48&gt;='TABEL KONVERSI'!$B$5,'ENTRY DATA'!GH48&lt;='TABEL KONVERSI'!$C$5),3,IF(AND(GH48&gt;='TABEL KONVERSI'!$B$6,'ENTRY DATA'!GH48&lt;='TABEL KONVERSI'!$C$6),4,"")))),"-")</f>
        <v>-</v>
      </c>
      <c r="GK48" s="38" t="str">
        <f>IF(GI48&lt;&gt;"",IF(AND(GI48&gt;='TABEL KONVERSI'!$B$3,'ENTRY DATA'!GI48&lt;='TABEL KONVERSI'!$C$3),1,IF(AND(GI48&gt;='TABEL KONVERSI'!$B$4,'ENTRY DATA'!GI48&lt;='TABEL KONVERSI'!$C$4),2,IF(AND(GI48&gt;='TABEL KONVERSI'!$B$5,'ENTRY DATA'!GI48&lt;='TABEL KONVERSI'!$C$5),3,IF(AND(GI48&gt;='TABEL KONVERSI'!$B$6,'ENTRY DATA'!GI48&lt;='TABEL KONVERSI'!$C$6),4,"")))),"-")</f>
        <v>-</v>
      </c>
      <c r="GL48" s="38" t="str">
        <f t="shared" si="96"/>
        <v>-</v>
      </c>
      <c r="GM48" s="38" t="str">
        <f>VLOOKUP(GJ48,'TABEL KONVERSI'!$A$3:$D$7,4)</f>
        <v>-</v>
      </c>
      <c r="GN48" s="38" t="str">
        <f t="shared" si="97"/>
        <v>-</v>
      </c>
      <c r="GO48" s="38" t="str">
        <f>VLOOKUP(GK48,'TABEL KONVERSI'!$A$3:$D$7,4)</f>
        <v>-</v>
      </c>
      <c r="GP48" s="43">
        <f t="shared" si="108"/>
        <v>0</v>
      </c>
      <c r="GQ48" s="43">
        <f t="shared" si="109"/>
        <v>0</v>
      </c>
      <c r="GR48" s="43">
        <f t="shared" si="110"/>
        <v>0</v>
      </c>
      <c r="GS48" s="43">
        <f t="shared" si="111"/>
        <v>0</v>
      </c>
      <c r="GT48" s="43">
        <f t="shared" si="112"/>
        <v>0</v>
      </c>
      <c r="GU48" s="43">
        <f t="shared" si="113"/>
        <v>0</v>
      </c>
      <c r="GV48" s="43">
        <f t="shared" si="114"/>
        <v>0</v>
      </c>
      <c r="GW48" s="43">
        <f t="shared" si="115"/>
        <v>0</v>
      </c>
      <c r="GX48" s="43">
        <f t="shared" si="116"/>
        <v>0</v>
      </c>
      <c r="GY48" s="43">
        <f t="shared" si="117"/>
        <v>0</v>
      </c>
      <c r="GZ48" s="43">
        <f t="shared" si="118"/>
        <v>0</v>
      </c>
      <c r="HA48" s="43">
        <f t="shared" si="119"/>
        <v>0</v>
      </c>
      <c r="HB48" s="43">
        <f t="shared" si="120"/>
        <v>0</v>
      </c>
      <c r="HC48" s="43">
        <f t="shared" si="121"/>
        <v>0</v>
      </c>
      <c r="HD48" s="43">
        <f t="shared" si="122"/>
        <v>0</v>
      </c>
      <c r="HE48" s="43">
        <f t="shared" si="123"/>
        <v>0</v>
      </c>
      <c r="HF48" s="38">
        <f t="shared" si="98"/>
        <v>0</v>
      </c>
      <c r="HG48" s="38">
        <f t="shared" si="99"/>
        <v>0</v>
      </c>
      <c r="HH48" s="38">
        <f t="shared" si="100"/>
        <v>0</v>
      </c>
      <c r="HI48" s="39">
        <f t="shared" si="101"/>
        <v>0</v>
      </c>
      <c r="HJ48" s="44" t="str">
        <f t="shared" si="102"/>
        <v>-</v>
      </c>
      <c r="HK48" s="45" t="str">
        <f>VLOOKUP(HJ48,'TABEL KONVERSI'!$B$11:$D$15,2,0)</f>
        <v>-</v>
      </c>
      <c r="HL48" s="43">
        <f t="shared" si="124"/>
        <v>0</v>
      </c>
      <c r="HM48" s="43">
        <f t="shared" si="125"/>
        <v>0</v>
      </c>
      <c r="HN48" s="43">
        <f t="shared" si="126"/>
        <v>0</v>
      </c>
      <c r="HO48" s="43">
        <f t="shared" si="127"/>
        <v>0</v>
      </c>
      <c r="HP48" s="43">
        <f t="shared" si="128"/>
        <v>0</v>
      </c>
      <c r="HQ48" s="43">
        <f t="shared" si="129"/>
        <v>0</v>
      </c>
      <c r="HR48" s="43">
        <f t="shared" si="130"/>
        <v>0</v>
      </c>
      <c r="HS48" s="43">
        <f t="shared" si="131"/>
        <v>0</v>
      </c>
      <c r="HT48" s="43">
        <f t="shared" si="132"/>
        <v>0</v>
      </c>
      <c r="HU48" s="43">
        <f t="shared" si="133"/>
        <v>0</v>
      </c>
      <c r="HV48" s="43">
        <f t="shared" si="134"/>
        <v>0</v>
      </c>
      <c r="HW48" s="43">
        <f t="shared" si="135"/>
        <v>0</v>
      </c>
      <c r="HX48" s="43">
        <f t="shared" si="136"/>
        <v>0</v>
      </c>
      <c r="HY48" s="43">
        <f t="shared" si="137"/>
        <v>0</v>
      </c>
      <c r="HZ48" s="43">
        <f t="shared" si="138"/>
        <v>0</v>
      </c>
      <c r="IA48" s="43">
        <f t="shared" si="139"/>
        <v>0</v>
      </c>
      <c r="IB48" s="38">
        <f t="shared" si="103"/>
        <v>0</v>
      </c>
      <c r="IC48" s="38">
        <f t="shared" si="104"/>
        <v>0</v>
      </c>
      <c r="ID48" s="38">
        <f t="shared" si="105"/>
        <v>0</v>
      </c>
      <c r="IE48" s="38">
        <f t="shared" si="106"/>
        <v>0</v>
      </c>
      <c r="IF48" s="46" t="str">
        <f t="shared" si="107"/>
        <v>-</v>
      </c>
      <c r="IG48" s="45" t="str">
        <f>VLOOKUP(IF48,'TABEL KONVERSI'!$B$11:$D$15,3,0)</f>
        <v>-</v>
      </c>
      <c r="IH48" s="40" t="s">
        <v>223</v>
      </c>
      <c r="II48" s="41" t="s">
        <v>106</v>
      </c>
      <c r="IJ48" s="45" t="str">
        <f>IF(II48&lt;&gt;"",VLOOKUP(II48,'TABEL KONVERSI'!$A$19:$B$23,2,0),"")</f>
        <v>Aktif dalam mengikuti kegiatan</v>
      </c>
      <c r="IK48" s="47" t="s">
        <v>58</v>
      </c>
      <c r="IL48" s="50" t="s">
        <v>58</v>
      </c>
      <c r="IM48" s="45" t="str">
        <f>IF(IL48&lt;&gt;"",VLOOKUP(IL48,'TABEL KONVERSI'!$A$19:$B$23,2,0),"")</f>
        <v>-</v>
      </c>
      <c r="IN48" s="49" t="s">
        <v>58</v>
      </c>
      <c r="IO48" s="48" t="s">
        <v>58</v>
      </c>
      <c r="IP48" s="45" t="str">
        <f>IF(IO48&lt;&gt;"",VLOOKUP(IO48,'TABEL KONVERSI'!$A$19:$B$23,2,0),"")</f>
        <v>-</v>
      </c>
      <c r="IQ48" s="49" t="s">
        <v>58</v>
      </c>
      <c r="IR48" s="50" t="s">
        <v>58</v>
      </c>
      <c r="IS48" s="45" t="str">
        <f>IF(IR48&lt;&gt;"",VLOOKUP(IR48,'TABEL KONVERSI'!$A$19:$B$23,2,0),"")</f>
        <v>-</v>
      </c>
      <c r="IT48" s="49" t="s">
        <v>58</v>
      </c>
      <c r="IU48" s="50" t="s">
        <v>58</v>
      </c>
      <c r="IV48" s="45" t="str">
        <f>IF(IU48&lt;&gt;"",VLOOKUP(IU48,'TABEL KONVERSI'!$A$19:$B$23,2,0),"")</f>
        <v>-</v>
      </c>
      <c r="IW48" s="48" t="s">
        <v>58</v>
      </c>
      <c r="IX48" s="48" t="s">
        <v>58</v>
      </c>
      <c r="IY48" s="48" t="s">
        <v>58</v>
      </c>
      <c r="IZ48" s="47" t="s">
        <v>58</v>
      </c>
      <c r="JA48" s="45">
        <f t="shared" si="140"/>
        <v>0</v>
      </c>
      <c r="JB48" s="45">
        <f t="shared" si="33"/>
        <v>1</v>
      </c>
    </row>
    <row r="49" spans="1:262" x14ac:dyDescent="0.25">
      <c r="A49" s="33">
        <v>37</v>
      </c>
      <c r="B49" s="53"/>
      <c r="C49" s="53"/>
      <c r="D49" s="54"/>
      <c r="E49" s="55"/>
      <c r="F49" s="42"/>
      <c r="G49" s="37"/>
      <c r="H49" s="73"/>
      <c r="I49" s="73"/>
      <c r="J49" s="38" t="str">
        <f t="shared" si="34"/>
        <v/>
      </c>
      <c r="K49" s="38" t="str">
        <f t="shared" si="35"/>
        <v/>
      </c>
      <c r="L49" s="38" t="str">
        <f>IF(J49&lt;&gt;"",IF(AND(J49&gt;='TABEL KONVERSI'!$B$3,'ENTRY DATA'!J49&lt;='TABEL KONVERSI'!$C$3),1,IF(AND(J49&gt;='TABEL KONVERSI'!$B$4,'ENTRY DATA'!J49&lt;='TABEL KONVERSI'!$C$4),2,IF(AND(J49&gt;='TABEL KONVERSI'!$B$5,'ENTRY DATA'!J49&lt;='TABEL KONVERSI'!$C$5),3,IF(AND(J49&gt;='TABEL KONVERSI'!$B$6,'ENTRY DATA'!J49&lt;='TABEL KONVERSI'!$C$6),4,"")))),"-")</f>
        <v>-</v>
      </c>
      <c r="M49" s="38" t="str">
        <f>IF(K49&lt;&gt;"",IF(AND(K49&gt;='TABEL KONVERSI'!$B$3,'ENTRY DATA'!K49&lt;='TABEL KONVERSI'!$C$3),1,IF(AND(K49&gt;='TABEL KONVERSI'!$B$4,'ENTRY DATA'!K49&lt;='TABEL KONVERSI'!$C$4),2,IF(AND(K49&gt;='TABEL KONVERSI'!$B$5,'ENTRY DATA'!K49&lt;='TABEL KONVERSI'!$C$5),3,IF(AND(K49&gt;='TABEL KONVERSI'!$B$6,'ENTRY DATA'!K49&lt;='TABEL KONVERSI'!$C$6),4,"")))),"-")</f>
        <v>-</v>
      </c>
      <c r="N49" s="38" t="str">
        <f t="shared" si="36"/>
        <v>-</v>
      </c>
      <c r="O49" s="38" t="str">
        <f>VLOOKUP(L49,'TABEL KONVERSI'!$A$3:$D$7,4)</f>
        <v>-</v>
      </c>
      <c r="P49" s="38" t="str">
        <f t="shared" si="37"/>
        <v>-</v>
      </c>
      <c r="Q49" s="38" t="str">
        <f>VLOOKUP(M49,'TABEL KONVERSI'!$A$3:$D$7,4)</f>
        <v>-</v>
      </c>
      <c r="R49" s="42"/>
      <c r="S49" s="37"/>
      <c r="T49" s="73"/>
      <c r="U49" s="73"/>
      <c r="V49" s="38" t="str">
        <f t="shared" si="38"/>
        <v/>
      </c>
      <c r="W49" s="38" t="str">
        <f t="shared" si="39"/>
        <v/>
      </c>
      <c r="X49" s="38" t="str">
        <f>IF(V49&lt;&gt;"",IF(AND(V49&gt;='TABEL KONVERSI'!$B$3,'ENTRY DATA'!V49&lt;='TABEL KONVERSI'!$C$3),1,IF(AND(V49&gt;='TABEL KONVERSI'!$B$4,'ENTRY DATA'!V49&lt;='TABEL KONVERSI'!$C$4),2,IF(AND(V49&gt;='TABEL KONVERSI'!$B$5,'ENTRY DATA'!V49&lt;='TABEL KONVERSI'!$C$5),3,IF(AND(V49&gt;='TABEL KONVERSI'!$B$6,'ENTRY DATA'!V49&lt;='TABEL KONVERSI'!$C$6),4,"")))),"-")</f>
        <v>-</v>
      </c>
      <c r="Y49" s="38" t="str">
        <f>IF(W49&lt;&gt;"",IF(AND(W49&gt;='TABEL KONVERSI'!$B$3,'ENTRY DATA'!W49&lt;='TABEL KONVERSI'!$C$3),1,IF(AND(W49&gt;='TABEL KONVERSI'!$B$4,'ENTRY DATA'!W49&lt;='TABEL KONVERSI'!$C$4),2,IF(AND(W49&gt;='TABEL KONVERSI'!$B$5,'ENTRY DATA'!W49&lt;='TABEL KONVERSI'!$C$5),3,IF(AND(W49&gt;='TABEL KONVERSI'!$B$6,'ENTRY DATA'!W49&lt;='TABEL KONVERSI'!$C$6),4,"")))),"-")</f>
        <v>-</v>
      </c>
      <c r="Z49" s="38" t="str">
        <f t="shared" si="40"/>
        <v>-</v>
      </c>
      <c r="AA49" s="38" t="str">
        <f>VLOOKUP(X49,'TABEL KONVERSI'!$A$3:$D$7,4)</f>
        <v>-</v>
      </c>
      <c r="AB49" s="38" t="str">
        <f t="shared" si="41"/>
        <v>-</v>
      </c>
      <c r="AC49" s="38" t="str">
        <f>VLOOKUP(Y49,'TABEL KONVERSI'!$A$3:$D$7,4)</f>
        <v>-</v>
      </c>
      <c r="AD49" s="42"/>
      <c r="AE49" s="37"/>
      <c r="AF49" s="73"/>
      <c r="AG49" s="73"/>
      <c r="AH49" s="38" t="str">
        <f t="shared" si="42"/>
        <v/>
      </c>
      <c r="AI49" s="38" t="str">
        <f t="shared" si="43"/>
        <v/>
      </c>
      <c r="AJ49" s="38" t="str">
        <f>IF(AH49&lt;&gt;"",IF(AND(AH49&gt;='TABEL KONVERSI'!$B$3,'ENTRY DATA'!AH49&lt;='TABEL KONVERSI'!$C$3),1,IF(AND(AH49&gt;='TABEL KONVERSI'!$B$4,'ENTRY DATA'!AH49&lt;='TABEL KONVERSI'!$C$4),2,IF(AND(AH49&gt;='TABEL KONVERSI'!$B$5,'ENTRY DATA'!AH49&lt;='TABEL KONVERSI'!$C$5),3,IF(AND(AH49&gt;='TABEL KONVERSI'!$B$6,'ENTRY DATA'!AH49&lt;='TABEL KONVERSI'!$C$6),4,"")))),"-")</f>
        <v>-</v>
      </c>
      <c r="AK49" s="38" t="str">
        <f>IF(AI49&lt;&gt;"",IF(AND(AI49&gt;='TABEL KONVERSI'!$B$3,'ENTRY DATA'!AI49&lt;='TABEL KONVERSI'!$C$3),1,IF(AND(AI49&gt;='TABEL KONVERSI'!$B$4,'ENTRY DATA'!AI49&lt;='TABEL KONVERSI'!$C$4),2,IF(AND(AI49&gt;='TABEL KONVERSI'!$B$5,'ENTRY DATA'!AI49&lt;='TABEL KONVERSI'!$C$5),3,IF(AND(AI49&gt;='TABEL KONVERSI'!$B$6,'ENTRY DATA'!AI49&lt;='TABEL KONVERSI'!$C$6),4,"")))),"-")</f>
        <v>-</v>
      </c>
      <c r="AL49" s="38" t="str">
        <f t="shared" si="44"/>
        <v>-</v>
      </c>
      <c r="AM49" s="38" t="str">
        <f>VLOOKUP(AJ49,'TABEL KONVERSI'!$A$3:$D$7,4)</f>
        <v>-</v>
      </c>
      <c r="AN49" s="38" t="str">
        <f t="shared" si="45"/>
        <v>-</v>
      </c>
      <c r="AO49" s="38" t="str">
        <f>VLOOKUP(AK49,'TABEL KONVERSI'!$A$3:$D$7,4)</f>
        <v>-</v>
      </c>
      <c r="AP49" s="42"/>
      <c r="AQ49" s="37"/>
      <c r="AR49" s="73"/>
      <c r="AS49" s="73"/>
      <c r="AT49" s="38" t="str">
        <f t="shared" si="46"/>
        <v/>
      </c>
      <c r="AU49" s="38" t="str">
        <f t="shared" si="47"/>
        <v/>
      </c>
      <c r="AV49" s="38" t="str">
        <f>IF(AT49&lt;&gt;"",IF(AND(AT49&gt;='TABEL KONVERSI'!$B$3,'ENTRY DATA'!AT49&lt;='TABEL KONVERSI'!$C$3),1,IF(AND(AT49&gt;='TABEL KONVERSI'!$B$4,'ENTRY DATA'!AT49&lt;='TABEL KONVERSI'!$C$4),2,IF(AND(AT49&gt;='TABEL KONVERSI'!$B$5,'ENTRY DATA'!AT49&lt;='TABEL KONVERSI'!$C$5),3,IF(AND(AT49&gt;='TABEL KONVERSI'!$B$6,'ENTRY DATA'!AT49&lt;='TABEL KONVERSI'!$C$6),4,"")))),"-")</f>
        <v>-</v>
      </c>
      <c r="AW49" s="38" t="str">
        <f>IF(AU49&lt;&gt;"",IF(AND(AU49&gt;='TABEL KONVERSI'!$B$3,'ENTRY DATA'!AU49&lt;='TABEL KONVERSI'!$C$3),1,IF(AND(AU49&gt;='TABEL KONVERSI'!$B$4,'ENTRY DATA'!AU49&lt;='TABEL KONVERSI'!$C$4),2,IF(AND(AU49&gt;='TABEL KONVERSI'!$B$5,'ENTRY DATA'!AU49&lt;='TABEL KONVERSI'!$C$5),3,IF(AND(AU49&gt;='TABEL KONVERSI'!$B$6,'ENTRY DATA'!AU49&lt;='TABEL KONVERSI'!$C$6),4,"")))),"-")</f>
        <v>-</v>
      </c>
      <c r="AX49" s="38" t="str">
        <f t="shared" si="48"/>
        <v>-</v>
      </c>
      <c r="AY49" s="38" t="str">
        <f>VLOOKUP(AV49,'TABEL KONVERSI'!$A$3:$D$7,4)</f>
        <v>-</v>
      </c>
      <c r="AZ49" s="38" t="str">
        <f t="shared" si="49"/>
        <v>-</v>
      </c>
      <c r="BA49" s="38" t="str">
        <f>VLOOKUP(AW49,'TABEL KONVERSI'!$A$3:$D$7,4)</f>
        <v>-</v>
      </c>
      <c r="BB49" s="42"/>
      <c r="BC49" s="37"/>
      <c r="BD49" s="73"/>
      <c r="BE49" s="73"/>
      <c r="BF49" s="38" t="str">
        <f t="shared" si="50"/>
        <v/>
      </c>
      <c r="BG49" s="38" t="str">
        <f t="shared" si="51"/>
        <v/>
      </c>
      <c r="BH49" s="38" t="str">
        <f>IF(BF49&lt;&gt;"",IF(AND(BF49&gt;='TABEL KONVERSI'!$B$3,'ENTRY DATA'!BF49&lt;='TABEL KONVERSI'!$C$3),1,IF(AND(BF49&gt;='TABEL KONVERSI'!$B$4,'ENTRY DATA'!BF49&lt;='TABEL KONVERSI'!$C$4),2,IF(AND(BF49&gt;='TABEL KONVERSI'!$B$5,'ENTRY DATA'!BF49&lt;='TABEL KONVERSI'!$C$5),3,IF(AND(BF49&gt;='TABEL KONVERSI'!$B$6,'ENTRY DATA'!BF49&lt;='TABEL KONVERSI'!$C$6),4,"")))),"-")</f>
        <v>-</v>
      </c>
      <c r="BI49" s="38" t="str">
        <f>IF(BG49&lt;&gt;"",IF(AND(BG49&gt;='TABEL KONVERSI'!$B$3,'ENTRY DATA'!BG49&lt;='TABEL KONVERSI'!$C$3),1,IF(AND(BG49&gt;='TABEL KONVERSI'!$B$4,'ENTRY DATA'!BG49&lt;='TABEL KONVERSI'!$C$4),2,IF(AND(BG49&gt;='TABEL KONVERSI'!$B$5,'ENTRY DATA'!BG49&lt;='TABEL KONVERSI'!$C$5),3,IF(AND(BG49&gt;='TABEL KONVERSI'!$B$6,'ENTRY DATA'!BG49&lt;='TABEL KONVERSI'!$C$6),4,"")))),"-")</f>
        <v>-</v>
      </c>
      <c r="BJ49" s="38" t="str">
        <f t="shared" si="52"/>
        <v>-</v>
      </c>
      <c r="BK49" s="38" t="str">
        <f>VLOOKUP(BH49,'TABEL KONVERSI'!$A$3:$D$7,4)</f>
        <v>-</v>
      </c>
      <c r="BL49" s="38" t="str">
        <f t="shared" si="53"/>
        <v>-</v>
      </c>
      <c r="BM49" s="38" t="str">
        <f>VLOOKUP(BI49,'TABEL KONVERSI'!$A$3:$D$7,4)</f>
        <v>-</v>
      </c>
      <c r="BN49" s="42"/>
      <c r="BO49" s="37"/>
      <c r="BP49" s="73"/>
      <c r="BQ49" s="73"/>
      <c r="BR49" s="38" t="str">
        <f t="shared" si="54"/>
        <v/>
      </c>
      <c r="BS49" s="38" t="str">
        <f t="shared" si="55"/>
        <v/>
      </c>
      <c r="BT49" s="38" t="str">
        <f>IF(BR49&lt;&gt;"",IF(AND(BR49&gt;='TABEL KONVERSI'!$B$3,'ENTRY DATA'!BR49&lt;='TABEL KONVERSI'!$C$3),1,IF(AND(BR49&gt;='TABEL KONVERSI'!$B$4,'ENTRY DATA'!BR49&lt;='TABEL KONVERSI'!$C$4),2,IF(AND(BR49&gt;='TABEL KONVERSI'!$B$5,'ENTRY DATA'!BR49&lt;='TABEL KONVERSI'!$C$5),3,IF(AND(BR49&gt;='TABEL KONVERSI'!$B$6,'ENTRY DATA'!BR49&lt;='TABEL KONVERSI'!$C$6),4,"")))),"-")</f>
        <v>-</v>
      </c>
      <c r="BU49" s="38" t="str">
        <f>IF(BS49&lt;&gt;"",IF(AND(BS49&gt;='TABEL KONVERSI'!$B$3,'ENTRY DATA'!BS49&lt;='TABEL KONVERSI'!$C$3),1,IF(AND(BS49&gt;='TABEL KONVERSI'!$B$4,'ENTRY DATA'!BS49&lt;='TABEL KONVERSI'!$C$4),2,IF(AND(BS49&gt;='TABEL KONVERSI'!$B$5,'ENTRY DATA'!BS49&lt;='TABEL KONVERSI'!$C$5),3,IF(AND(BS49&gt;='TABEL KONVERSI'!$B$6,'ENTRY DATA'!BS49&lt;='TABEL KONVERSI'!$C$6),4,"")))),"-")</f>
        <v>-</v>
      </c>
      <c r="BV49" s="38" t="str">
        <f t="shared" si="56"/>
        <v>-</v>
      </c>
      <c r="BW49" s="38" t="str">
        <f>VLOOKUP(BT49,'TABEL KONVERSI'!$A$3:$D$7,4)</f>
        <v>-</v>
      </c>
      <c r="BX49" s="38" t="str">
        <f t="shared" si="57"/>
        <v>-</v>
      </c>
      <c r="BY49" s="38" t="str">
        <f>VLOOKUP(BU49,'TABEL KONVERSI'!$A$3:$D$7,4)</f>
        <v>-</v>
      </c>
      <c r="BZ49" s="42"/>
      <c r="CA49" s="37"/>
      <c r="CB49" s="73"/>
      <c r="CC49" s="73"/>
      <c r="CD49" s="38" t="str">
        <f t="shared" si="58"/>
        <v/>
      </c>
      <c r="CE49" s="38" t="str">
        <f t="shared" si="59"/>
        <v/>
      </c>
      <c r="CF49" s="38" t="str">
        <f>IF(CD49&lt;&gt;"",IF(AND(CD49&gt;='TABEL KONVERSI'!$B$3,'ENTRY DATA'!CD49&lt;='TABEL KONVERSI'!$C$3),1,IF(AND(CD49&gt;='TABEL KONVERSI'!$B$4,'ENTRY DATA'!CD49&lt;='TABEL KONVERSI'!$C$4),2,IF(AND(CD49&gt;='TABEL KONVERSI'!$B$5,'ENTRY DATA'!CD49&lt;='TABEL KONVERSI'!$C$5),3,IF(AND(CD49&gt;='TABEL KONVERSI'!$B$6,'ENTRY DATA'!CD49&lt;='TABEL KONVERSI'!$C$6),4,"")))),"-")</f>
        <v>-</v>
      </c>
      <c r="CG49" s="38" t="str">
        <f>IF(CE49&lt;&gt;"",IF(AND(CE49&gt;='TABEL KONVERSI'!$B$3,'ENTRY DATA'!CE49&lt;='TABEL KONVERSI'!$C$3),1,IF(AND(CE49&gt;='TABEL KONVERSI'!$B$4,'ENTRY DATA'!CE49&lt;='TABEL KONVERSI'!$C$4),2,IF(AND(CE49&gt;='TABEL KONVERSI'!$B$5,'ENTRY DATA'!CE49&lt;='TABEL KONVERSI'!$C$5),3,IF(AND(CE49&gt;='TABEL KONVERSI'!$B$6,'ENTRY DATA'!CE49&lt;='TABEL KONVERSI'!$C$6),4,"")))),"-")</f>
        <v>-</v>
      </c>
      <c r="CH49" s="38" t="str">
        <f t="shared" si="60"/>
        <v>-</v>
      </c>
      <c r="CI49" s="38" t="str">
        <f>VLOOKUP(CF49,'TABEL KONVERSI'!$A$3:$D$7,4)</f>
        <v>-</v>
      </c>
      <c r="CJ49" s="38" t="str">
        <f t="shared" si="61"/>
        <v>-</v>
      </c>
      <c r="CK49" s="38" t="str">
        <f>VLOOKUP(CG49,'TABEL KONVERSI'!$A$3:$D$7,4)</f>
        <v>-</v>
      </c>
      <c r="CL49" s="42"/>
      <c r="CM49" s="37"/>
      <c r="CN49" s="73"/>
      <c r="CO49" s="73"/>
      <c r="CP49" s="38" t="str">
        <f t="shared" si="62"/>
        <v/>
      </c>
      <c r="CQ49" s="38" t="str">
        <f t="shared" si="63"/>
        <v/>
      </c>
      <c r="CR49" s="38" t="str">
        <f>IF(CP49&lt;&gt;"",IF(AND(CP49&gt;='TABEL KONVERSI'!$B$3,'ENTRY DATA'!CP49&lt;='TABEL KONVERSI'!$C$3),1,IF(AND(CP49&gt;='TABEL KONVERSI'!$B$4,'ENTRY DATA'!CP49&lt;='TABEL KONVERSI'!$C$4),2,IF(AND(CP49&gt;='TABEL KONVERSI'!$B$5,'ENTRY DATA'!CP49&lt;='TABEL KONVERSI'!$C$5),3,IF(AND(CP49&gt;='TABEL KONVERSI'!$B$6,'ENTRY DATA'!CP49&lt;='TABEL KONVERSI'!$C$6),4,"")))),"-")</f>
        <v>-</v>
      </c>
      <c r="CS49" s="38" t="str">
        <f>IF(CQ49&lt;&gt;"",IF(AND(CQ49&gt;='TABEL KONVERSI'!$B$3,'ENTRY DATA'!CQ49&lt;='TABEL KONVERSI'!$C$3),1,IF(AND(CQ49&gt;='TABEL KONVERSI'!$B$4,'ENTRY DATA'!CQ49&lt;='TABEL KONVERSI'!$C$4),2,IF(AND(CQ49&gt;='TABEL KONVERSI'!$B$5,'ENTRY DATA'!CQ49&lt;='TABEL KONVERSI'!$C$5),3,IF(AND(CQ49&gt;='TABEL KONVERSI'!$B$6,'ENTRY DATA'!CQ49&lt;='TABEL KONVERSI'!$C$6),4,"")))),"-")</f>
        <v>-</v>
      </c>
      <c r="CT49" s="38" t="str">
        <f t="shared" si="64"/>
        <v>-</v>
      </c>
      <c r="CU49" s="38" t="str">
        <f>VLOOKUP(CR49,'TABEL KONVERSI'!$A$3:$D$7,4)</f>
        <v>-</v>
      </c>
      <c r="CV49" s="38" t="str">
        <f t="shared" si="65"/>
        <v>-</v>
      </c>
      <c r="CW49" s="38" t="str">
        <f>VLOOKUP(CS49,'TABEL KONVERSI'!$A$3:$D$7,4)</f>
        <v>-</v>
      </c>
      <c r="CX49" s="42"/>
      <c r="CY49" s="37"/>
      <c r="CZ49" s="73"/>
      <c r="DA49" s="73"/>
      <c r="DB49" s="38" t="str">
        <f t="shared" si="66"/>
        <v/>
      </c>
      <c r="DC49" s="38" t="str">
        <f t="shared" si="67"/>
        <v/>
      </c>
      <c r="DD49" s="38" t="str">
        <f>IF(DB49&lt;&gt;"",IF(AND(DB49&gt;='TABEL KONVERSI'!$B$3,'ENTRY DATA'!DB49&lt;='TABEL KONVERSI'!$C$3),1,IF(AND(DB49&gt;='TABEL KONVERSI'!$B$4,'ENTRY DATA'!DB49&lt;='TABEL KONVERSI'!$C$4),2,IF(AND(DB49&gt;='TABEL KONVERSI'!$B$5,'ENTRY DATA'!DB49&lt;='TABEL KONVERSI'!$C$5),3,IF(AND(DB49&gt;='TABEL KONVERSI'!$B$6,'ENTRY DATA'!DB49&lt;='TABEL KONVERSI'!$C$6),4,"")))),"-")</f>
        <v>-</v>
      </c>
      <c r="DE49" s="38" t="str">
        <f>IF(DC49&lt;&gt;"",IF(AND(DC49&gt;='TABEL KONVERSI'!$B$3,'ENTRY DATA'!DC49&lt;='TABEL KONVERSI'!$C$3),1,IF(AND(DC49&gt;='TABEL KONVERSI'!$B$4,'ENTRY DATA'!DC49&lt;='TABEL KONVERSI'!$C$4),2,IF(AND(DC49&gt;='TABEL KONVERSI'!$B$5,'ENTRY DATA'!DC49&lt;='TABEL KONVERSI'!$C$5),3,IF(AND(DC49&gt;='TABEL KONVERSI'!$B$6,'ENTRY DATA'!DC49&lt;='TABEL KONVERSI'!$C$6),4,"")))),"-")</f>
        <v>-</v>
      </c>
      <c r="DF49" s="38" t="str">
        <f t="shared" si="68"/>
        <v>-</v>
      </c>
      <c r="DG49" s="38" t="str">
        <f>VLOOKUP(DD49,'TABEL KONVERSI'!$A$3:$D$7,4)</f>
        <v>-</v>
      </c>
      <c r="DH49" s="38" t="str">
        <f t="shared" si="69"/>
        <v>-</v>
      </c>
      <c r="DI49" s="38" t="str">
        <f>VLOOKUP(DE49,'TABEL KONVERSI'!$A$3:$D$7,4)</f>
        <v>-</v>
      </c>
      <c r="DJ49" s="42"/>
      <c r="DK49" s="37"/>
      <c r="DL49" s="73"/>
      <c r="DM49" s="73"/>
      <c r="DN49" s="38" t="str">
        <f t="shared" si="70"/>
        <v/>
      </c>
      <c r="DO49" s="38" t="str">
        <f t="shared" si="71"/>
        <v/>
      </c>
      <c r="DP49" s="38" t="str">
        <f>IF(DN49&lt;&gt;"",IF(AND(DN49&gt;='TABEL KONVERSI'!$B$3,'ENTRY DATA'!DN49&lt;='TABEL KONVERSI'!$C$3),1,IF(AND(DN49&gt;='TABEL KONVERSI'!$B$4,'ENTRY DATA'!DN49&lt;='TABEL KONVERSI'!$C$4),2,IF(AND(DN49&gt;='TABEL KONVERSI'!$B$5,'ENTRY DATA'!DN49&lt;='TABEL KONVERSI'!$C$5),3,IF(AND(DN49&gt;='TABEL KONVERSI'!$B$6,'ENTRY DATA'!DN49&lt;='TABEL KONVERSI'!$C$6),4,"")))),"-")</f>
        <v>-</v>
      </c>
      <c r="DQ49" s="38" t="str">
        <f>IF(DO49&lt;&gt;"",IF(AND(DO49&gt;='TABEL KONVERSI'!$B$3,'ENTRY DATA'!DO49&lt;='TABEL KONVERSI'!$C$3),1,IF(AND(DO49&gt;='TABEL KONVERSI'!$B$4,'ENTRY DATA'!DO49&lt;='TABEL KONVERSI'!$C$4),2,IF(AND(DO49&gt;='TABEL KONVERSI'!$B$5,'ENTRY DATA'!DO49&lt;='TABEL KONVERSI'!$C$5),3,IF(AND(DO49&gt;='TABEL KONVERSI'!$B$6,'ENTRY DATA'!DO49&lt;='TABEL KONVERSI'!$C$6),4,"")))),"-")</f>
        <v>-</v>
      </c>
      <c r="DR49" s="38" t="str">
        <f t="shared" si="72"/>
        <v>-</v>
      </c>
      <c r="DS49" s="38" t="str">
        <f>VLOOKUP(DP49,'TABEL KONVERSI'!$A$3:$D$7,4)</f>
        <v>-</v>
      </c>
      <c r="DT49" s="38" t="str">
        <f t="shared" si="73"/>
        <v>-</v>
      </c>
      <c r="DU49" s="38" t="str">
        <f>VLOOKUP(DQ49,'TABEL KONVERSI'!$A$3:$D$7,4)</f>
        <v>-</v>
      </c>
      <c r="DV49" s="42"/>
      <c r="DW49" s="37"/>
      <c r="DX49" s="73"/>
      <c r="DY49" s="73"/>
      <c r="DZ49" s="38" t="str">
        <f t="shared" si="74"/>
        <v/>
      </c>
      <c r="EA49" s="38" t="str">
        <f t="shared" si="75"/>
        <v/>
      </c>
      <c r="EB49" s="38" t="str">
        <f>IF(DZ49&lt;&gt;"",IF(AND(DZ49&gt;='TABEL KONVERSI'!$B$3,'ENTRY DATA'!DZ49&lt;='TABEL KONVERSI'!$C$3),1,IF(AND(DZ49&gt;='TABEL KONVERSI'!$B$4,'ENTRY DATA'!DZ49&lt;='TABEL KONVERSI'!$C$4),2,IF(AND(DZ49&gt;='TABEL KONVERSI'!$B$5,'ENTRY DATA'!DZ49&lt;='TABEL KONVERSI'!$C$5),3,IF(AND(DZ49&gt;='TABEL KONVERSI'!$B$6,'ENTRY DATA'!DZ49&lt;='TABEL KONVERSI'!$C$6),4,"")))),"-")</f>
        <v>-</v>
      </c>
      <c r="EC49" s="38" t="str">
        <f>IF(EA49&lt;&gt;"",IF(AND(EA49&gt;='TABEL KONVERSI'!$B$3,'ENTRY DATA'!EA49&lt;='TABEL KONVERSI'!$C$3),1,IF(AND(EA49&gt;='TABEL KONVERSI'!$B$4,'ENTRY DATA'!EA49&lt;='TABEL KONVERSI'!$C$4),2,IF(AND(EA49&gt;='TABEL KONVERSI'!$B$5,'ENTRY DATA'!EA49&lt;='TABEL KONVERSI'!$C$5),3,IF(AND(EA49&gt;='TABEL KONVERSI'!$B$6,'ENTRY DATA'!EA49&lt;='TABEL KONVERSI'!$C$6),4,"")))),"-")</f>
        <v>-</v>
      </c>
      <c r="ED49" s="38" t="str">
        <f t="shared" si="76"/>
        <v>-</v>
      </c>
      <c r="EE49" s="38" t="str">
        <f>VLOOKUP(EB49,'TABEL KONVERSI'!$A$3:$D$7,4)</f>
        <v>-</v>
      </c>
      <c r="EF49" s="38" t="str">
        <f t="shared" si="77"/>
        <v>-</v>
      </c>
      <c r="EG49" s="38" t="str">
        <f>VLOOKUP(EC49,'TABEL KONVERSI'!$A$3:$D$7,4)</f>
        <v>-</v>
      </c>
      <c r="EH49" s="42"/>
      <c r="EI49" s="37"/>
      <c r="EJ49" s="73"/>
      <c r="EK49" s="73"/>
      <c r="EL49" s="38" t="str">
        <f t="shared" si="78"/>
        <v/>
      </c>
      <c r="EM49" s="38" t="str">
        <f t="shared" si="79"/>
        <v/>
      </c>
      <c r="EN49" s="38" t="str">
        <f>IF(EL49&lt;&gt;"",IF(AND(EL49&gt;='TABEL KONVERSI'!$B$3,'ENTRY DATA'!EL49&lt;='TABEL KONVERSI'!$C$3),1,IF(AND(EL49&gt;='TABEL KONVERSI'!$B$4,'ENTRY DATA'!EL49&lt;='TABEL KONVERSI'!$C$4),2,IF(AND(EL49&gt;='TABEL KONVERSI'!$B$5,'ENTRY DATA'!EL49&lt;='TABEL KONVERSI'!$C$5),3,IF(AND(EL49&gt;='TABEL KONVERSI'!$B$6,'ENTRY DATA'!EL49&lt;='TABEL KONVERSI'!$C$6),4,"")))),"-")</f>
        <v>-</v>
      </c>
      <c r="EO49" s="38" t="str">
        <f>IF(EM49&lt;&gt;"",IF(AND(EM49&gt;='TABEL KONVERSI'!$B$3,'ENTRY DATA'!EM49&lt;='TABEL KONVERSI'!$C$3),1,IF(AND(EM49&gt;='TABEL KONVERSI'!$B$4,'ENTRY DATA'!EM49&lt;='TABEL KONVERSI'!$C$4),2,IF(AND(EM49&gt;='TABEL KONVERSI'!$B$5,'ENTRY DATA'!EM49&lt;='TABEL KONVERSI'!$C$5),3,IF(AND(EM49&gt;='TABEL KONVERSI'!$B$6,'ENTRY DATA'!EM49&lt;='TABEL KONVERSI'!$C$6),4,"")))),"-")</f>
        <v>-</v>
      </c>
      <c r="EP49" s="38" t="str">
        <f t="shared" si="80"/>
        <v>-</v>
      </c>
      <c r="EQ49" s="38" t="str">
        <f>VLOOKUP(EN49,'TABEL KONVERSI'!$A$3:$D$7,4)</f>
        <v>-</v>
      </c>
      <c r="ER49" s="38" t="str">
        <f t="shared" si="81"/>
        <v>-</v>
      </c>
      <c r="ES49" s="38" t="str">
        <f>VLOOKUP(EO49,'TABEL KONVERSI'!$A$3:$D$7,4)</f>
        <v>-</v>
      </c>
      <c r="ET49" s="42"/>
      <c r="EU49" s="37"/>
      <c r="EV49" s="73"/>
      <c r="EW49" s="73"/>
      <c r="EX49" s="38" t="str">
        <f t="shared" si="82"/>
        <v/>
      </c>
      <c r="EY49" s="38" t="str">
        <f t="shared" si="83"/>
        <v/>
      </c>
      <c r="EZ49" s="38" t="str">
        <f>IF(EX49&lt;&gt;"",IF(AND(EX49&gt;='TABEL KONVERSI'!$B$3,'ENTRY DATA'!EX49&lt;='TABEL KONVERSI'!$C$3),1,IF(AND(EX49&gt;='TABEL KONVERSI'!$B$4,'ENTRY DATA'!EX49&lt;='TABEL KONVERSI'!$C$4),2,IF(AND(EX49&gt;='TABEL KONVERSI'!$B$5,'ENTRY DATA'!EX49&lt;='TABEL KONVERSI'!$C$5),3,IF(AND(EX49&gt;='TABEL KONVERSI'!$B$6,'ENTRY DATA'!EX49&lt;='TABEL KONVERSI'!$C$6),4,"")))),"-")</f>
        <v>-</v>
      </c>
      <c r="FA49" s="38" t="str">
        <f>IF(EY49&lt;&gt;"",IF(AND(EY49&gt;='TABEL KONVERSI'!$B$3,'ENTRY DATA'!EY49&lt;='TABEL KONVERSI'!$C$3),1,IF(AND(EY49&gt;='TABEL KONVERSI'!$B$4,'ENTRY DATA'!EY49&lt;='TABEL KONVERSI'!$C$4),2,IF(AND(EY49&gt;='TABEL KONVERSI'!$B$5,'ENTRY DATA'!EY49&lt;='TABEL KONVERSI'!$C$5),3,IF(AND(EY49&gt;='TABEL KONVERSI'!$B$6,'ENTRY DATA'!EY49&lt;='TABEL KONVERSI'!$C$6),4,"")))),"-")</f>
        <v>-</v>
      </c>
      <c r="FB49" s="38" t="str">
        <f t="shared" si="84"/>
        <v>-</v>
      </c>
      <c r="FC49" s="38" t="str">
        <f>VLOOKUP(EZ49,'TABEL KONVERSI'!$A$3:$D$7,4)</f>
        <v>-</v>
      </c>
      <c r="FD49" s="38" t="str">
        <f t="shared" si="85"/>
        <v>-</v>
      </c>
      <c r="FE49" s="38" t="str">
        <f>VLOOKUP(FA49,'TABEL KONVERSI'!$A$3:$D$7,4)</f>
        <v>-</v>
      </c>
      <c r="FF49" s="42"/>
      <c r="FG49" s="37"/>
      <c r="FH49" s="73"/>
      <c r="FI49" s="73"/>
      <c r="FJ49" s="38" t="str">
        <f t="shared" si="86"/>
        <v/>
      </c>
      <c r="FK49" s="38" t="str">
        <f t="shared" si="87"/>
        <v/>
      </c>
      <c r="FL49" s="38" t="str">
        <f>IF(FJ49&lt;&gt;"",IF(AND(FJ49&gt;='TABEL KONVERSI'!$B$3,'ENTRY DATA'!FJ49&lt;='TABEL KONVERSI'!$C$3),1,IF(AND(FJ49&gt;='TABEL KONVERSI'!$B$4,'ENTRY DATA'!FJ49&lt;='TABEL KONVERSI'!$C$4),2,IF(AND(FJ49&gt;='TABEL KONVERSI'!$B$5,'ENTRY DATA'!FJ49&lt;='TABEL KONVERSI'!$C$5),3,IF(AND(FJ49&gt;='TABEL KONVERSI'!$B$6,'ENTRY DATA'!FJ49&lt;='TABEL KONVERSI'!$C$6),4,"")))),"-")</f>
        <v>-</v>
      </c>
      <c r="FM49" s="38" t="str">
        <f>IF(FK49&lt;&gt;"",IF(AND(FK49&gt;='TABEL KONVERSI'!$B$3,'ENTRY DATA'!FK49&lt;='TABEL KONVERSI'!$C$3),1,IF(AND(FK49&gt;='TABEL KONVERSI'!$B$4,'ENTRY DATA'!FK49&lt;='TABEL KONVERSI'!$C$4),2,IF(AND(FK49&gt;='TABEL KONVERSI'!$B$5,'ENTRY DATA'!FK49&lt;='TABEL KONVERSI'!$C$5),3,IF(AND(FK49&gt;='TABEL KONVERSI'!$B$6,'ENTRY DATA'!FK49&lt;='TABEL KONVERSI'!$C$6),4,"")))),"-")</f>
        <v>-</v>
      </c>
      <c r="FN49" s="38" t="str">
        <f t="shared" si="88"/>
        <v>-</v>
      </c>
      <c r="FO49" s="38" t="str">
        <f>VLOOKUP(FL49,'TABEL KONVERSI'!$A$3:$D$7,4)</f>
        <v>-</v>
      </c>
      <c r="FP49" s="38" t="str">
        <f t="shared" si="89"/>
        <v>-</v>
      </c>
      <c r="FQ49" s="38" t="str">
        <f>VLOOKUP(FM49,'TABEL KONVERSI'!$A$3:$D$7,4)</f>
        <v>-</v>
      </c>
      <c r="FR49" s="42"/>
      <c r="FS49" s="37"/>
      <c r="FT49" s="73"/>
      <c r="FU49" s="73"/>
      <c r="FV49" s="38" t="str">
        <f t="shared" si="90"/>
        <v/>
      </c>
      <c r="FW49" s="38" t="str">
        <f t="shared" si="91"/>
        <v/>
      </c>
      <c r="FX49" s="38" t="str">
        <f>IF(FV49&lt;&gt;"",IF(AND(FV49&gt;='TABEL KONVERSI'!$B$3,'ENTRY DATA'!FV49&lt;='TABEL KONVERSI'!$C$3),1,IF(AND(FV49&gt;='TABEL KONVERSI'!$B$4,'ENTRY DATA'!FV49&lt;='TABEL KONVERSI'!$C$4),2,IF(AND(FV49&gt;='TABEL KONVERSI'!$B$5,'ENTRY DATA'!FV49&lt;='TABEL KONVERSI'!$C$5),3,IF(AND(FV49&gt;='TABEL KONVERSI'!$B$6,'ENTRY DATA'!FV49&lt;='TABEL KONVERSI'!$C$6),4,"")))),"-")</f>
        <v>-</v>
      </c>
      <c r="FY49" s="38" t="str">
        <f>IF(FW49&lt;&gt;"",IF(AND(FW49&gt;='TABEL KONVERSI'!$B$3,'ENTRY DATA'!FW49&lt;='TABEL KONVERSI'!$C$3),1,IF(AND(FW49&gt;='TABEL KONVERSI'!$B$4,'ENTRY DATA'!FW49&lt;='TABEL KONVERSI'!$C$4),2,IF(AND(FW49&gt;='TABEL KONVERSI'!$B$5,'ENTRY DATA'!FW49&lt;='TABEL KONVERSI'!$C$5),3,IF(AND(FW49&gt;='TABEL KONVERSI'!$B$6,'ENTRY DATA'!FW49&lt;='TABEL KONVERSI'!$C$6),4,"")))),"-")</f>
        <v>-</v>
      </c>
      <c r="FZ49" s="38" t="str">
        <f t="shared" si="92"/>
        <v>-</v>
      </c>
      <c r="GA49" s="38" t="str">
        <f>VLOOKUP(FX49,'TABEL KONVERSI'!$A$3:$D$7,4)</f>
        <v>-</v>
      </c>
      <c r="GB49" s="38" t="str">
        <f t="shared" si="93"/>
        <v>-</v>
      </c>
      <c r="GC49" s="38" t="str">
        <f>VLOOKUP(FY49,'TABEL KONVERSI'!$A$3:$D$7,4)</f>
        <v>-</v>
      </c>
      <c r="GD49" s="42"/>
      <c r="GE49" s="37"/>
      <c r="GF49" s="73"/>
      <c r="GG49" s="73"/>
      <c r="GH49" s="38" t="str">
        <f t="shared" si="94"/>
        <v/>
      </c>
      <c r="GI49" s="38" t="str">
        <f t="shared" si="95"/>
        <v/>
      </c>
      <c r="GJ49" s="38" t="str">
        <f>IF(GH49&lt;&gt;"",IF(AND(GH49&gt;='TABEL KONVERSI'!$B$3,'ENTRY DATA'!GH49&lt;='TABEL KONVERSI'!$C$3),1,IF(AND(GH49&gt;='TABEL KONVERSI'!$B$4,'ENTRY DATA'!GH49&lt;='TABEL KONVERSI'!$C$4),2,IF(AND(GH49&gt;='TABEL KONVERSI'!$B$5,'ENTRY DATA'!GH49&lt;='TABEL KONVERSI'!$C$5),3,IF(AND(GH49&gt;='TABEL KONVERSI'!$B$6,'ENTRY DATA'!GH49&lt;='TABEL KONVERSI'!$C$6),4,"")))),"-")</f>
        <v>-</v>
      </c>
      <c r="GK49" s="38" t="str">
        <f>IF(GI49&lt;&gt;"",IF(AND(GI49&gt;='TABEL KONVERSI'!$B$3,'ENTRY DATA'!GI49&lt;='TABEL KONVERSI'!$C$3),1,IF(AND(GI49&gt;='TABEL KONVERSI'!$B$4,'ENTRY DATA'!GI49&lt;='TABEL KONVERSI'!$C$4),2,IF(AND(GI49&gt;='TABEL KONVERSI'!$B$5,'ENTRY DATA'!GI49&lt;='TABEL KONVERSI'!$C$5),3,IF(AND(GI49&gt;='TABEL KONVERSI'!$B$6,'ENTRY DATA'!GI49&lt;='TABEL KONVERSI'!$C$6),4,"")))),"-")</f>
        <v>-</v>
      </c>
      <c r="GL49" s="38" t="str">
        <f t="shared" si="96"/>
        <v>-</v>
      </c>
      <c r="GM49" s="38" t="str">
        <f>VLOOKUP(GJ49,'TABEL KONVERSI'!$A$3:$D$7,4)</f>
        <v>-</v>
      </c>
      <c r="GN49" s="38" t="str">
        <f t="shared" si="97"/>
        <v>-</v>
      </c>
      <c r="GO49" s="38" t="str">
        <f>VLOOKUP(GK49,'TABEL KONVERSI'!$A$3:$D$7,4)</f>
        <v>-</v>
      </c>
      <c r="GP49" s="43">
        <f t="shared" si="108"/>
        <v>0</v>
      </c>
      <c r="GQ49" s="43">
        <f t="shared" si="109"/>
        <v>0</v>
      </c>
      <c r="GR49" s="43">
        <f t="shared" si="110"/>
        <v>0</v>
      </c>
      <c r="GS49" s="43">
        <f t="shared" si="111"/>
        <v>0</v>
      </c>
      <c r="GT49" s="43">
        <f t="shared" si="112"/>
        <v>0</v>
      </c>
      <c r="GU49" s="43">
        <f t="shared" si="113"/>
        <v>0</v>
      </c>
      <c r="GV49" s="43">
        <f t="shared" si="114"/>
        <v>0</v>
      </c>
      <c r="GW49" s="43">
        <f t="shared" si="115"/>
        <v>0</v>
      </c>
      <c r="GX49" s="43">
        <f t="shared" si="116"/>
        <v>0</v>
      </c>
      <c r="GY49" s="43">
        <f t="shared" si="117"/>
        <v>0</v>
      </c>
      <c r="GZ49" s="43">
        <f t="shared" si="118"/>
        <v>0</v>
      </c>
      <c r="HA49" s="43">
        <f t="shared" si="119"/>
        <v>0</v>
      </c>
      <c r="HB49" s="43">
        <f t="shared" si="120"/>
        <v>0</v>
      </c>
      <c r="HC49" s="43">
        <f t="shared" si="121"/>
        <v>0</v>
      </c>
      <c r="HD49" s="43">
        <f t="shared" si="122"/>
        <v>0</v>
      </c>
      <c r="HE49" s="43">
        <f t="shared" si="123"/>
        <v>0</v>
      </c>
      <c r="HF49" s="38">
        <f t="shared" si="98"/>
        <v>0</v>
      </c>
      <c r="HG49" s="38">
        <f t="shared" si="99"/>
        <v>0</v>
      </c>
      <c r="HH49" s="38">
        <f t="shared" si="100"/>
        <v>0</v>
      </c>
      <c r="HI49" s="39">
        <f t="shared" si="101"/>
        <v>0</v>
      </c>
      <c r="HJ49" s="44" t="str">
        <f t="shared" si="102"/>
        <v>-</v>
      </c>
      <c r="HK49" s="45" t="str">
        <f>VLOOKUP(HJ49,'TABEL KONVERSI'!$B$11:$D$15,2,0)</f>
        <v>-</v>
      </c>
      <c r="HL49" s="43">
        <f t="shared" si="124"/>
        <v>0</v>
      </c>
      <c r="HM49" s="43">
        <f t="shared" si="125"/>
        <v>0</v>
      </c>
      <c r="HN49" s="43">
        <f t="shared" si="126"/>
        <v>0</v>
      </c>
      <c r="HO49" s="43">
        <f t="shared" si="127"/>
        <v>0</v>
      </c>
      <c r="HP49" s="43">
        <f t="shared" si="128"/>
        <v>0</v>
      </c>
      <c r="HQ49" s="43">
        <f t="shared" si="129"/>
        <v>0</v>
      </c>
      <c r="HR49" s="43">
        <f t="shared" si="130"/>
        <v>0</v>
      </c>
      <c r="HS49" s="43">
        <f t="shared" si="131"/>
        <v>0</v>
      </c>
      <c r="HT49" s="43">
        <f t="shared" si="132"/>
        <v>0</v>
      </c>
      <c r="HU49" s="43">
        <f t="shared" si="133"/>
        <v>0</v>
      </c>
      <c r="HV49" s="43">
        <f t="shared" si="134"/>
        <v>0</v>
      </c>
      <c r="HW49" s="43">
        <f t="shared" si="135"/>
        <v>0</v>
      </c>
      <c r="HX49" s="43">
        <f t="shared" si="136"/>
        <v>0</v>
      </c>
      <c r="HY49" s="43">
        <f t="shared" si="137"/>
        <v>0</v>
      </c>
      <c r="HZ49" s="43">
        <f t="shared" si="138"/>
        <v>0</v>
      </c>
      <c r="IA49" s="43">
        <f t="shared" si="139"/>
        <v>0</v>
      </c>
      <c r="IB49" s="38">
        <f t="shared" si="103"/>
        <v>0</v>
      </c>
      <c r="IC49" s="38">
        <f t="shared" si="104"/>
        <v>0</v>
      </c>
      <c r="ID49" s="38">
        <f t="shared" si="105"/>
        <v>0</v>
      </c>
      <c r="IE49" s="38">
        <f t="shared" si="106"/>
        <v>0</v>
      </c>
      <c r="IF49" s="46" t="str">
        <f t="shared" si="107"/>
        <v>-</v>
      </c>
      <c r="IG49" s="45" t="str">
        <f>VLOOKUP(IF49,'TABEL KONVERSI'!$B$11:$D$15,3,0)</f>
        <v>-</v>
      </c>
      <c r="IH49" s="40" t="s">
        <v>223</v>
      </c>
      <c r="II49" s="41" t="s">
        <v>106</v>
      </c>
      <c r="IJ49" s="45" t="str">
        <f>IF(II49&lt;&gt;"",VLOOKUP(II49,'TABEL KONVERSI'!$A$19:$B$23,2,0),"")</f>
        <v>Aktif dalam mengikuti kegiatan</v>
      </c>
      <c r="IK49" s="47" t="s">
        <v>58</v>
      </c>
      <c r="IL49" s="50" t="s">
        <v>58</v>
      </c>
      <c r="IM49" s="45" t="str">
        <f>IF(IL49&lt;&gt;"",VLOOKUP(IL49,'TABEL KONVERSI'!$A$19:$B$23,2,0),"")</f>
        <v>-</v>
      </c>
      <c r="IN49" s="49" t="s">
        <v>58</v>
      </c>
      <c r="IO49" s="48" t="s">
        <v>58</v>
      </c>
      <c r="IP49" s="45" t="str">
        <f>IF(IO49&lt;&gt;"",VLOOKUP(IO49,'TABEL KONVERSI'!$A$19:$B$23,2,0),"")</f>
        <v>-</v>
      </c>
      <c r="IQ49" s="49" t="s">
        <v>58</v>
      </c>
      <c r="IR49" s="50" t="s">
        <v>58</v>
      </c>
      <c r="IS49" s="45" t="str">
        <f>IF(IR49&lt;&gt;"",VLOOKUP(IR49,'TABEL KONVERSI'!$A$19:$B$23,2,0),"")</f>
        <v>-</v>
      </c>
      <c r="IT49" s="49" t="s">
        <v>58</v>
      </c>
      <c r="IU49" s="50" t="s">
        <v>58</v>
      </c>
      <c r="IV49" s="45" t="str">
        <f>IF(IU49&lt;&gt;"",VLOOKUP(IU49,'TABEL KONVERSI'!$A$19:$B$23,2,0),"")</f>
        <v>-</v>
      </c>
      <c r="IW49" s="48" t="s">
        <v>58</v>
      </c>
      <c r="IX49" s="48" t="s">
        <v>58</v>
      </c>
      <c r="IY49" s="48" t="s">
        <v>58</v>
      </c>
      <c r="IZ49" s="47" t="s">
        <v>58</v>
      </c>
      <c r="JA49" s="45">
        <f t="shared" si="140"/>
        <v>0</v>
      </c>
      <c r="JB49" s="45">
        <f t="shared" ref="JB49:JB61" si="141">RANK(JA49,$JA$13:$JA$62,0)</f>
        <v>1</v>
      </c>
    </row>
    <row r="50" spans="1:262" x14ac:dyDescent="0.25">
      <c r="A50" s="33">
        <v>38</v>
      </c>
      <c r="B50" s="53"/>
      <c r="C50" s="53"/>
      <c r="D50" s="54"/>
      <c r="E50" s="55"/>
      <c r="F50" s="42"/>
      <c r="G50" s="37"/>
      <c r="H50" s="73"/>
      <c r="I50" s="73"/>
      <c r="J50" s="38" t="str">
        <f t="shared" si="34"/>
        <v/>
      </c>
      <c r="K50" s="38" t="str">
        <f t="shared" si="35"/>
        <v/>
      </c>
      <c r="L50" s="38" t="str">
        <f>IF(J50&lt;&gt;"",IF(AND(J50&gt;='TABEL KONVERSI'!$B$3,'ENTRY DATA'!J50&lt;='TABEL KONVERSI'!$C$3),1,IF(AND(J50&gt;='TABEL KONVERSI'!$B$4,'ENTRY DATA'!J50&lt;='TABEL KONVERSI'!$C$4),2,IF(AND(J50&gt;='TABEL KONVERSI'!$B$5,'ENTRY DATA'!J50&lt;='TABEL KONVERSI'!$C$5),3,IF(AND(J50&gt;='TABEL KONVERSI'!$B$6,'ENTRY DATA'!J50&lt;='TABEL KONVERSI'!$C$6),4,"")))),"-")</f>
        <v>-</v>
      </c>
      <c r="M50" s="38" t="str">
        <f>IF(K50&lt;&gt;"",IF(AND(K50&gt;='TABEL KONVERSI'!$B$3,'ENTRY DATA'!K50&lt;='TABEL KONVERSI'!$C$3),1,IF(AND(K50&gt;='TABEL KONVERSI'!$B$4,'ENTRY DATA'!K50&lt;='TABEL KONVERSI'!$C$4),2,IF(AND(K50&gt;='TABEL KONVERSI'!$B$5,'ENTRY DATA'!K50&lt;='TABEL KONVERSI'!$C$5),3,IF(AND(K50&gt;='TABEL KONVERSI'!$B$6,'ENTRY DATA'!K50&lt;='TABEL KONVERSI'!$C$6),4,"")))),"-")</f>
        <v>-</v>
      </c>
      <c r="N50" s="38" t="str">
        <f t="shared" si="36"/>
        <v>-</v>
      </c>
      <c r="O50" s="38" t="str">
        <f>VLOOKUP(L50,'TABEL KONVERSI'!$A$3:$D$7,4)</f>
        <v>-</v>
      </c>
      <c r="P50" s="38" t="str">
        <f t="shared" si="37"/>
        <v>-</v>
      </c>
      <c r="Q50" s="38" t="str">
        <f>VLOOKUP(M50,'TABEL KONVERSI'!$A$3:$D$7,4)</f>
        <v>-</v>
      </c>
      <c r="R50" s="42"/>
      <c r="S50" s="37"/>
      <c r="T50" s="73"/>
      <c r="U50" s="73"/>
      <c r="V50" s="38" t="str">
        <f t="shared" si="38"/>
        <v/>
      </c>
      <c r="W50" s="38" t="str">
        <f t="shared" si="39"/>
        <v/>
      </c>
      <c r="X50" s="38" t="str">
        <f>IF(V50&lt;&gt;"",IF(AND(V50&gt;='TABEL KONVERSI'!$B$3,'ENTRY DATA'!V50&lt;='TABEL KONVERSI'!$C$3),1,IF(AND(V50&gt;='TABEL KONVERSI'!$B$4,'ENTRY DATA'!V50&lt;='TABEL KONVERSI'!$C$4),2,IF(AND(V50&gt;='TABEL KONVERSI'!$B$5,'ENTRY DATA'!V50&lt;='TABEL KONVERSI'!$C$5),3,IF(AND(V50&gt;='TABEL KONVERSI'!$B$6,'ENTRY DATA'!V50&lt;='TABEL KONVERSI'!$C$6),4,"")))),"-")</f>
        <v>-</v>
      </c>
      <c r="Y50" s="38" t="str">
        <f>IF(W50&lt;&gt;"",IF(AND(W50&gt;='TABEL KONVERSI'!$B$3,'ENTRY DATA'!W50&lt;='TABEL KONVERSI'!$C$3),1,IF(AND(W50&gt;='TABEL KONVERSI'!$B$4,'ENTRY DATA'!W50&lt;='TABEL KONVERSI'!$C$4),2,IF(AND(W50&gt;='TABEL KONVERSI'!$B$5,'ENTRY DATA'!W50&lt;='TABEL KONVERSI'!$C$5),3,IF(AND(W50&gt;='TABEL KONVERSI'!$B$6,'ENTRY DATA'!W50&lt;='TABEL KONVERSI'!$C$6),4,"")))),"-")</f>
        <v>-</v>
      </c>
      <c r="Z50" s="38" t="str">
        <f t="shared" si="40"/>
        <v>-</v>
      </c>
      <c r="AA50" s="38" t="str">
        <f>VLOOKUP(X50,'TABEL KONVERSI'!$A$3:$D$7,4)</f>
        <v>-</v>
      </c>
      <c r="AB50" s="38" t="str">
        <f t="shared" si="41"/>
        <v>-</v>
      </c>
      <c r="AC50" s="38" t="str">
        <f>VLOOKUP(Y50,'TABEL KONVERSI'!$A$3:$D$7,4)</f>
        <v>-</v>
      </c>
      <c r="AD50" s="42"/>
      <c r="AE50" s="37"/>
      <c r="AF50" s="73"/>
      <c r="AG50" s="73"/>
      <c r="AH50" s="38" t="str">
        <f t="shared" si="42"/>
        <v/>
      </c>
      <c r="AI50" s="38" t="str">
        <f t="shared" si="43"/>
        <v/>
      </c>
      <c r="AJ50" s="38" t="str">
        <f>IF(AH50&lt;&gt;"",IF(AND(AH50&gt;='TABEL KONVERSI'!$B$3,'ENTRY DATA'!AH50&lt;='TABEL KONVERSI'!$C$3),1,IF(AND(AH50&gt;='TABEL KONVERSI'!$B$4,'ENTRY DATA'!AH50&lt;='TABEL KONVERSI'!$C$4),2,IF(AND(AH50&gt;='TABEL KONVERSI'!$B$5,'ENTRY DATA'!AH50&lt;='TABEL KONVERSI'!$C$5),3,IF(AND(AH50&gt;='TABEL KONVERSI'!$B$6,'ENTRY DATA'!AH50&lt;='TABEL KONVERSI'!$C$6),4,"")))),"-")</f>
        <v>-</v>
      </c>
      <c r="AK50" s="38" t="str">
        <f>IF(AI50&lt;&gt;"",IF(AND(AI50&gt;='TABEL KONVERSI'!$B$3,'ENTRY DATA'!AI50&lt;='TABEL KONVERSI'!$C$3),1,IF(AND(AI50&gt;='TABEL KONVERSI'!$B$4,'ENTRY DATA'!AI50&lt;='TABEL KONVERSI'!$C$4),2,IF(AND(AI50&gt;='TABEL KONVERSI'!$B$5,'ENTRY DATA'!AI50&lt;='TABEL KONVERSI'!$C$5),3,IF(AND(AI50&gt;='TABEL KONVERSI'!$B$6,'ENTRY DATA'!AI50&lt;='TABEL KONVERSI'!$C$6),4,"")))),"-")</f>
        <v>-</v>
      </c>
      <c r="AL50" s="38" t="str">
        <f t="shared" si="44"/>
        <v>-</v>
      </c>
      <c r="AM50" s="38" t="str">
        <f>VLOOKUP(AJ50,'TABEL KONVERSI'!$A$3:$D$7,4)</f>
        <v>-</v>
      </c>
      <c r="AN50" s="38" t="str">
        <f t="shared" si="45"/>
        <v>-</v>
      </c>
      <c r="AO50" s="38" t="str">
        <f>VLOOKUP(AK50,'TABEL KONVERSI'!$A$3:$D$7,4)</f>
        <v>-</v>
      </c>
      <c r="AP50" s="42"/>
      <c r="AQ50" s="37"/>
      <c r="AR50" s="73"/>
      <c r="AS50" s="73"/>
      <c r="AT50" s="38" t="str">
        <f t="shared" si="46"/>
        <v/>
      </c>
      <c r="AU50" s="38" t="str">
        <f t="shared" si="47"/>
        <v/>
      </c>
      <c r="AV50" s="38" t="str">
        <f>IF(AT50&lt;&gt;"",IF(AND(AT50&gt;='TABEL KONVERSI'!$B$3,'ENTRY DATA'!AT50&lt;='TABEL KONVERSI'!$C$3),1,IF(AND(AT50&gt;='TABEL KONVERSI'!$B$4,'ENTRY DATA'!AT50&lt;='TABEL KONVERSI'!$C$4),2,IF(AND(AT50&gt;='TABEL KONVERSI'!$B$5,'ENTRY DATA'!AT50&lt;='TABEL KONVERSI'!$C$5),3,IF(AND(AT50&gt;='TABEL KONVERSI'!$B$6,'ENTRY DATA'!AT50&lt;='TABEL KONVERSI'!$C$6),4,"")))),"-")</f>
        <v>-</v>
      </c>
      <c r="AW50" s="38" t="str">
        <f>IF(AU50&lt;&gt;"",IF(AND(AU50&gt;='TABEL KONVERSI'!$B$3,'ENTRY DATA'!AU50&lt;='TABEL KONVERSI'!$C$3),1,IF(AND(AU50&gt;='TABEL KONVERSI'!$B$4,'ENTRY DATA'!AU50&lt;='TABEL KONVERSI'!$C$4),2,IF(AND(AU50&gt;='TABEL KONVERSI'!$B$5,'ENTRY DATA'!AU50&lt;='TABEL KONVERSI'!$C$5),3,IF(AND(AU50&gt;='TABEL KONVERSI'!$B$6,'ENTRY DATA'!AU50&lt;='TABEL KONVERSI'!$C$6),4,"")))),"-")</f>
        <v>-</v>
      </c>
      <c r="AX50" s="38" t="str">
        <f t="shared" si="48"/>
        <v>-</v>
      </c>
      <c r="AY50" s="38" t="str">
        <f>VLOOKUP(AV50,'TABEL KONVERSI'!$A$3:$D$7,4)</f>
        <v>-</v>
      </c>
      <c r="AZ50" s="38" t="str">
        <f t="shared" si="49"/>
        <v>-</v>
      </c>
      <c r="BA50" s="38" t="str">
        <f>VLOOKUP(AW50,'TABEL KONVERSI'!$A$3:$D$7,4)</f>
        <v>-</v>
      </c>
      <c r="BB50" s="42"/>
      <c r="BC50" s="37"/>
      <c r="BD50" s="73"/>
      <c r="BE50" s="73"/>
      <c r="BF50" s="38" t="str">
        <f t="shared" si="50"/>
        <v/>
      </c>
      <c r="BG50" s="38" t="str">
        <f t="shared" si="51"/>
        <v/>
      </c>
      <c r="BH50" s="38" t="str">
        <f>IF(BF50&lt;&gt;"",IF(AND(BF50&gt;='TABEL KONVERSI'!$B$3,'ENTRY DATA'!BF50&lt;='TABEL KONVERSI'!$C$3),1,IF(AND(BF50&gt;='TABEL KONVERSI'!$B$4,'ENTRY DATA'!BF50&lt;='TABEL KONVERSI'!$C$4),2,IF(AND(BF50&gt;='TABEL KONVERSI'!$B$5,'ENTRY DATA'!BF50&lt;='TABEL KONVERSI'!$C$5),3,IF(AND(BF50&gt;='TABEL KONVERSI'!$B$6,'ENTRY DATA'!BF50&lt;='TABEL KONVERSI'!$C$6),4,"")))),"-")</f>
        <v>-</v>
      </c>
      <c r="BI50" s="38" t="str">
        <f>IF(BG50&lt;&gt;"",IF(AND(BG50&gt;='TABEL KONVERSI'!$B$3,'ENTRY DATA'!BG50&lt;='TABEL KONVERSI'!$C$3),1,IF(AND(BG50&gt;='TABEL KONVERSI'!$B$4,'ENTRY DATA'!BG50&lt;='TABEL KONVERSI'!$C$4),2,IF(AND(BG50&gt;='TABEL KONVERSI'!$B$5,'ENTRY DATA'!BG50&lt;='TABEL KONVERSI'!$C$5),3,IF(AND(BG50&gt;='TABEL KONVERSI'!$B$6,'ENTRY DATA'!BG50&lt;='TABEL KONVERSI'!$C$6),4,"")))),"-")</f>
        <v>-</v>
      </c>
      <c r="BJ50" s="38" t="str">
        <f t="shared" si="52"/>
        <v>-</v>
      </c>
      <c r="BK50" s="38" t="str">
        <f>VLOOKUP(BH50,'TABEL KONVERSI'!$A$3:$D$7,4)</f>
        <v>-</v>
      </c>
      <c r="BL50" s="38" t="str">
        <f t="shared" si="53"/>
        <v>-</v>
      </c>
      <c r="BM50" s="38" t="str">
        <f>VLOOKUP(BI50,'TABEL KONVERSI'!$A$3:$D$7,4)</f>
        <v>-</v>
      </c>
      <c r="BN50" s="42"/>
      <c r="BO50" s="37"/>
      <c r="BP50" s="73"/>
      <c r="BQ50" s="73"/>
      <c r="BR50" s="38" t="str">
        <f t="shared" si="54"/>
        <v/>
      </c>
      <c r="BS50" s="38" t="str">
        <f t="shared" si="55"/>
        <v/>
      </c>
      <c r="BT50" s="38" t="str">
        <f>IF(BR50&lt;&gt;"",IF(AND(BR50&gt;='TABEL KONVERSI'!$B$3,'ENTRY DATA'!BR50&lt;='TABEL KONVERSI'!$C$3),1,IF(AND(BR50&gt;='TABEL KONVERSI'!$B$4,'ENTRY DATA'!BR50&lt;='TABEL KONVERSI'!$C$4),2,IF(AND(BR50&gt;='TABEL KONVERSI'!$B$5,'ENTRY DATA'!BR50&lt;='TABEL KONVERSI'!$C$5),3,IF(AND(BR50&gt;='TABEL KONVERSI'!$B$6,'ENTRY DATA'!BR50&lt;='TABEL KONVERSI'!$C$6),4,"")))),"-")</f>
        <v>-</v>
      </c>
      <c r="BU50" s="38" t="str">
        <f>IF(BS50&lt;&gt;"",IF(AND(BS50&gt;='TABEL KONVERSI'!$B$3,'ENTRY DATA'!BS50&lt;='TABEL KONVERSI'!$C$3),1,IF(AND(BS50&gt;='TABEL KONVERSI'!$B$4,'ENTRY DATA'!BS50&lt;='TABEL KONVERSI'!$C$4),2,IF(AND(BS50&gt;='TABEL KONVERSI'!$B$5,'ENTRY DATA'!BS50&lt;='TABEL KONVERSI'!$C$5),3,IF(AND(BS50&gt;='TABEL KONVERSI'!$B$6,'ENTRY DATA'!BS50&lt;='TABEL KONVERSI'!$C$6),4,"")))),"-")</f>
        <v>-</v>
      </c>
      <c r="BV50" s="38" t="str">
        <f t="shared" si="56"/>
        <v>-</v>
      </c>
      <c r="BW50" s="38" t="str">
        <f>VLOOKUP(BT50,'TABEL KONVERSI'!$A$3:$D$7,4)</f>
        <v>-</v>
      </c>
      <c r="BX50" s="38" t="str">
        <f t="shared" si="57"/>
        <v>-</v>
      </c>
      <c r="BY50" s="38" t="str">
        <f>VLOOKUP(BU50,'TABEL KONVERSI'!$A$3:$D$7,4)</f>
        <v>-</v>
      </c>
      <c r="BZ50" s="42"/>
      <c r="CA50" s="37"/>
      <c r="CB50" s="73"/>
      <c r="CC50" s="73"/>
      <c r="CD50" s="38" t="str">
        <f t="shared" si="58"/>
        <v/>
      </c>
      <c r="CE50" s="38" t="str">
        <f t="shared" si="59"/>
        <v/>
      </c>
      <c r="CF50" s="38" t="str">
        <f>IF(CD50&lt;&gt;"",IF(AND(CD50&gt;='TABEL KONVERSI'!$B$3,'ENTRY DATA'!CD50&lt;='TABEL KONVERSI'!$C$3),1,IF(AND(CD50&gt;='TABEL KONVERSI'!$B$4,'ENTRY DATA'!CD50&lt;='TABEL KONVERSI'!$C$4),2,IF(AND(CD50&gt;='TABEL KONVERSI'!$B$5,'ENTRY DATA'!CD50&lt;='TABEL KONVERSI'!$C$5),3,IF(AND(CD50&gt;='TABEL KONVERSI'!$B$6,'ENTRY DATA'!CD50&lt;='TABEL KONVERSI'!$C$6),4,"")))),"-")</f>
        <v>-</v>
      </c>
      <c r="CG50" s="38" t="str">
        <f>IF(CE50&lt;&gt;"",IF(AND(CE50&gt;='TABEL KONVERSI'!$B$3,'ENTRY DATA'!CE50&lt;='TABEL KONVERSI'!$C$3),1,IF(AND(CE50&gt;='TABEL KONVERSI'!$B$4,'ENTRY DATA'!CE50&lt;='TABEL KONVERSI'!$C$4),2,IF(AND(CE50&gt;='TABEL KONVERSI'!$B$5,'ENTRY DATA'!CE50&lt;='TABEL KONVERSI'!$C$5),3,IF(AND(CE50&gt;='TABEL KONVERSI'!$B$6,'ENTRY DATA'!CE50&lt;='TABEL KONVERSI'!$C$6),4,"")))),"-")</f>
        <v>-</v>
      </c>
      <c r="CH50" s="38" t="str">
        <f t="shared" si="60"/>
        <v>-</v>
      </c>
      <c r="CI50" s="38" t="str">
        <f>VLOOKUP(CF50,'TABEL KONVERSI'!$A$3:$D$7,4)</f>
        <v>-</v>
      </c>
      <c r="CJ50" s="38" t="str">
        <f t="shared" si="61"/>
        <v>-</v>
      </c>
      <c r="CK50" s="38" t="str">
        <f>VLOOKUP(CG50,'TABEL KONVERSI'!$A$3:$D$7,4)</f>
        <v>-</v>
      </c>
      <c r="CL50" s="42"/>
      <c r="CM50" s="37"/>
      <c r="CN50" s="73"/>
      <c r="CO50" s="73"/>
      <c r="CP50" s="38" t="str">
        <f t="shared" si="62"/>
        <v/>
      </c>
      <c r="CQ50" s="38" t="str">
        <f t="shared" si="63"/>
        <v/>
      </c>
      <c r="CR50" s="38" t="str">
        <f>IF(CP50&lt;&gt;"",IF(AND(CP50&gt;='TABEL KONVERSI'!$B$3,'ENTRY DATA'!CP50&lt;='TABEL KONVERSI'!$C$3),1,IF(AND(CP50&gt;='TABEL KONVERSI'!$B$4,'ENTRY DATA'!CP50&lt;='TABEL KONVERSI'!$C$4),2,IF(AND(CP50&gt;='TABEL KONVERSI'!$B$5,'ENTRY DATA'!CP50&lt;='TABEL KONVERSI'!$C$5),3,IF(AND(CP50&gt;='TABEL KONVERSI'!$B$6,'ENTRY DATA'!CP50&lt;='TABEL KONVERSI'!$C$6),4,"")))),"-")</f>
        <v>-</v>
      </c>
      <c r="CS50" s="38" t="str">
        <f>IF(CQ50&lt;&gt;"",IF(AND(CQ50&gt;='TABEL KONVERSI'!$B$3,'ENTRY DATA'!CQ50&lt;='TABEL KONVERSI'!$C$3),1,IF(AND(CQ50&gt;='TABEL KONVERSI'!$B$4,'ENTRY DATA'!CQ50&lt;='TABEL KONVERSI'!$C$4),2,IF(AND(CQ50&gt;='TABEL KONVERSI'!$B$5,'ENTRY DATA'!CQ50&lt;='TABEL KONVERSI'!$C$5),3,IF(AND(CQ50&gt;='TABEL KONVERSI'!$B$6,'ENTRY DATA'!CQ50&lt;='TABEL KONVERSI'!$C$6),4,"")))),"-")</f>
        <v>-</v>
      </c>
      <c r="CT50" s="38" t="str">
        <f t="shared" si="64"/>
        <v>-</v>
      </c>
      <c r="CU50" s="38" t="str">
        <f>VLOOKUP(CR50,'TABEL KONVERSI'!$A$3:$D$7,4)</f>
        <v>-</v>
      </c>
      <c r="CV50" s="38" t="str">
        <f t="shared" si="65"/>
        <v>-</v>
      </c>
      <c r="CW50" s="38" t="str">
        <f>VLOOKUP(CS50,'TABEL KONVERSI'!$A$3:$D$7,4)</f>
        <v>-</v>
      </c>
      <c r="CX50" s="42"/>
      <c r="CY50" s="37"/>
      <c r="CZ50" s="73"/>
      <c r="DA50" s="73"/>
      <c r="DB50" s="38" t="str">
        <f t="shared" si="66"/>
        <v/>
      </c>
      <c r="DC50" s="38" t="str">
        <f t="shared" si="67"/>
        <v/>
      </c>
      <c r="DD50" s="38" t="str">
        <f>IF(DB50&lt;&gt;"",IF(AND(DB50&gt;='TABEL KONVERSI'!$B$3,'ENTRY DATA'!DB50&lt;='TABEL KONVERSI'!$C$3),1,IF(AND(DB50&gt;='TABEL KONVERSI'!$B$4,'ENTRY DATA'!DB50&lt;='TABEL KONVERSI'!$C$4),2,IF(AND(DB50&gt;='TABEL KONVERSI'!$B$5,'ENTRY DATA'!DB50&lt;='TABEL KONVERSI'!$C$5),3,IF(AND(DB50&gt;='TABEL KONVERSI'!$B$6,'ENTRY DATA'!DB50&lt;='TABEL KONVERSI'!$C$6),4,"")))),"-")</f>
        <v>-</v>
      </c>
      <c r="DE50" s="38" t="str">
        <f>IF(DC50&lt;&gt;"",IF(AND(DC50&gt;='TABEL KONVERSI'!$B$3,'ENTRY DATA'!DC50&lt;='TABEL KONVERSI'!$C$3),1,IF(AND(DC50&gt;='TABEL KONVERSI'!$B$4,'ENTRY DATA'!DC50&lt;='TABEL KONVERSI'!$C$4),2,IF(AND(DC50&gt;='TABEL KONVERSI'!$B$5,'ENTRY DATA'!DC50&lt;='TABEL KONVERSI'!$C$5),3,IF(AND(DC50&gt;='TABEL KONVERSI'!$B$6,'ENTRY DATA'!DC50&lt;='TABEL KONVERSI'!$C$6),4,"")))),"-")</f>
        <v>-</v>
      </c>
      <c r="DF50" s="38" t="str">
        <f t="shared" si="68"/>
        <v>-</v>
      </c>
      <c r="DG50" s="38" t="str">
        <f>VLOOKUP(DD50,'TABEL KONVERSI'!$A$3:$D$7,4)</f>
        <v>-</v>
      </c>
      <c r="DH50" s="38" t="str">
        <f t="shared" si="69"/>
        <v>-</v>
      </c>
      <c r="DI50" s="38" t="str">
        <f>VLOOKUP(DE50,'TABEL KONVERSI'!$A$3:$D$7,4)</f>
        <v>-</v>
      </c>
      <c r="DJ50" s="42"/>
      <c r="DK50" s="37"/>
      <c r="DL50" s="73"/>
      <c r="DM50" s="73"/>
      <c r="DN50" s="38" t="str">
        <f t="shared" si="70"/>
        <v/>
      </c>
      <c r="DO50" s="38" t="str">
        <f t="shared" si="71"/>
        <v/>
      </c>
      <c r="DP50" s="38" t="str">
        <f>IF(DN50&lt;&gt;"",IF(AND(DN50&gt;='TABEL KONVERSI'!$B$3,'ENTRY DATA'!DN50&lt;='TABEL KONVERSI'!$C$3),1,IF(AND(DN50&gt;='TABEL KONVERSI'!$B$4,'ENTRY DATA'!DN50&lt;='TABEL KONVERSI'!$C$4),2,IF(AND(DN50&gt;='TABEL KONVERSI'!$B$5,'ENTRY DATA'!DN50&lt;='TABEL KONVERSI'!$C$5),3,IF(AND(DN50&gt;='TABEL KONVERSI'!$B$6,'ENTRY DATA'!DN50&lt;='TABEL KONVERSI'!$C$6),4,"")))),"-")</f>
        <v>-</v>
      </c>
      <c r="DQ50" s="38" t="str">
        <f>IF(DO50&lt;&gt;"",IF(AND(DO50&gt;='TABEL KONVERSI'!$B$3,'ENTRY DATA'!DO50&lt;='TABEL KONVERSI'!$C$3),1,IF(AND(DO50&gt;='TABEL KONVERSI'!$B$4,'ENTRY DATA'!DO50&lt;='TABEL KONVERSI'!$C$4),2,IF(AND(DO50&gt;='TABEL KONVERSI'!$B$5,'ENTRY DATA'!DO50&lt;='TABEL KONVERSI'!$C$5),3,IF(AND(DO50&gt;='TABEL KONVERSI'!$B$6,'ENTRY DATA'!DO50&lt;='TABEL KONVERSI'!$C$6),4,"")))),"-")</f>
        <v>-</v>
      </c>
      <c r="DR50" s="38" t="str">
        <f t="shared" si="72"/>
        <v>-</v>
      </c>
      <c r="DS50" s="38" t="str">
        <f>VLOOKUP(DP50,'TABEL KONVERSI'!$A$3:$D$7,4)</f>
        <v>-</v>
      </c>
      <c r="DT50" s="38" t="str">
        <f t="shared" si="73"/>
        <v>-</v>
      </c>
      <c r="DU50" s="38" t="str">
        <f>VLOOKUP(DQ50,'TABEL KONVERSI'!$A$3:$D$7,4)</f>
        <v>-</v>
      </c>
      <c r="DV50" s="42"/>
      <c r="DW50" s="37"/>
      <c r="DX50" s="73"/>
      <c r="DY50" s="73"/>
      <c r="DZ50" s="38" t="str">
        <f t="shared" si="74"/>
        <v/>
      </c>
      <c r="EA50" s="38" t="str">
        <f t="shared" si="75"/>
        <v/>
      </c>
      <c r="EB50" s="38" t="str">
        <f>IF(DZ50&lt;&gt;"",IF(AND(DZ50&gt;='TABEL KONVERSI'!$B$3,'ENTRY DATA'!DZ50&lt;='TABEL KONVERSI'!$C$3),1,IF(AND(DZ50&gt;='TABEL KONVERSI'!$B$4,'ENTRY DATA'!DZ50&lt;='TABEL KONVERSI'!$C$4),2,IF(AND(DZ50&gt;='TABEL KONVERSI'!$B$5,'ENTRY DATA'!DZ50&lt;='TABEL KONVERSI'!$C$5),3,IF(AND(DZ50&gt;='TABEL KONVERSI'!$B$6,'ENTRY DATA'!DZ50&lt;='TABEL KONVERSI'!$C$6),4,"")))),"-")</f>
        <v>-</v>
      </c>
      <c r="EC50" s="38" t="str">
        <f>IF(EA50&lt;&gt;"",IF(AND(EA50&gt;='TABEL KONVERSI'!$B$3,'ENTRY DATA'!EA50&lt;='TABEL KONVERSI'!$C$3),1,IF(AND(EA50&gt;='TABEL KONVERSI'!$B$4,'ENTRY DATA'!EA50&lt;='TABEL KONVERSI'!$C$4),2,IF(AND(EA50&gt;='TABEL KONVERSI'!$B$5,'ENTRY DATA'!EA50&lt;='TABEL KONVERSI'!$C$5),3,IF(AND(EA50&gt;='TABEL KONVERSI'!$B$6,'ENTRY DATA'!EA50&lt;='TABEL KONVERSI'!$C$6),4,"")))),"-")</f>
        <v>-</v>
      </c>
      <c r="ED50" s="38" t="str">
        <f t="shared" si="76"/>
        <v>-</v>
      </c>
      <c r="EE50" s="38" t="str">
        <f>VLOOKUP(EB50,'TABEL KONVERSI'!$A$3:$D$7,4)</f>
        <v>-</v>
      </c>
      <c r="EF50" s="38" t="str">
        <f t="shared" si="77"/>
        <v>-</v>
      </c>
      <c r="EG50" s="38" t="str">
        <f>VLOOKUP(EC50,'TABEL KONVERSI'!$A$3:$D$7,4)</f>
        <v>-</v>
      </c>
      <c r="EH50" s="42"/>
      <c r="EI50" s="37"/>
      <c r="EJ50" s="73"/>
      <c r="EK50" s="73"/>
      <c r="EL50" s="38" t="str">
        <f t="shared" si="78"/>
        <v/>
      </c>
      <c r="EM50" s="38" t="str">
        <f t="shared" si="79"/>
        <v/>
      </c>
      <c r="EN50" s="38" t="str">
        <f>IF(EL50&lt;&gt;"",IF(AND(EL50&gt;='TABEL KONVERSI'!$B$3,'ENTRY DATA'!EL50&lt;='TABEL KONVERSI'!$C$3),1,IF(AND(EL50&gt;='TABEL KONVERSI'!$B$4,'ENTRY DATA'!EL50&lt;='TABEL KONVERSI'!$C$4),2,IF(AND(EL50&gt;='TABEL KONVERSI'!$B$5,'ENTRY DATA'!EL50&lt;='TABEL KONVERSI'!$C$5),3,IF(AND(EL50&gt;='TABEL KONVERSI'!$B$6,'ENTRY DATA'!EL50&lt;='TABEL KONVERSI'!$C$6),4,"")))),"-")</f>
        <v>-</v>
      </c>
      <c r="EO50" s="38" t="str">
        <f>IF(EM50&lt;&gt;"",IF(AND(EM50&gt;='TABEL KONVERSI'!$B$3,'ENTRY DATA'!EM50&lt;='TABEL KONVERSI'!$C$3),1,IF(AND(EM50&gt;='TABEL KONVERSI'!$B$4,'ENTRY DATA'!EM50&lt;='TABEL KONVERSI'!$C$4),2,IF(AND(EM50&gt;='TABEL KONVERSI'!$B$5,'ENTRY DATA'!EM50&lt;='TABEL KONVERSI'!$C$5),3,IF(AND(EM50&gt;='TABEL KONVERSI'!$B$6,'ENTRY DATA'!EM50&lt;='TABEL KONVERSI'!$C$6),4,"")))),"-")</f>
        <v>-</v>
      </c>
      <c r="EP50" s="38" t="str">
        <f t="shared" si="80"/>
        <v>-</v>
      </c>
      <c r="EQ50" s="38" t="str">
        <f>VLOOKUP(EN50,'TABEL KONVERSI'!$A$3:$D$7,4)</f>
        <v>-</v>
      </c>
      <c r="ER50" s="38" t="str">
        <f t="shared" si="81"/>
        <v>-</v>
      </c>
      <c r="ES50" s="38" t="str">
        <f>VLOOKUP(EO50,'TABEL KONVERSI'!$A$3:$D$7,4)</f>
        <v>-</v>
      </c>
      <c r="ET50" s="42"/>
      <c r="EU50" s="37"/>
      <c r="EV50" s="73"/>
      <c r="EW50" s="73"/>
      <c r="EX50" s="38" t="str">
        <f t="shared" si="82"/>
        <v/>
      </c>
      <c r="EY50" s="38" t="str">
        <f t="shared" si="83"/>
        <v/>
      </c>
      <c r="EZ50" s="38" t="str">
        <f>IF(EX50&lt;&gt;"",IF(AND(EX50&gt;='TABEL KONVERSI'!$B$3,'ENTRY DATA'!EX50&lt;='TABEL KONVERSI'!$C$3),1,IF(AND(EX50&gt;='TABEL KONVERSI'!$B$4,'ENTRY DATA'!EX50&lt;='TABEL KONVERSI'!$C$4),2,IF(AND(EX50&gt;='TABEL KONVERSI'!$B$5,'ENTRY DATA'!EX50&lt;='TABEL KONVERSI'!$C$5),3,IF(AND(EX50&gt;='TABEL KONVERSI'!$B$6,'ENTRY DATA'!EX50&lt;='TABEL KONVERSI'!$C$6),4,"")))),"-")</f>
        <v>-</v>
      </c>
      <c r="FA50" s="38" t="str">
        <f>IF(EY50&lt;&gt;"",IF(AND(EY50&gt;='TABEL KONVERSI'!$B$3,'ENTRY DATA'!EY50&lt;='TABEL KONVERSI'!$C$3),1,IF(AND(EY50&gt;='TABEL KONVERSI'!$B$4,'ENTRY DATA'!EY50&lt;='TABEL KONVERSI'!$C$4),2,IF(AND(EY50&gt;='TABEL KONVERSI'!$B$5,'ENTRY DATA'!EY50&lt;='TABEL KONVERSI'!$C$5),3,IF(AND(EY50&gt;='TABEL KONVERSI'!$B$6,'ENTRY DATA'!EY50&lt;='TABEL KONVERSI'!$C$6),4,"")))),"-")</f>
        <v>-</v>
      </c>
      <c r="FB50" s="38" t="str">
        <f t="shared" si="84"/>
        <v>-</v>
      </c>
      <c r="FC50" s="38" t="str">
        <f>VLOOKUP(EZ50,'TABEL KONVERSI'!$A$3:$D$7,4)</f>
        <v>-</v>
      </c>
      <c r="FD50" s="38" t="str">
        <f t="shared" si="85"/>
        <v>-</v>
      </c>
      <c r="FE50" s="38" t="str">
        <f>VLOOKUP(FA50,'TABEL KONVERSI'!$A$3:$D$7,4)</f>
        <v>-</v>
      </c>
      <c r="FF50" s="42"/>
      <c r="FG50" s="37"/>
      <c r="FH50" s="73"/>
      <c r="FI50" s="73"/>
      <c r="FJ50" s="38" t="str">
        <f t="shared" si="86"/>
        <v/>
      </c>
      <c r="FK50" s="38" t="str">
        <f t="shared" si="87"/>
        <v/>
      </c>
      <c r="FL50" s="38" t="str">
        <f>IF(FJ50&lt;&gt;"",IF(AND(FJ50&gt;='TABEL KONVERSI'!$B$3,'ENTRY DATA'!FJ50&lt;='TABEL KONVERSI'!$C$3),1,IF(AND(FJ50&gt;='TABEL KONVERSI'!$B$4,'ENTRY DATA'!FJ50&lt;='TABEL KONVERSI'!$C$4),2,IF(AND(FJ50&gt;='TABEL KONVERSI'!$B$5,'ENTRY DATA'!FJ50&lt;='TABEL KONVERSI'!$C$5),3,IF(AND(FJ50&gt;='TABEL KONVERSI'!$B$6,'ENTRY DATA'!FJ50&lt;='TABEL KONVERSI'!$C$6),4,"")))),"-")</f>
        <v>-</v>
      </c>
      <c r="FM50" s="38" t="str">
        <f>IF(FK50&lt;&gt;"",IF(AND(FK50&gt;='TABEL KONVERSI'!$B$3,'ENTRY DATA'!FK50&lt;='TABEL KONVERSI'!$C$3),1,IF(AND(FK50&gt;='TABEL KONVERSI'!$B$4,'ENTRY DATA'!FK50&lt;='TABEL KONVERSI'!$C$4),2,IF(AND(FK50&gt;='TABEL KONVERSI'!$B$5,'ENTRY DATA'!FK50&lt;='TABEL KONVERSI'!$C$5),3,IF(AND(FK50&gt;='TABEL KONVERSI'!$B$6,'ENTRY DATA'!FK50&lt;='TABEL KONVERSI'!$C$6),4,"")))),"-")</f>
        <v>-</v>
      </c>
      <c r="FN50" s="38" t="str">
        <f t="shared" si="88"/>
        <v>-</v>
      </c>
      <c r="FO50" s="38" t="str">
        <f>VLOOKUP(FL50,'TABEL KONVERSI'!$A$3:$D$7,4)</f>
        <v>-</v>
      </c>
      <c r="FP50" s="38" t="str">
        <f t="shared" si="89"/>
        <v>-</v>
      </c>
      <c r="FQ50" s="38" t="str">
        <f>VLOOKUP(FM50,'TABEL KONVERSI'!$A$3:$D$7,4)</f>
        <v>-</v>
      </c>
      <c r="FR50" s="42"/>
      <c r="FS50" s="37"/>
      <c r="FT50" s="73"/>
      <c r="FU50" s="73"/>
      <c r="FV50" s="38" t="str">
        <f t="shared" si="90"/>
        <v/>
      </c>
      <c r="FW50" s="38" t="str">
        <f t="shared" si="91"/>
        <v/>
      </c>
      <c r="FX50" s="38" t="str">
        <f>IF(FV50&lt;&gt;"",IF(AND(FV50&gt;='TABEL KONVERSI'!$B$3,'ENTRY DATA'!FV50&lt;='TABEL KONVERSI'!$C$3),1,IF(AND(FV50&gt;='TABEL KONVERSI'!$B$4,'ENTRY DATA'!FV50&lt;='TABEL KONVERSI'!$C$4),2,IF(AND(FV50&gt;='TABEL KONVERSI'!$B$5,'ENTRY DATA'!FV50&lt;='TABEL KONVERSI'!$C$5),3,IF(AND(FV50&gt;='TABEL KONVERSI'!$B$6,'ENTRY DATA'!FV50&lt;='TABEL KONVERSI'!$C$6),4,"")))),"-")</f>
        <v>-</v>
      </c>
      <c r="FY50" s="38" t="str">
        <f>IF(FW50&lt;&gt;"",IF(AND(FW50&gt;='TABEL KONVERSI'!$B$3,'ENTRY DATA'!FW50&lt;='TABEL KONVERSI'!$C$3),1,IF(AND(FW50&gt;='TABEL KONVERSI'!$B$4,'ENTRY DATA'!FW50&lt;='TABEL KONVERSI'!$C$4),2,IF(AND(FW50&gt;='TABEL KONVERSI'!$B$5,'ENTRY DATA'!FW50&lt;='TABEL KONVERSI'!$C$5),3,IF(AND(FW50&gt;='TABEL KONVERSI'!$B$6,'ENTRY DATA'!FW50&lt;='TABEL KONVERSI'!$C$6),4,"")))),"-")</f>
        <v>-</v>
      </c>
      <c r="FZ50" s="38" t="str">
        <f t="shared" si="92"/>
        <v>-</v>
      </c>
      <c r="GA50" s="38" t="str">
        <f>VLOOKUP(FX50,'TABEL KONVERSI'!$A$3:$D$7,4)</f>
        <v>-</v>
      </c>
      <c r="GB50" s="38" t="str">
        <f t="shared" si="93"/>
        <v>-</v>
      </c>
      <c r="GC50" s="38" t="str">
        <f>VLOOKUP(FY50,'TABEL KONVERSI'!$A$3:$D$7,4)</f>
        <v>-</v>
      </c>
      <c r="GD50" s="42"/>
      <c r="GE50" s="37"/>
      <c r="GF50" s="73"/>
      <c r="GG50" s="73"/>
      <c r="GH50" s="38" t="str">
        <f t="shared" si="94"/>
        <v/>
      </c>
      <c r="GI50" s="38" t="str">
        <f t="shared" si="95"/>
        <v/>
      </c>
      <c r="GJ50" s="38" t="str">
        <f>IF(GH50&lt;&gt;"",IF(AND(GH50&gt;='TABEL KONVERSI'!$B$3,'ENTRY DATA'!GH50&lt;='TABEL KONVERSI'!$C$3),1,IF(AND(GH50&gt;='TABEL KONVERSI'!$B$4,'ENTRY DATA'!GH50&lt;='TABEL KONVERSI'!$C$4),2,IF(AND(GH50&gt;='TABEL KONVERSI'!$B$5,'ENTRY DATA'!GH50&lt;='TABEL KONVERSI'!$C$5),3,IF(AND(GH50&gt;='TABEL KONVERSI'!$B$6,'ENTRY DATA'!GH50&lt;='TABEL KONVERSI'!$C$6),4,"")))),"-")</f>
        <v>-</v>
      </c>
      <c r="GK50" s="38" t="str">
        <f>IF(GI50&lt;&gt;"",IF(AND(GI50&gt;='TABEL KONVERSI'!$B$3,'ENTRY DATA'!GI50&lt;='TABEL KONVERSI'!$C$3),1,IF(AND(GI50&gt;='TABEL KONVERSI'!$B$4,'ENTRY DATA'!GI50&lt;='TABEL KONVERSI'!$C$4),2,IF(AND(GI50&gt;='TABEL KONVERSI'!$B$5,'ENTRY DATA'!GI50&lt;='TABEL KONVERSI'!$C$5),3,IF(AND(GI50&gt;='TABEL KONVERSI'!$B$6,'ENTRY DATA'!GI50&lt;='TABEL KONVERSI'!$C$6),4,"")))),"-")</f>
        <v>-</v>
      </c>
      <c r="GL50" s="38" t="str">
        <f t="shared" si="96"/>
        <v>-</v>
      </c>
      <c r="GM50" s="38" t="str">
        <f>VLOOKUP(GJ50,'TABEL KONVERSI'!$A$3:$D$7,4)</f>
        <v>-</v>
      </c>
      <c r="GN50" s="38" t="str">
        <f t="shared" si="97"/>
        <v>-</v>
      </c>
      <c r="GO50" s="38" t="str">
        <f>VLOOKUP(GK50,'TABEL KONVERSI'!$A$3:$D$7,4)</f>
        <v>-</v>
      </c>
      <c r="GP50" s="43">
        <f t="shared" si="108"/>
        <v>0</v>
      </c>
      <c r="GQ50" s="43">
        <f t="shared" si="109"/>
        <v>0</v>
      </c>
      <c r="GR50" s="43">
        <f t="shared" si="110"/>
        <v>0</v>
      </c>
      <c r="GS50" s="43">
        <f t="shared" si="111"/>
        <v>0</v>
      </c>
      <c r="GT50" s="43">
        <f t="shared" si="112"/>
        <v>0</v>
      </c>
      <c r="GU50" s="43">
        <f t="shared" si="113"/>
        <v>0</v>
      </c>
      <c r="GV50" s="43">
        <f t="shared" si="114"/>
        <v>0</v>
      </c>
      <c r="GW50" s="43">
        <f t="shared" si="115"/>
        <v>0</v>
      </c>
      <c r="GX50" s="43">
        <f t="shared" si="116"/>
        <v>0</v>
      </c>
      <c r="GY50" s="43">
        <f t="shared" si="117"/>
        <v>0</v>
      </c>
      <c r="GZ50" s="43">
        <f t="shared" si="118"/>
        <v>0</v>
      </c>
      <c r="HA50" s="43">
        <f t="shared" si="119"/>
        <v>0</v>
      </c>
      <c r="HB50" s="43">
        <f t="shared" si="120"/>
        <v>0</v>
      </c>
      <c r="HC50" s="43">
        <f t="shared" si="121"/>
        <v>0</v>
      </c>
      <c r="HD50" s="43">
        <f t="shared" si="122"/>
        <v>0</v>
      </c>
      <c r="HE50" s="43">
        <f t="shared" si="123"/>
        <v>0</v>
      </c>
      <c r="HF50" s="38">
        <f t="shared" si="98"/>
        <v>0</v>
      </c>
      <c r="HG50" s="38">
        <f t="shared" si="99"/>
        <v>0</v>
      </c>
      <c r="HH50" s="38">
        <f t="shared" si="100"/>
        <v>0</v>
      </c>
      <c r="HI50" s="39">
        <f t="shared" si="101"/>
        <v>0</v>
      </c>
      <c r="HJ50" s="44" t="str">
        <f t="shared" si="102"/>
        <v>-</v>
      </c>
      <c r="HK50" s="45" t="str">
        <f>VLOOKUP(HJ50,'TABEL KONVERSI'!$B$11:$D$15,2,0)</f>
        <v>-</v>
      </c>
      <c r="HL50" s="43">
        <f t="shared" si="124"/>
        <v>0</v>
      </c>
      <c r="HM50" s="43">
        <f t="shared" si="125"/>
        <v>0</v>
      </c>
      <c r="HN50" s="43">
        <f t="shared" si="126"/>
        <v>0</v>
      </c>
      <c r="HO50" s="43">
        <f t="shared" si="127"/>
        <v>0</v>
      </c>
      <c r="HP50" s="43">
        <f t="shared" si="128"/>
        <v>0</v>
      </c>
      <c r="HQ50" s="43">
        <f t="shared" si="129"/>
        <v>0</v>
      </c>
      <c r="HR50" s="43">
        <f t="shared" si="130"/>
        <v>0</v>
      </c>
      <c r="HS50" s="43">
        <f t="shared" si="131"/>
        <v>0</v>
      </c>
      <c r="HT50" s="43">
        <f t="shared" si="132"/>
        <v>0</v>
      </c>
      <c r="HU50" s="43">
        <f t="shared" si="133"/>
        <v>0</v>
      </c>
      <c r="HV50" s="43">
        <f t="shared" si="134"/>
        <v>0</v>
      </c>
      <c r="HW50" s="43">
        <f t="shared" si="135"/>
        <v>0</v>
      </c>
      <c r="HX50" s="43">
        <f t="shared" si="136"/>
        <v>0</v>
      </c>
      <c r="HY50" s="43">
        <f t="shared" si="137"/>
        <v>0</v>
      </c>
      <c r="HZ50" s="43">
        <f t="shared" si="138"/>
        <v>0</v>
      </c>
      <c r="IA50" s="43">
        <f t="shared" si="139"/>
        <v>0</v>
      </c>
      <c r="IB50" s="38">
        <f t="shared" si="103"/>
        <v>0</v>
      </c>
      <c r="IC50" s="38">
        <f t="shared" si="104"/>
        <v>0</v>
      </c>
      <c r="ID50" s="38">
        <f t="shared" si="105"/>
        <v>0</v>
      </c>
      <c r="IE50" s="38">
        <f t="shared" si="106"/>
        <v>0</v>
      </c>
      <c r="IF50" s="46" t="str">
        <f t="shared" si="107"/>
        <v>-</v>
      </c>
      <c r="IG50" s="45" t="str">
        <f>VLOOKUP(IF50,'TABEL KONVERSI'!$B$11:$D$15,3,0)</f>
        <v>-</v>
      </c>
      <c r="IH50" s="40" t="s">
        <v>223</v>
      </c>
      <c r="II50" s="41" t="s">
        <v>106</v>
      </c>
      <c r="IJ50" s="45" t="str">
        <f>IF(II50&lt;&gt;"",VLOOKUP(II50,'TABEL KONVERSI'!$A$19:$B$23,2,0),"")</f>
        <v>Aktif dalam mengikuti kegiatan</v>
      </c>
      <c r="IK50" s="47" t="s">
        <v>58</v>
      </c>
      <c r="IL50" s="50" t="s">
        <v>58</v>
      </c>
      <c r="IM50" s="45" t="str">
        <f>IF(IL50&lt;&gt;"",VLOOKUP(IL50,'TABEL KONVERSI'!$A$19:$B$23,2,0),"")</f>
        <v>-</v>
      </c>
      <c r="IN50" s="49" t="s">
        <v>58</v>
      </c>
      <c r="IO50" s="48" t="s">
        <v>58</v>
      </c>
      <c r="IP50" s="45" t="str">
        <f>IF(IO50&lt;&gt;"",VLOOKUP(IO50,'TABEL KONVERSI'!$A$19:$B$23,2,0),"")</f>
        <v>-</v>
      </c>
      <c r="IQ50" s="49" t="s">
        <v>58</v>
      </c>
      <c r="IR50" s="50" t="s">
        <v>58</v>
      </c>
      <c r="IS50" s="45" t="str">
        <f>IF(IR50&lt;&gt;"",VLOOKUP(IR50,'TABEL KONVERSI'!$A$19:$B$23,2,0),"")</f>
        <v>-</v>
      </c>
      <c r="IT50" s="49" t="s">
        <v>58</v>
      </c>
      <c r="IU50" s="50" t="s">
        <v>58</v>
      </c>
      <c r="IV50" s="45" t="str">
        <f>IF(IU50&lt;&gt;"",VLOOKUP(IU50,'TABEL KONVERSI'!$A$19:$B$23,2,0),"")</f>
        <v>-</v>
      </c>
      <c r="IW50" s="48" t="s">
        <v>58</v>
      </c>
      <c r="IX50" s="48" t="s">
        <v>58</v>
      </c>
      <c r="IY50" s="48" t="s">
        <v>58</v>
      </c>
      <c r="IZ50" s="47" t="s">
        <v>58</v>
      </c>
      <c r="JA50" s="45">
        <f t="shared" si="140"/>
        <v>0</v>
      </c>
      <c r="JB50" s="45">
        <f t="shared" si="141"/>
        <v>1</v>
      </c>
    </row>
    <row r="51" spans="1:262" x14ac:dyDescent="0.25">
      <c r="A51" s="33">
        <v>39</v>
      </c>
      <c r="B51" s="53"/>
      <c r="C51" s="53"/>
      <c r="D51" s="54"/>
      <c r="E51" s="55"/>
      <c r="F51" s="42"/>
      <c r="G51" s="37"/>
      <c r="H51" s="73"/>
      <c r="I51" s="73"/>
      <c r="J51" s="38" t="str">
        <f t="shared" si="34"/>
        <v/>
      </c>
      <c r="K51" s="38" t="str">
        <f t="shared" si="35"/>
        <v/>
      </c>
      <c r="L51" s="38" t="str">
        <f>IF(J51&lt;&gt;"",IF(AND(J51&gt;='TABEL KONVERSI'!$B$3,'ENTRY DATA'!J51&lt;='TABEL KONVERSI'!$C$3),1,IF(AND(J51&gt;='TABEL KONVERSI'!$B$4,'ENTRY DATA'!J51&lt;='TABEL KONVERSI'!$C$4),2,IF(AND(J51&gt;='TABEL KONVERSI'!$B$5,'ENTRY DATA'!J51&lt;='TABEL KONVERSI'!$C$5),3,IF(AND(J51&gt;='TABEL KONVERSI'!$B$6,'ENTRY DATA'!J51&lt;='TABEL KONVERSI'!$C$6),4,"")))),"-")</f>
        <v>-</v>
      </c>
      <c r="M51" s="38" t="str">
        <f>IF(K51&lt;&gt;"",IF(AND(K51&gt;='TABEL KONVERSI'!$B$3,'ENTRY DATA'!K51&lt;='TABEL KONVERSI'!$C$3),1,IF(AND(K51&gt;='TABEL KONVERSI'!$B$4,'ENTRY DATA'!K51&lt;='TABEL KONVERSI'!$C$4),2,IF(AND(K51&gt;='TABEL KONVERSI'!$B$5,'ENTRY DATA'!K51&lt;='TABEL KONVERSI'!$C$5),3,IF(AND(K51&gt;='TABEL KONVERSI'!$B$6,'ENTRY DATA'!K51&lt;='TABEL KONVERSI'!$C$6),4,"")))),"-")</f>
        <v>-</v>
      </c>
      <c r="N51" s="38" t="str">
        <f t="shared" si="36"/>
        <v>-</v>
      </c>
      <c r="O51" s="38" t="str">
        <f>VLOOKUP(L51,'TABEL KONVERSI'!$A$3:$D$7,4)</f>
        <v>-</v>
      </c>
      <c r="P51" s="38" t="str">
        <f t="shared" si="37"/>
        <v>-</v>
      </c>
      <c r="Q51" s="38" t="str">
        <f>VLOOKUP(M51,'TABEL KONVERSI'!$A$3:$D$7,4)</f>
        <v>-</v>
      </c>
      <c r="R51" s="42"/>
      <c r="S51" s="37"/>
      <c r="T51" s="73"/>
      <c r="U51" s="73"/>
      <c r="V51" s="38" t="str">
        <f t="shared" si="38"/>
        <v/>
      </c>
      <c r="W51" s="38" t="str">
        <f t="shared" si="39"/>
        <v/>
      </c>
      <c r="X51" s="38" t="str">
        <f>IF(V51&lt;&gt;"",IF(AND(V51&gt;='TABEL KONVERSI'!$B$3,'ENTRY DATA'!V51&lt;='TABEL KONVERSI'!$C$3),1,IF(AND(V51&gt;='TABEL KONVERSI'!$B$4,'ENTRY DATA'!V51&lt;='TABEL KONVERSI'!$C$4),2,IF(AND(V51&gt;='TABEL KONVERSI'!$B$5,'ENTRY DATA'!V51&lt;='TABEL KONVERSI'!$C$5),3,IF(AND(V51&gt;='TABEL KONVERSI'!$B$6,'ENTRY DATA'!V51&lt;='TABEL KONVERSI'!$C$6),4,"")))),"-")</f>
        <v>-</v>
      </c>
      <c r="Y51" s="38" t="str">
        <f>IF(W51&lt;&gt;"",IF(AND(W51&gt;='TABEL KONVERSI'!$B$3,'ENTRY DATA'!W51&lt;='TABEL KONVERSI'!$C$3),1,IF(AND(W51&gt;='TABEL KONVERSI'!$B$4,'ENTRY DATA'!W51&lt;='TABEL KONVERSI'!$C$4),2,IF(AND(W51&gt;='TABEL KONVERSI'!$B$5,'ENTRY DATA'!W51&lt;='TABEL KONVERSI'!$C$5),3,IF(AND(W51&gt;='TABEL KONVERSI'!$B$6,'ENTRY DATA'!W51&lt;='TABEL KONVERSI'!$C$6),4,"")))),"-")</f>
        <v>-</v>
      </c>
      <c r="Z51" s="38" t="str">
        <f t="shared" si="40"/>
        <v>-</v>
      </c>
      <c r="AA51" s="38" t="str">
        <f>VLOOKUP(X51,'TABEL KONVERSI'!$A$3:$D$7,4)</f>
        <v>-</v>
      </c>
      <c r="AB51" s="38" t="str">
        <f t="shared" si="41"/>
        <v>-</v>
      </c>
      <c r="AC51" s="38" t="str">
        <f>VLOOKUP(Y51,'TABEL KONVERSI'!$A$3:$D$7,4)</f>
        <v>-</v>
      </c>
      <c r="AD51" s="42"/>
      <c r="AE51" s="37"/>
      <c r="AF51" s="73"/>
      <c r="AG51" s="73"/>
      <c r="AH51" s="38" t="str">
        <f t="shared" si="42"/>
        <v/>
      </c>
      <c r="AI51" s="38" t="str">
        <f t="shared" si="43"/>
        <v/>
      </c>
      <c r="AJ51" s="38" t="str">
        <f>IF(AH51&lt;&gt;"",IF(AND(AH51&gt;='TABEL KONVERSI'!$B$3,'ENTRY DATA'!AH51&lt;='TABEL KONVERSI'!$C$3),1,IF(AND(AH51&gt;='TABEL KONVERSI'!$B$4,'ENTRY DATA'!AH51&lt;='TABEL KONVERSI'!$C$4),2,IF(AND(AH51&gt;='TABEL KONVERSI'!$B$5,'ENTRY DATA'!AH51&lt;='TABEL KONVERSI'!$C$5),3,IF(AND(AH51&gt;='TABEL KONVERSI'!$B$6,'ENTRY DATA'!AH51&lt;='TABEL KONVERSI'!$C$6),4,"")))),"-")</f>
        <v>-</v>
      </c>
      <c r="AK51" s="38" t="str">
        <f>IF(AI51&lt;&gt;"",IF(AND(AI51&gt;='TABEL KONVERSI'!$B$3,'ENTRY DATA'!AI51&lt;='TABEL KONVERSI'!$C$3),1,IF(AND(AI51&gt;='TABEL KONVERSI'!$B$4,'ENTRY DATA'!AI51&lt;='TABEL KONVERSI'!$C$4),2,IF(AND(AI51&gt;='TABEL KONVERSI'!$B$5,'ENTRY DATA'!AI51&lt;='TABEL KONVERSI'!$C$5),3,IF(AND(AI51&gt;='TABEL KONVERSI'!$B$6,'ENTRY DATA'!AI51&lt;='TABEL KONVERSI'!$C$6),4,"")))),"-")</f>
        <v>-</v>
      </c>
      <c r="AL51" s="38" t="str">
        <f t="shared" si="44"/>
        <v>-</v>
      </c>
      <c r="AM51" s="38" t="str">
        <f>VLOOKUP(AJ51,'TABEL KONVERSI'!$A$3:$D$7,4)</f>
        <v>-</v>
      </c>
      <c r="AN51" s="38" t="str">
        <f t="shared" si="45"/>
        <v>-</v>
      </c>
      <c r="AO51" s="38" t="str">
        <f>VLOOKUP(AK51,'TABEL KONVERSI'!$A$3:$D$7,4)</f>
        <v>-</v>
      </c>
      <c r="AP51" s="42"/>
      <c r="AQ51" s="37"/>
      <c r="AR51" s="73"/>
      <c r="AS51" s="73"/>
      <c r="AT51" s="38" t="str">
        <f t="shared" si="46"/>
        <v/>
      </c>
      <c r="AU51" s="38" t="str">
        <f t="shared" si="47"/>
        <v/>
      </c>
      <c r="AV51" s="38" t="str">
        <f>IF(AT51&lt;&gt;"",IF(AND(AT51&gt;='TABEL KONVERSI'!$B$3,'ENTRY DATA'!AT51&lt;='TABEL KONVERSI'!$C$3),1,IF(AND(AT51&gt;='TABEL KONVERSI'!$B$4,'ENTRY DATA'!AT51&lt;='TABEL KONVERSI'!$C$4),2,IF(AND(AT51&gt;='TABEL KONVERSI'!$B$5,'ENTRY DATA'!AT51&lt;='TABEL KONVERSI'!$C$5),3,IF(AND(AT51&gt;='TABEL KONVERSI'!$B$6,'ENTRY DATA'!AT51&lt;='TABEL KONVERSI'!$C$6),4,"")))),"-")</f>
        <v>-</v>
      </c>
      <c r="AW51" s="38" t="str">
        <f>IF(AU51&lt;&gt;"",IF(AND(AU51&gt;='TABEL KONVERSI'!$B$3,'ENTRY DATA'!AU51&lt;='TABEL KONVERSI'!$C$3),1,IF(AND(AU51&gt;='TABEL KONVERSI'!$B$4,'ENTRY DATA'!AU51&lt;='TABEL KONVERSI'!$C$4),2,IF(AND(AU51&gt;='TABEL KONVERSI'!$B$5,'ENTRY DATA'!AU51&lt;='TABEL KONVERSI'!$C$5),3,IF(AND(AU51&gt;='TABEL KONVERSI'!$B$6,'ENTRY DATA'!AU51&lt;='TABEL KONVERSI'!$C$6),4,"")))),"-")</f>
        <v>-</v>
      </c>
      <c r="AX51" s="38" t="str">
        <f t="shared" si="48"/>
        <v>-</v>
      </c>
      <c r="AY51" s="38" t="str">
        <f>VLOOKUP(AV51,'TABEL KONVERSI'!$A$3:$D$7,4)</f>
        <v>-</v>
      </c>
      <c r="AZ51" s="38" t="str">
        <f t="shared" si="49"/>
        <v>-</v>
      </c>
      <c r="BA51" s="38" t="str">
        <f>VLOOKUP(AW51,'TABEL KONVERSI'!$A$3:$D$7,4)</f>
        <v>-</v>
      </c>
      <c r="BB51" s="42"/>
      <c r="BC51" s="37"/>
      <c r="BD51" s="73"/>
      <c r="BE51" s="73"/>
      <c r="BF51" s="38" t="str">
        <f t="shared" si="50"/>
        <v/>
      </c>
      <c r="BG51" s="38" t="str">
        <f t="shared" si="51"/>
        <v/>
      </c>
      <c r="BH51" s="38" t="str">
        <f>IF(BF51&lt;&gt;"",IF(AND(BF51&gt;='TABEL KONVERSI'!$B$3,'ENTRY DATA'!BF51&lt;='TABEL KONVERSI'!$C$3),1,IF(AND(BF51&gt;='TABEL KONVERSI'!$B$4,'ENTRY DATA'!BF51&lt;='TABEL KONVERSI'!$C$4),2,IF(AND(BF51&gt;='TABEL KONVERSI'!$B$5,'ENTRY DATA'!BF51&lt;='TABEL KONVERSI'!$C$5),3,IF(AND(BF51&gt;='TABEL KONVERSI'!$B$6,'ENTRY DATA'!BF51&lt;='TABEL KONVERSI'!$C$6),4,"")))),"-")</f>
        <v>-</v>
      </c>
      <c r="BI51" s="38" t="str">
        <f>IF(BG51&lt;&gt;"",IF(AND(BG51&gt;='TABEL KONVERSI'!$B$3,'ENTRY DATA'!BG51&lt;='TABEL KONVERSI'!$C$3),1,IF(AND(BG51&gt;='TABEL KONVERSI'!$B$4,'ENTRY DATA'!BG51&lt;='TABEL KONVERSI'!$C$4),2,IF(AND(BG51&gt;='TABEL KONVERSI'!$B$5,'ENTRY DATA'!BG51&lt;='TABEL KONVERSI'!$C$5),3,IF(AND(BG51&gt;='TABEL KONVERSI'!$B$6,'ENTRY DATA'!BG51&lt;='TABEL KONVERSI'!$C$6),4,"")))),"-")</f>
        <v>-</v>
      </c>
      <c r="BJ51" s="38" t="str">
        <f t="shared" si="52"/>
        <v>-</v>
      </c>
      <c r="BK51" s="38" t="str">
        <f>VLOOKUP(BH51,'TABEL KONVERSI'!$A$3:$D$7,4)</f>
        <v>-</v>
      </c>
      <c r="BL51" s="38" t="str">
        <f t="shared" si="53"/>
        <v>-</v>
      </c>
      <c r="BM51" s="38" t="str">
        <f>VLOOKUP(BI51,'TABEL KONVERSI'!$A$3:$D$7,4)</f>
        <v>-</v>
      </c>
      <c r="BN51" s="42"/>
      <c r="BO51" s="37"/>
      <c r="BP51" s="73"/>
      <c r="BQ51" s="73"/>
      <c r="BR51" s="38" t="str">
        <f t="shared" si="54"/>
        <v/>
      </c>
      <c r="BS51" s="38" t="str">
        <f t="shared" si="55"/>
        <v/>
      </c>
      <c r="BT51" s="38" t="str">
        <f>IF(BR51&lt;&gt;"",IF(AND(BR51&gt;='TABEL KONVERSI'!$B$3,'ENTRY DATA'!BR51&lt;='TABEL KONVERSI'!$C$3),1,IF(AND(BR51&gt;='TABEL KONVERSI'!$B$4,'ENTRY DATA'!BR51&lt;='TABEL KONVERSI'!$C$4),2,IF(AND(BR51&gt;='TABEL KONVERSI'!$B$5,'ENTRY DATA'!BR51&lt;='TABEL KONVERSI'!$C$5),3,IF(AND(BR51&gt;='TABEL KONVERSI'!$B$6,'ENTRY DATA'!BR51&lt;='TABEL KONVERSI'!$C$6),4,"")))),"-")</f>
        <v>-</v>
      </c>
      <c r="BU51" s="38" t="str">
        <f>IF(BS51&lt;&gt;"",IF(AND(BS51&gt;='TABEL KONVERSI'!$B$3,'ENTRY DATA'!BS51&lt;='TABEL KONVERSI'!$C$3),1,IF(AND(BS51&gt;='TABEL KONVERSI'!$B$4,'ENTRY DATA'!BS51&lt;='TABEL KONVERSI'!$C$4),2,IF(AND(BS51&gt;='TABEL KONVERSI'!$B$5,'ENTRY DATA'!BS51&lt;='TABEL KONVERSI'!$C$5),3,IF(AND(BS51&gt;='TABEL KONVERSI'!$B$6,'ENTRY DATA'!BS51&lt;='TABEL KONVERSI'!$C$6),4,"")))),"-")</f>
        <v>-</v>
      </c>
      <c r="BV51" s="38" t="str">
        <f t="shared" si="56"/>
        <v>-</v>
      </c>
      <c r="BW51" s="38" t="str">
        <f>VLOOKUP(BT51,'TABEL KONVERSI'!$A$3:$D$7,4)</f>
        <v>-</v>
      </c>
      <c r="BX51" s="38" t="str">
        <f t="shared" si="57"/>
        <v>-</v>
      </c>
      <c r="BY51" s="38" t="str">
        <f>VLOOKUP(BU51,'TABEL KONVERSI'!$A$3:$D$7,4)</f>
        <v>-</v>
      </c>
      <c r="BZ51" s="42"/>
      <c r="CA51" s="37"/>
      <c r="CB51" s="73"/>
      <c r="CC51" s="73"/>
      <c r="CD51" s="38" t="str">
        <f t="shared" si="58"/>
        <v/>
      </c>
      <c r="CE51" s="38" t="str">
        <f t="shared" si="59"/>
        <v/>
      </c>
      <c r="CF51" s="38" t="str">
        <f>IF(CD51&lt;&gt;"",IF(AND(CD51&gt;='TABEL KONVERSI'!$B$3,'ENTRY DATA'!CD51&lt;='TABEL KONVERSI'!$C$3),1,IF(AND(CD51&gt;='TABEL KONVERSI'!$B$4,'ENTRY DATA'!CD51&lt;='TABEL KONVERSI'!$C$4),2,IF(AND(CD51&gt;='TABEL KONVERSI'!$B$5,'ENTRY DATA'!CD51&lt;='TABEL KONVERSI'!$C$5),3,IF(AND(CD51&gt;='TABEL KONVERSI'!$B$6,'ENTRY DATA'!CD51&lt;='TABEL KONVERSI'!$C$6),4,"")))),"-")</f>
        <v>-</v>
      </c>
      <c r="CG51" s="38" t="str">
        <f>IF(CE51&lt;&gt;"",IF(AND(CE51&gt;='TABEL KONVERSI'!$B$3,'ENTRY DATA'!CE51&lt;='TABEL KONVERSI'!$C$3),1,IF(AND(CE51&gt;='TABEL KONVERSI'!$B$4,'ENTRY DATA'!CE51&lt;='TABEL KONVERSI'!$C$4),2,IF(AND(CE51&gt;='TABEL KONVERSI'!$B$5,'ENTRY DATA'!CE51&lt;='TABEL KONVERSI'!$C$5),3,IF(AND(CE51&gt;='TABEL KONVERSI'!$B$6,'ENTRY DATA'!CE51&lt;='TABEL KONVERSI'!$C$6),4,"")))),"-")</f>
        <v>-</v>
      </c>
      <c r="CH51" s="38" t="str">
        <f t="shared" si="60"/>
        <v>-</v>
      </c>
      <c r="CI51" s="38" t="str">
        <f>VLOOKUP(CF51,'TABEL KONVERSI'!$A$3:$D$7,4)</f>
        <v>-</v>
      </c>
      <c r="CJ51" s="38" t="str">
        <f t="shared" si="61"/>
        <v>-</v>
      </c>
      <c r="CK51" s="38" t="str">
        <f>VLOOKUP(CG51,'TABEL KONVERSI'!$A$3:$D$7,4)</f>
        <v>-</v>
      </c>
      <c r="CL51" s="42"/>
      <c r="CM51" s="37"/>
      <c r="CN51" s="73"/>
      <c r="CO51" s="73"/>
      <c r="CP51" s="38" t="str">
        <f t="shared" si="62"/>
        <v/>
      </c>
      <c r="CQ51" s="38" t="str">
        <f t="shared" si="63"/>
        <v/>
      </c>
      <c r="CR51" s="38" t="str">
        <f>IF(CP51&lt;&gt;"",IF(AND(CP51&gt;='TABEL KONVERSI'!$B$3,'ENTRY DATA'!CP51&lt;='TABEL KONVERSI'!$C$3),1,IF(AND(CP51&gt;='TABEL KONVERSI'!$B$4,'ENTRY DATA'!CP51&lt;='TABEL KONVERSI'!$C$4),2,IF(AND(CP51&gt;='TABEL KONVERSI'!$B$5,'ENTRY DATA'!CP51&lt;='TABEL KONVERSI'!$C$5),3,IF(AND(CP51&gt;='TABEL KONVERSI'!$B$6,'ENTRY DATA'!CP51&lt;='TABEL KONVERSI'!$C$6),4,"")))),"-")</f>
        <v>-</v>
      </c>
      <c r="CS51" s="38" t="str">
        <f>IF(CQ51&lt;&gt;"",IF(AND(CQ51&gt;='TABEL KONVERSI'!$B$3,'ENTRY DATA'!CQ51&lt;='TABEL KONVERSI'!$C$3),1,IF(AND(CQ51&gt;='TABEL KONVERSI'!$B$4,'ENTRY DATA'!CQ51&lt;='TABEL KONVERSI'!$C$4),2,IF(AND(CQ51&gt;='TABEL KONVERSI'!$B$5,'ENTRY DATA'!CQ51&lt;='TABEL KONVERSI'!$C$5),3,IF(AND(CQ51&gt;='TABEL KONVERSI'!$B$6,'ENTRY DATA'!CQ51&lt;='TABEL KONVERSI'!$C$6),4,"")))),"-")</f>
        <v>-</v>
      </c>
      <c r="CT51" s="38" t="str">
        <f t="shared" si="64"/>
        <v>-</v>
      </c>
      <c r="CU51" s="38" t="str">
        <f>VLOOKUP(CR51,'TABEL KONVERSI'!$A$3:$D$7,4)</f>
        <v>-</v>
      </c>
      <c r="CV51" s="38" t="str">
        <f t="shared" si="65"/>
        <v>-</v>
      </c>
      <c r="CW51" s="38" t="str">
        <f>VLOOKUP(CS51,'TABEL KONVERSI'!$A$3:$D$7,4)</f>
        <v>-</v>
      </c>
      <c r="CX51" s="42"/>
      <c r="CY51" s="37"/>
      <c r="CZ51" s="73"/>
      <c r="DA51" s="73"/>
      <c r="DB51" s="38" t="str">
        <f t="shared" si="66"/>
        <v/>
      </c>
      <c r="DC51" s="38" t="str">
        <f t="shared" si="67"/>
        <v/>
      </c>
      <c r="DD51" s="38" t="str">
        <f>IF(DB51&lt;&gt;"",IF(AND(DB51&gt;='TABEL KONVERSI'!$B$3,'ENTRY DATA'!DB51&lt;='TABEL KONVERSI'!$C$3),1,IF(AND(DB51&gt;='TABEL KONVERSI'!$B$4,'ENTRY DATA'!DB51&lt;='TABEL KONVERSI'!$C$4),2,IF(AND(DB51&gt;='TABEL KONVERSI'!$B$5,'ENTRY DATA'!DB51&lt;='TABEL KONVERSI'!$C$5),3,IF(AND(DB51&gt;='TABEL KONVERSI'!$B$6,'ENTRY DATA'!DB51&lt;='TABEL KONVERSI'!$C$6),4,"")))),"-")</f>
        <v>-</v>
      </c>
      <c r="DE51" s="38" t="str">
        <f>IF(DC51&lt;&gt;"",IF(AND(DC51&gt;='TABEL KONVERSI'!$B$3,'ENTRY DATA'!DC51&lt;='TABEL KONVERSI'!$C$3),1,IF(AND(DC51&gt;='TABEL KONVERSI'!$B$4,'ENTRY DATA'!DC51&lt;='TABEL KONVERSI'!$C$4),2,IF(AND(DC51&gt;='TABEL KONVERSI'!$B$5,'ENTRY DATA'!DC51&lt;='TABEL KONVERSI'!$C$5),3,IF(AND(DC51&gt;='TABEL KONVERSI'!$B$6,'ENTRY DATA'!DC51&lt;='TABEL KONVERSI'!$C$6),4,"")))),"-")</f>
        <v>-</v>
      </c>
      <c r="DF51" s="38" t="str">
        <f t="shared" si="68"/>
        <v>-</v>
      </c>
      <c r="DG51" s="38" t="str">
        <f>VLOOKUP(DD51,'TABEL KONVERSI'!$A$3:$D$7,4)</f>
        <v>-</v>
      </c>
      <c r="DH51" s="38" t="str">
        <f t="shared" si="69"/>
        <v>-</v>
      </c>
      <c r="DI51" s="38" t="str">
        <f>VLOOKUP(DE51,'TABEL KONVERSI'!$A$3:$D$7,4)</f>
        <v>-</v>
      </c>
      <c r="DJ51" s="42"/>
      <c r="DK51" s="37"/>
      <c r="DL51" s="73"/>
      <c r="DM51" s="73"/>
      <c r="DN51" s="38" t="str">
        <f t="shared" si="70"/>
        <v/>
      </c>
      <c r="DO51" s="38" t="str">
        <f t="shared" si="71"/>
        <v/>
      </c>
      <c r="DP51" s="38" t="str">
        <f>IF(DN51&lt;&gt;"",IF(AND(DN51&gt;='TABEL KONVERSI'!$B$3,'ENTRY DATA'!DN51&lt;='TABEL KONVERSI'!$C$3),1,IF(AND(DN51&gt;='TABEL KONVERSI'!$B$4,'ENTRY DATA'!DN51&lt;='TABEL KONVERSI'!$C$4),2,IF(AND(DN51&gt;='TABEL KONVERSI'!$B$5,'ENTRY DATA'!DN51&lt;='TABEL KONVERSI'!$C$5),3,IF(AND(DN51&gt;='TABEL KONVERSI'!$B$6,'ENTRY DATA'!DN51&lt;='TABEL KONVERSI'!$C$6),4,"")))),"-")</f>
        <v>-</v>
      </c>
      <c r="DQ51" s="38" t="str">
        <f>IF(DO51&lt;&gt;"",IF(AND(DO51&gt;='TABEL KONVERSI'!$B$3,'ENTRY DATA'!DO51&lt;='TABEL KONVERSI'!$C$3),1,IF(AND(DO51&gt;='TABEL KONVERSI'!$B$4,'ENTRY DATA'!DO51&lt;='TABEL KONVERSI'!$C$4),2,IF(AND(DO51&gt;='TABEL KONVERSI'!$B$5,'ENTRY DATA'!DO51&lt;='TABEL KONVERSI'!$C$5),3,IF(AND(DO51&gt;='TABEL KONVERSI'!$B$6,'ENTRY DATA'!DO51&lt;='TABEL KONVERSI'!$C$6),4,"")))),"-")</f>
        <v>-</v>
      </c>
      <c r="DR51" s="38" t="str">
        <f t="shared" si="72"/>
        <v>-</v>
      </c>
      <c r="DS51" s="38" t="str">
        <f>VLOOKUP(DP51,'TABEL KONVERSI'!$A$3:$D$7,4)</f>
        <v>-</v>
      </c>
      <c r="DT51" s="38" t="str">
        <f t="shared" si="73"/>
        <v>-</v>
      </c>
      <c r="DU51" s="38" t="str">
        <f>VLOOKUP(DQ51,'TABEL KONVERSI'!$A$3:$D$7,4)</f>
        <v>-</v>
      </c>
      <c r="DV51" s="42"/>
      <c r="DW51" s="37"/>
      <c r="DX51" s="73"/>
      <c r="DY51" s="73"/>
      <c r="DZ51" s="38" t="str">
        <f t="shared" si="74"/>
        <v/>
      </c>
      <c r="EA51" s="38" t="str">
        <f t="shared" si="75"/>
        <v/>
      </c>
      <c r="EB51" s="38" t="str">
        <f>IF(DZ51&lt;&gt;"",IF(AND(DZ51&gt;='TABEL KONVERSI'!$B$3,'ENTRY DATA'!DZ51&lt;='TABEL KONVERSI'!$C$3),1,IF(AND(DZ51&gt;='TABEL KONVERSI'!$B$4,'ENTRY DATA'!DZ51&lt;='TABEL KONVERSI'!$C$4),2,IF(AND(DZ51&gt;='TABEL KONVERSI'!$B$5,'ENTRY DATA'!DZ51&lt;='TABEL KONVERSI'!$C$5),3,IF(AND(DZ51&gt;='TABEL KONVERSI'!$B$6,'ENTRY DATA'!DZ51&lt;='TABEL KONVERSI'!$C$6),4,"")))),"-")</f>
        <v>-</v>
      </c>
      <c r="EC51" s="38" t="str">
        <f>IF(EA51&lt;&gt;"",IF(AND(EA51&gt;='TABEL KONVERSI'!$B$3,'ENTRY DATA'!EA51&lt;='TABEL KONVERSI'!$C$3),1,IF(AND(EA51&gt;='TABEL KONVERSI'!$B$4,'ENTRY DATA'!EA51&lt;='TABEL KONVERSI'!$C$4),2,IF(AND(EA51&gt;='TABEL KONVERSI'!$B$5,'ENTRY DATA'!EA51&lt;='TABEL KONVERSI'!$C$5),3,IF(AND(EA51&gt;='TABEL KONVERSI'!$B$6,'ENTRY DATA'!EA51&lt;='TABEL KONVERSI'!$C$6),4,"")))),"-")</f>
        <v>-</v>
      </c>
      <c r="ED51" s="38" t="str">
        <f t="shared" si="76"/>
        <v>-</v>
      </c>
      <c r="EE51" s="38" t="str">
        <f>VLOOKUP(EB51,'TABEL KONVERSI'!$A$3:$D$7,4)</f>
        <v>-</v>
      </c>
      <c r="EF51" s="38" t="str">
        <f t="shared" si="77"/>
        <v>-</v>
      </c>
      <c r="EG51" s="38" t="str">
        <f>VLOOKUP(EC51,'TABEL KONVERSI'!$A$3:$D$7,4)</f>
        <v>-</v>
      </c>
      <c r="EH51" s="42"/>
      <c r="EI51" s="37"/>
      <c r="EJ51" s="73"/>
      <c r="EK51" s="73"/>
      <c r="EL51" s="38" t="str">
        <f t="shared" si="78"/>
        <v/>
      </c>
      <c r="EM51" s="38" t="str">
        <f t="shared" si="79"/>
        <v/>
      </c>
      <c r="EN51" s="38" t="str">
        <f>IF(EL51&lt;&gt;"",IF(AND(EL51&gt;='TABEL KONVERSI'!$B$3,'ENTRY DATA'!EL51&lt;='TABEL KONVERSI'!$C$3),1,IF(AND(EL51&gt;='TABEL KONVERSI'!$B$4,'ENTRY DATA'!EL51&lt;='TABEL KONVERSI'!$C$4),2,IF(AND(EL51&gt;='TABEL KONVERSI'!$B$5,'ENTRY DATA'!EL51&lt;='TABEL KONVERSI'!$C$5),3,IF(AND(EL51&gt;='TABEL KONVERSI'!$B$6,'ENTRY DATA'!EL51&lt;='TABEL KONVERSI'!$C$6),4,"")))),"-")</f>
        <v>-</v>
      </c>
      <c r="EO51" s="38" t="str">
        <f>IF(EM51&lt;&gt;"",IF(AND(EM51&gt;='TABEL KONVERSI'!$B$3,'ENTRY DATA'!EM51&lt;='TABEL KONVERSI'!$C$3),1,IF(AND(EM51&gt;='TABEL KONVERSI'!$B$4,'ENTRY DATA'!EM51&lt;='TABEL KONVERSI'!$C$4),2,IF(AND(EM51&gt;='TABEL KONVERSI'!$B$5,'ENTRY DATA'!EM51&lt;='TABEL KONVERSI'!$C$5),3,IF(AND(EM51&gt;='TABEL KONVERSI'!$B$6,'ENTRY DATA'!EM51&lt;='TABEL KONVERSI'!$C$6),4,"")))),"-")</f>
        <v>-</v>
      </c>
      <c r="EP51" s="38" t="str">
        <f t="shared" si="80"/>
        <v>-</v>
      </c>
      <c r="EQ51" s="38" t="str">
        <f>VLOOKUP(EN51,'TABEL KONVERSI'!$A$3:$D$7,4)</f>
        <v>-</v>
      </c>
      <c r="ER51" s="38" t="str">
        <f t="shared" si="81"/>
        <v>-</v>
      </c>
      <c r="ES51" s="38" t="str">
        <f>VLOOKUP(EO51,'TABEL KONVERSI'!$A$3:$D$7,4)</f>
        <v>-</v>
      </c>
      <c r="ET51" s="42"/>
      <c r="EU51" s="37"/>
      <c r="EV51" s="73"/>
      <c r="EW51" s="73"/>
      <c r="EX51" s="38" t="str">
        <f t="shared" si="82"/>
        <v/>
      </c>
      <c r="EY51" s="38" t="str">
        <f t="shared" si="83"/>
        <v/>
      </c>
      <c r="EZ51" s="38" t="str">
        <f>IF(EX51&lt;&gt;"",IF(AND(EX51&gt;='TABEL KONVERSI'!$B$3,'ENTRY DATA'!EX51&lt;='TABEL KONVERSI'!$C$3),1,IF(AND(EX51&gt;='TABEL KONVERSI'!$B$4,'ENTRY DATA'!EX51&lt;='TABEL KONVERSI'!$C$4),2,IF(AND(EX51&gt;='TABEL KONVERSI'!$B$5,'ENTRY DATA'!EX51&lt;='TABEL KONVERSI'!$C$5),3,IF(AND(EX51&gt;='TABEL KONVERSI'!$B$6,'ENTRY DATA'!EX51&lt;='TABEL KONVERSI'!$C$6),4,"")))),"-")</f>
        <v>-</v>
      </c>
      <c r="FA51" s="38" t="str">
        <f>IF(EY51&lt;&gt;"",IF(AND(EY51&gt;='TABEL KONVERSI'!$B$3,'ENTRY DATA'!EY51&lt;='TABEL KONVERSI'!$C$3),1,IF(AND(EY51&gt;='TABEL KONVERSI'!$B$4,'ENTRY DATA'!EY51&lt;='TABEL KONVERSI'!$C$4),2,IF(AND(EY51&gt;='TABEL KONVERSI'!$B$5,'ENTRY DATA'!EY51&lt;='TABEL KONVERSI'!$C$5),3,IF(AND(EY51&gt;='TABEL KONVERSI'!$B$6,'ENTRY DATA'!EY51&lt;='TABEL KONVERSI'!$C$6),4,"")))),"-")</f>
        <v>-</v>
      </c>
      <c r="FB51" s="38" t="str">
        <f t="shared" si="84"/>
        <v>-</v>
      </c>
      <c r="FC51" s="38" t="str">
        <f>VLOOKUP(EZ51,'TABEL KONVERSI'!$A$3:$D$7,4)</f>
        <v>-</v>
      </c>
      <c r="FD51" s="38" t="str">
        <f t="shared" si="85"/>
        <v>-</v>
      </c>
      <c r="FE51" s="38" t="str">
        <f>VLOOKUP(FA51,'TABEL KONVERSI'!$A$3:$D$7,4)</f>
        <v>-</v>
      </c>
      <c r="FF51" s="42"/>
      <c r="FG51" s="37"/>
      <c r="FH51" s="73"/>
      <c r="FI51" s="73"/>
      <c r="FJ51" s="38" t="str">
        <f t="shared" si="86"/>
        <v/>
      </c>
      <c r="FK51" s="38" t="str">
        <f t="shared" si="87"/>
        <v/>
      </c>
      <c r="FL51" s="38" t="str">
        <f>IF(FJ51&lt;&gt;"",IF(AND(FJ51&gt;='TABEL KONVERSI'!$B$3,'ENTRY DATA'!FJ51&lt;='TABEL KONVERSI'!$C$3),1,IF(AND(FJ51&gt;='TABEL KONVERSI'!$B$4,'ENTRY DATA'!FJ51&lt;='TABEL KONVERSI'!$C$4),2,IF(AND(FJ51&gt;='TABEL KONVERSI'!$B$5,'ENTRY DATA'!FJ51&lt;='TABEL KONVERSI'!$C$5),3,IF(AND(FJ51&gt;='TABEL KONVERSI'!$B$6,'ENTRY DATA'!FJ51&lt;='TABEL KONVERSI'!$C$6),4,"")))),"-")</f>
        <v>-</v>
      </c>
      <c r="FM51" s="38" t="str">
        <f>IF(FK51&lt;&gt;"",IF(AND(FK51&gt;='TABEL KONVERSI'!$B$3,'ENTRY DATA'!FK51&lt;='TABEL KONVERSI'!$C$3),1,IF(AND(FK51&gt;='TABEL KONVERSI'!$B$4,'ENTRY DATA'!FK51&lt;='TABEL KONVERSI'!$C$4),2,IF(AND(FK51&gt;='TABEL KONVERSI'!$B$5,'ENTRY DATA'!FK51&lt;='TABEL KONVERSI'!$C$5),3,IF(AND(FK51&gt;='TABEL KONVERSI'!$B$6,'ENTRY DATA'!FK51&lt;='TABEL KONVERSI'!$C$6),4,"")))),"-")</f>
        <v>-</v>
      </c>
      <c r="FN51" s="38" t="str">
        <f t="shared" si="88"/>
        <v>-</v>
      </c>
      <c r="FO51" s="38" t="str">
        <f>VLOOKUP(FL51,'TABEL KONVERSI'!$A$3:$D$7,4)</f>
        <v>-</v>
      </c>
      <c r="FP51" s="38" t="str">
        <f t="shared" si="89"/>
        <v>-</v>
      </c>
      <c r="FQ51" s="38" t="str">
        <f>VLOOKUP(FM51,'TABEL KONVERSI'!$A$3:$D$7,4)</f>
        <v>-</v>
      </c>
      <c r="FR51" s="42"/>
      <c r="FS51" s="37"/>
      <c r="FT51" s="73"/>
      <c r="FU51" s="73"/>
      <c r="FV51" s="38" t="str">
        <f t="shared" si="90"/>
        <v/>
      </c>
      <c r="FW51" s="38" t="str">
        <f t="shared" si="91"/>
        <v/>
      </c>
      <c r="FX51" s="38" t="str">
        <f>IF(FV51&lt;&gt;"",IF(AND(FV51&gt;='TABEL KONVERSI'!$B$3,'ENTRY DATA'!FV51&lt;='TABEL KONVERSI'!$C$3),1,IF(AND(FV51&gt;='TABEL KONVERSI'!$B$4,'ENTRY DATA'!FV51&lt;='TABEL KONVERSI'!$C$4),2,IF(AND(FV51&gt;='TABEL KONVERSI'!$B$5,'ENTRY DATA'!FV51&lt;='TABEL KONVERSI'!$C$5),3,IF(AND(FV51&gt;='TABEL KONVERSI'!$B$6,'ENTRY DATA'!FV51&lt;='TABEL KONVERSI'!$C$6),4,"")))),"-")</f>
        <v>-</v>
      </c>
      <c r="FY51" s="38" t="str">
        <f>IF(FW51&lt;&gt;"",IF(AND(FW51&gt;='TABEL KONVERSI'!$B$3,'ENTRY DATA'!FW51&lt;='TABEL KONVERSI'!$C$3),1,IF(AND(FW51&gt;='TABEL KONVERSI'!$B$4,'ENTRY DATA'!FW51&lt;='TABEL KONVERSI'!$C$4),2,IF(AND(FW51&gt;='TABEL KONVERSI'!$B$5,'ENTRY DATA'!FW51&lt;='TABEL KONVERSI'!$C$5),3,IF(AND(FW51&gt;='TABEL KONVERSI'!$B$6,'ENTRY DATA'!FW51&lt;='TABEL KONVERSI'!$C$6),4,"")))),"-")</f>
        <v>-</v>
      </c>
      <c r="FZ51" s="38" t="str">
        <f t="shared" si="92"/>
        <v>-</v>
      </c>
      <c r="GA51" s="38" t="str">
        <f>VLOOKUP(FX51,'TABEL KONVERSI'!$A$3:$D$7,4)</f>
        <v>-</v>
      </c>
      <c r="GB51" s="38" t="str">
        <f t="shared" si="93"/>
        <v>-</v>
      </c>
      <c r="GC51" s="38" t="str">
        <f>VLOOKUP(FY51,'TABEL KONVERSI'!$A$3:$D$7,4)</f>
        <v>-</v>
      </c>
      <c r="GD51" s="42"/>
      <c r="GE51" s="37"/>
      <c r="GF51" s="73"/>
      <c r="GG51" s="73"/>
      <c r="GH51" s="38" t="str">
        <f t="shared" si="94"/>
        <v/>
      </c>
      <c r="GI51" s="38" t="str">
        <f t="shared" si="95"/>
        <v/>
      </c>
      <c r="GJ51" s="38" t="str">
        <f>IF(GH51&lt;&gt;"",IF(AND(GH51&gt;='TABEL KONVERSI'!$B$3,'ENTRY DATA'!GH51&lt;='TABEL KONVERSI'!$C$3),1,IF(AND(GH51&gt;='TABEL KONVERSI'!$B$4,'ENTRY DATA'!GH51&lt;='TABEL KONVERSI'!$C$4),2,IF(AND(GH51&gt;='TABEL KONVERSI'!$B$5,'ENTRY DATA'!GH51&lt;='TABEL KONVERSI'!$C$5),3,IF(AND(GH51&gt;='TABEL KONVERSI'!$B$6,'ENTRY DATA'!GH51&lt;='TABEL KONVERSI'!$C$6),4,"")))),"-")</f>
        <v>-</v>
      </c>
      <c r="GK51" s="38" t="str">
        <f>IF(GI51&lt;&gt;"",IF(AND(GI51&gt;='TABEL KONVERSI'!$B$3,'ENTRY DATA'!GI51&lt;='TABEL KONVERSI'!$C$3),1,IF(AND(GI51&gt;='TABEL KONVERSI'!$B$4,'ENTRY DATA'!GI51&lt;='TABEL KONVERSI'!$C$4),2,IF(AND(GI51&gt;='TABEL KONVERSI'!$B$5,'ENTRY DATA'!GI51&lt;='TABEL KONVERSI'!$C$5),3,IF(AND(GI51&gt;='TABEL KONVERSI'!$B$6,'ENTRY DATA'!GI51&lt;='TABEL KONVERSI'!$C$6),4,"")))),"-")</f>
        <v>-</v>
      </c>
      <c r="GL51" s="38" t="str">
        <f t="shared" si="96"/>
        <v>-</v>
      </c>
      <c r="GM51" s="38" t="str">
        <f>VLOOKUP(GJ51,'TABEL KONVERSI'!$A$3:$D$7,4)</f>
        <v>-</v>
      </c>
      <c r="GN51" s="38" t="str">
        <f t="shared" si="97"/>
        <v>-</v>
      </c>
      <c r="GO51" s="38" t="str">
        <f>VLOOKUP(GK51,'TABEL KONVERSI'!$A$3:$D$7,4)</f>
        <v>-</v>
      </c>
      <c r="GP51" s="43">
        <f t="shared" si="108"/>
        <v>0</v>
      </c>
      <c r="GQ51" s="43">
        <f t="shared" si="109"/>
        <v>0</v>
      </c>
      <c r="GR51" s="43">
        <f t="shared" si="110"/>
        <v>0</v>
      </c>
      <c r="GS51" s="43">
        <f t="shared" si="111"/>
        <v>0</v>
      </c>
      <c r="GT51" s="43">
        <f t="shared" si="112"/>
        <v>0</v>
      </c>
      <c r="GU51" s="43">
        <f t="shared" si="113"/>
        <v>0</v>
      </c>
      <c r="GV51" s="43">
        <f t="shared" si="114"/>
        <v>0</v>
      </c>
      <c r="GW51" s="43">
        <f t="shared" si="115"/>
        <v>0</v>
      </c>
      <c r="GX51" s="43">
        <f t="shared" si="116"/>
        <v>0</v>
      </c>
      <c r="GY51" s="43">
        <f t="shared" si="117"/>
        <v>0</v>
      </c>
      <c r="GZ51" s="43">
        <f t="shared" si="118"/>
        <v>0</v>
      </c>
      <c r="HA51" s="43">
        <f t="shared" si="119"/>
        <v>0</v>
      </c>
      <c r="HB51" s="43">
        <f t="shared" si="120"/>
        <v>0</v>
      </c>
      <c r="HC51" s="43">
        <f t="shared" si="121"/>
        <v>0</v>
      </c>
      <c r="HD51" s="43">
        <f t="shared" si="122"/>
        <v>0</v>
      </c>
      <c r="HE51" s="43">
        <f t="shared" si="123"/>
        <v>0</v>
      </c>
      <c r="HF51" s="38">
        <f t="shared" si="98"/>
        <v>0</v>
      </c>
      <c r="HG51" s="38">
        <f t="shared" si="99"/>
        <v>0</v>
      </c>
      <c r="HH51" s="38">
        <f t="shared" si="100"/>
        <v>0</v>
      </c>
      <c r="HI51" s="39">
        <f t="shared" si="101"/>
        <v>0</v>
      </c>
      <c r="HJ51" s="44" t="str">
        <f t="shared" si="102"/>
        <v>-</v>
      </c>
      <c r="HK51" s="45" t="str">
        <f>VLOOKUP(HJ51,'TABEL KONVERSI'!$B$11:$D$15,2,0)</f>
        <v>-</v>
      </c>
      <c r="HL51" s="43">
        <f t="shared" si="124"/>
        <v>0</v>
      </c>
      <c r="HM51" s="43">
        <f t="shared" si="125"/>
        <v>0</v>
      </c>
      <c r="HN51" s="43">
        <f t="shared" si="126"/>
        <v>0</v>
      </c>
      <c r="HO51" s="43">
        <f t="shared" si="127"/>
        <v>0</v>
      </c>
      <c r="HP51" s="43">
        <f t="shared" si="128"/>
        <v>0</v>
      </c>
      <c r="HQ51" s="43">
        <f t="shared" si="129"/>
        <v>0</v>
      </c>
      <c r="HR51" s="43">
        <f t="shared" si="130"/>
        <v>0</v>
      </c>
      <c r="HS51" s="43">
        <f t="shared" si="131"/>
        <v>0</v>
      </c>
      <c r="HT51" s="43">
        <f t="shared" si="132"/>
        <v>0</v>
      </c>
      <c r="HU51" s="43">
        <f t="shared" si="133"/>
        <v>0</v>
      </c>
      <c r="HV51" s="43">
        <f t="shared" si="134"/>
        <v>0</v>
      </c>
      <c r="HW51" s="43">
        <f t="shared" si="135"/>
        <v>0</v>
      </c>
      <c r="HX51" s="43">
        <f t="shared" si="136"/>
        <v>0</v>
      </c>
      <c r="HY51" s="43">
        <f t="shared" si="137"/>
        <v>0</v>
      </c>
      <c r="HZ51" s="43">
        <f t="shared" si="138"/>
        <v>0</v>
      </c>
      <c r="IA51" s="43">
        <f t="shared" si="139"/>
        <v>0</v>
      </c>
      <c r="IB51" s="38">
        <f t="shared" si="103"/>
        <v>0</v>
      </c>
      <c r="IC51" s="38">
        <f t="shared" si="104"/>
        <v>0</v>
      </c>
      <c r="ID51" s="38">
        <f t="shared" si="105"/>
        <v>0</v>
      </c>
      <c r="IE51" s="38">
        <f t="shared" si="106"/>
        <v>0</v>
      </c>
      <c r="IF51" s="46" t="str">
        <f t="shared" si="107"/>
        <v>-</v>
      </c>
      <c r="IG51" s="45" t="str">
        <f>VLOOKUP(IF51,'TABEL KONVERSI'!$B$11:$D$15,3,0)</f>
        <v>-</v>
      </c>
      <c r="IH51" s="40" t="s">
        <v>223</v>
      </c>
      <c r="II51" s="41" t="s">
        <v>106</v>
      </c>
      <c r="IJ51" s="45" t="str">
        <f>IF(II51&lt;&gt;"",VLOOKUP(II51,'TABEL KONVERSI'!$A$19:$B$23,2,0),"")</f>
        <v>Aktif dalam mengikuti kegiatan</v>
      </c>
      <c r="IK51" s="47" t="s">
        <v>58</v>
      </c>
      <c r="IL51" s="50" t="s">
        <v>58</v>
      </c>
      <c r="IM51" s="45" t="str">
        <f>IF(IL51&lt;&gt;"",VLOOKUP(IL51,'TABEL KONVERSI'!$A$19:$B$23,2,0),"")</f>
        <v>-</v>
      </c>
      <c r="IN51" s="49" t="s">
        <v>58</v>
      </c>
      <c r="IO51" s="48" t="s">
        <v>58</v>
      </c>
      <c r="IP51" s="45" t="str">
        <f>IF(IO51&lt;&gt;"",VLOOKUP(IO51,'TABEL KONVERSI'!$A$19:$B$23,2,0),"")</f>
        <v>-</v>
      </c>
      <c r="IQ51" s="49" t="s">
        <v>58</v>
      </c>
      <c r="IR51" s="50" t="s">
        <v>58</v>
      </c>
      <c r="IS51" s="45" t="str">
        <f>IF(IR51&lt;&gt;"",VLOOKUP(IR51,'TABEL KONVERSI'!$A$19:$B$23,2,0),"")</f>
        <v>-</v>
      </c>
      <c r="IT51" s="49" t="s">
        <v>58</v>
      </c>
      <c r="IU51" s="50" t="s">
        <v>58</v>
      </c>
      <c r="IV51" s="45" t="str">
        <f>IF(IU51&lt;&gt;"",VLOOKUP(IU51,'TABEL KONVERSI'!$A$19:$B$23,2,0),"")</f>
        <v>-</v>
      </c>
      <c r="IW51" s="48" t="s">
        <v>58</v>
      </c>
      <c r="IX51" s="48" t="s">
        <v>58</v>
      </c>
      <c r="IY51" s="48" t="s">
        <v>58</v>
      </c>
      <c r="IZ51" s="47" t="s">
        <v>58</v>
      </c>
      <c r="JA51" s="45">
        <f t="shared" si="140"/>
        <v>0</v>
      </c>
      <c r="JB51" s="45">
        <f t="shared" si="141"/>
        <v>1</v>
      </c>
    </row>
    <row r="52" spans="1:262" x14ac:dyDescent="0.25">
      <c r="A52" s="33">
        <v>40</v>
      </c>
      <c r="B52" s="53"/>
      <c r="C52" s="53"/>
      <c r="D52" s="54"/>
      <c r="E52" s="55"/>
      <c r="F52" s="42"/>
      <c r="G52" s="37"/>
      <c r="H52" s="73"/>
      <c r="I52" s="73"/>
      <c r="J52" s="38" t="str">
        <f t="shared" si="34"/>
        <v/>
      </c>
      <c r="K52" s="38" t="str">
        <f t="shared" si="35"/>
        <v/>
      </c>
      <c r="L52" s="38" t="str">
        <f>IF(J52&lt;&gt;"",IF(AND(J52&gt;='TABEL KONVERSI'!$B$3,'ENTRY DATA'!J52&lt;='TABEL KONVERSI'!$C$3),1,IF(AND(J52&gt;='TABEL KONVERSI'!$B$4,'ENTRY DATA'!J52&lt;='TABEL KONVERSI'!$C$4),2,IF(AND(J52&gt;='TABEL KONVERSI'!$B$5,'ENTRY DATA'!J52&lt;='TABEL KONVERSI'!$C$5),3,IF(AND(J52&gt;='TABEL KONVERSI'!$B$6,'ENTRY DATA'!J52&lt;='TABEL KONVERSI'!$C$6),4,"")))),"-")</f>
        <v>-</v>
      </c>
      <c r="M52" s="38" t="str">
        <f>IF(K52&lt;&gt;"",IF(AND(K52&gt;='TABEL KONVERSI'!$B$3,'ENTRY DATA'!K52&lt;='TABEL KONVERSI'!$C$3),1,IF(AND(K52&gt;='TABEL KONVERSI'!$B$4,'ENTRY DATA'!K52&lt;='TABEL KONVERSI'!$C$4),2,IF(AND(K52&gt;='TABEL KONVERSI'!$B$5,'ENTRY DATA'!K52&lt;='TABEL KONVERSI'!$C$5),3,IF(AND(K52&gt;='TABEL KONVERSI'!$B$6,'ENTRY DATA'!K52&lt;='TABEL KONVERSI'!$C$6),4,"")))),"-")</f>
        <v>-</v>
      </c>
      <c r="N52" s="38" t="str">
        <f t="shared" si="36"/>
        <v>-</v>
      </c>
      <c r="O52" s="38" t="str">
        <f>VLOOKUP(L52,'TABEL KONVERSI'!$A$3:$D$7,4)</f>
        <v>-</v>
      </c>
      <c r="P52" s="38" t="str">
        <f t="shared" si="37"/>
        <v>-</v>
      </c>
      <c r="Q52" s="38" t="str">
        <f>VLOOKUP(M52,'TABEL KONVERSI'!$A$3:$D$7,4)</f>
        <v>-</v>
      </c>
      <c r="R52" s="42"/>
      <c r="S52" s="37"/>
      <c r="T52" s="73"/>
      <c r="U52" s="73"/>
      <c r="V52" s="38" t="str">
        <f t="shared" si="38"/>
        <v/>
      </c>
      <c r="W52" s="38" t="str">
        <f t="shared" si="39"/>
        <v/>
      </c>
      <c r="X52" s="38" t="str">
        <f>IF(V52&lt;&gt;"",IF(AND(V52&gt;='TABEL KONVERSI'!$B$3,'ENTRY DATA'!V52&lt;='TABEL KONVERSI'!$C$3),1,IF(AND(V52&gt;='TABEL KONVERSI'!$B$4,'ENTRY DATA'!V52&lt;='TABEL KONVERSI'!$C$4),2,IF(AND(V52&gt;='TABEL KONVERSI'!$B$5,'ENTRY DATA'!V52&lt;='TABEL KONVERSI'!$C$5),3,IF(AND(V52&gt;='TABEL KONVERSI'!$B$6,'ENTRY DATA'!V52&lt;='TABEL KONVERSI'!$C$6),4,"")))),"-")</f>
        <v>-</v>
      </c>
      <c r="Y52" s="38" t="str">
        <f>IF(W52&lt;&gt;"",IF(AND(W52&gt;='TABEL KONVERSI'!$B$3,'ENTRY DATA'!W52&lt;='TABEL KONVERSI'!$C$3),1,IF(AND(W52&gt;='TABEL KONVERSI'!$B$4,'ENTRY DATA'!W52&lt;='TABEL KONVERSI'!$C$4),2,IF(AND(W52&gt;='TABEL KONVERSI'!$B$5,'ENTRY DATA'!W52&lt;='TABEL KONVERSI'!$C$5),3,IF(AND(W52&gt;='TABEL KONVERSI'!$B$6,'ENTRY DATA'!W52&lt;='TABEL KONVERSI'!$C$6),4,"")))),"-")</f>
        <v>-</v>
      </c>
      <c r="Z52" s="38" t="str">
        <f t="shared" si="40"/>
        <v>-</v>
      </c>
      <c r="AA52" s="38" t="str">
        <f>VLOOKUP(X52,'TABEL KONVERSI'!$A$3:$D$7,4)</f>
        <v>-</v>
      </c>
      <c r="AB52" s="38" t="str">
        <f t="shared" si="41"/>
        <v>-</v>
      </c>
      <c r="AC52" s="38" t="str">
        <f>VLOOKUP(Y52,'TABEL KONVERSI'!$A$3:$D$7,4)</f>
        <v>-</v>
      </c>
      <c r="AD52" s="42"/>
      <c r="AE52" s="37"/>
      <c r="AF52" s="73"/>
      <c r="AG52" s="73"/>
      <c r="AH52" s="38" t="str">
        <f t="shared" si="42"/>
        <v/>
      </c>
      <c r="AI52" s="38" t="str">
        <f t="shared" si="43"/>
        <v/>
      </c>
      <c r="AJ52" s="38" t="str">
        <f>IF(AH52&lt;&gt;"",IF(AND(AH52&gt;='TABEL KONVERSI'!$B$3,'ENTRY DATA'!AH52&lt;='TABEL KONVERSI'!$C$3),1,IF(AND(AH52&gt;='TABEL KONVERSI'!$B$4,'ENTRY DATA'!AH52&lt;='TABEL KONVERSI'!$C$4),2,IF(AND(AH52&gt;='TABEL KONVERSI'!$B$5,'ENTRY DATA'!AH52&lt;='TABEL KONVERSI'!$C$5),3,IF(AND(AH52&gt;='TABEL KONVERSI'!$B$6,'ENTRY DATA'!AH52&lt;='TABEL KONVERSI'!$C$6),4,"")))),"-")</f>
        <v>-</v>
      </c>
      <c r="AK52" s="38" t="str">
        <f>IF(AI52&lt;&gt;"",IF(AND(AI52&gt;='TABEL KONVERSI'!$B$3,'ENTRY DATA'!AI52&lt;='TABEL KONVERSI'!$C$3),1,IF(AND(AI52&gt;='TABEL KONVERSI'!$B$4,'ENTRY DATA'!AI52&lt;='TABEL KONVERSI'!$C$4),2,IF(AND(AI52&gt;='TABEL KONVERSI'!$B$5,'ENTRY DATA'!AI52&lt;='TABEL KONVERSI'!$C$5),3,IF(AND(AI52&gt;='TABEL KONVERSI'!$B$6,'ENTRY DATA'!AI52&lt;='TABEL KONVERSI'!$C$6),4,"")))),"-")</f>
        <v>-</v>
      </c>
      <c r="AL52" s="38" t="str">
        <f t="shared" si="44"/>
        <v>-</v>
      </c>
      <c r="AM52" s="38" t="str">
        <f>VLOOKUP(AJ52,'TABEL KONVERSI'!$A$3:$D$7,4)</f>
        <v>-</v>
      </c>
      <c r="AN52" s="38" t="str">
        <f t="shared" si="45"/>
        <v>-</v>
      </c>
      <c r="AO52" s="38" t="str">
        <f>VLOOKUP(AK52,'TABEL KONVERSI'!$A$3:$D$7,4)</f>
        <v>-</v>
      </c>
      <c r="AP52" s="42"/>
      <c r="AQ52" s="37"/>
      <c r="AR52" s="73"/>
      <c r="AS52" s="73"/>
      <c r="AT52" s="38" t="str">
        <f t="shared" si="46"/>
        <v/>
      </c>
      <c r="AU52" s="38" t="str">
        <f t="shared" si="47"/>
        <v/>
      </c>
      <c r="AV52" s="38" t="str">
        <f>IF(AT52&lt;&gt;"",IF(AND(AT52&gt;='TABEL KONVERSI'!$B$3,'ENTRY DATA'!AT52&lt;='TABEL KONVERSI'!$C$3),1,IF(AND(AT52&gt;='TABEL KONVERSI'!$B$4,'ENTRY DATA'!AT52&lt;='TABEL KONVERSI'!$C$4),2,IF(AND(AT52&gt;='TABEL KONVERSI'!$B$5,'ENTRY DATA'!AT52&lt;='TABEL KONVERSI'!$C$5),3,IF(AND(AT52&gt;='TABEL KONVERSI'!$B$6,'ENTRY DATA'!AT52&lt;='TABEL KONVERSI'!$C$6),4,"")))),"-")</f>
        <v>-</v>
      </c>
      <c r="AW52" s="38" t="str">
        <f>IF(AU52&lt;&gt;"",IF(AND(AU52&gt;='TABEL KONVERSI'!$B$3,'ENTRY DATA'!AU52&lt;='TABEL KONVERSI'!$C$3),1,IF(AND(AU52&gt;='TABEL KONVERSI'!$B$4,'ENTRY DATA'!AU52&lt;='TABEL KONVERSI'!$C$4),2,IF(AND(AU52&gt;='TABEL KONVERSI'!$B$5,'ENTRY DATA'!AU52&lt;='TABEL KONVERSI'!$C$5),3,IF(AND(AU52&gt;='TABEL KONVERSI'!$B$6,'ENTRY DATA'!AU52&lt;='TABEL KONVERSI'!$C$6),4,"")))),"-")</f>
        <v>-</v>
      </c>
      <c r="AX52" s="38" t="str">
        <f t="shared" si="48"/>
        <v>-</v>
      </c>
      <c r="AY52" s="38" t="str">
        <f>VLOOKUP(AV52,'TABEL KONVERSI'!$A$3:$D$7,4)</f>
        <v>-</v>
      </c>
      <c r="AZ52" s="38" t="str">
        <f t="shared" si="49"/>
        <v>-</v>
      </c>
      <c r="BA52" s="38" t="str">
        <f>VLOOKUP(AW52,'TABEL KONVERSI'!$A$3:$D$7,4)</f>
        <v>-</v>
      </c>
      <c r="BB52" s="42"/>
      <c r="BC52" s="37"/>
      <c r="BD52" s="73"/>
      <c r="BE52" s="73"/>
      <c r="BF52" s="38" t="str">
        <f t="shared" si="50"/>
        <v/>
      </c>
      <c r="BG52" s="38" t="str">
        <f t="shared" si="51"/>
        <v/>
      </c>
      <c r="BH52" s="38" t="str">
        <f>IF(BF52&lt;&gt;"",IF(AND(BF52&gt;='TABEL KONVERSI'!$B$3,'ENTRY DATA'!BF52&lt;='TABEL KONVERSI'!$C$3),1,IF(AND(BF52&gt;='TABEL KONVERSI'!$B$4,'ENTRY DATA'!BF52&lt;='TABEL KONVERSI'!$C$4),2,IF(AND(BF52&gt;='TABEL KONVERSI'!$B$5,'ENTRY DATA'!BF52&lt;='TABEL KONVERSI'!$C$5),3,IF(AND(BF52&gt;='TABEL KONVERSI'!$B$6,'ENTRY DATA'!BF52&lt;='TABEL KONVERSI'!$C$6),4,"")))),"-")</f>
        <v>-</v>
      </c>
      <c r="BI52" s="38" t="str">
        <f>IF(BG52&lt;&gt;"",IF(AND(BG52&gt;='TABEL KONVERSI'!$B$3,'ENTRY DATA'!BG52&lt;='TABEL KONVERSI'!$C$3),1,IF(AND(BG52&gt;='TABEL KONVERSI'!$B$4,'ENTRY DATA'!BG52&lt;='TABEL KONVERSI'!$C$4),2,IF(AND(BG52&gt;='TABEL KONVERSI'!$B$5,'ENTRY DATA'!BG52&lt;='TABEL KONVERSI'!$C$5),3,IF(AND(BG52&gt;='TABEL KONVERSI'!$B$6,'ENTRY DATA'!BG52&lt;='TABEL KONVERSI'!$C$6),4,"")))),"-")</f>
        <v>-</v>
      </c>
      <c r="BJ52" s="38" t="str">
        <f t="shared" si="52"/>
        <v>-</v>
      </c>
      <c r="BK52" s="38" t="str">
        <f>VLOOKUP(BH52,'TABEL KONVERSI'!$A$3:$D$7,4)</f>
        <v>-</v>
      </c>
      <c r="BL52" s="38" t="str">
        <f t="shared" si="53"/>
        <v>-</v>
      </c>
      <c r="BM52" s="38" t="str">
        <f>VLOOKUP(BI52,'TABEL KONVERSI'!$A$3:$D$7,4)</f>
        <v>-</v>
      </c>
      <c r="BN52" s="42"/>
      <c r="BO52" s="37"/>
      <c r="BP52" s="73"/>
      <c r="BQ52" s="73"/>
      <c r="BR52" s="38" t="str">
        <f t="shared" si="54"/>
        <v/>
      </c>
      <c r="BS52" s="38" t="str">
        <f t="shared" si="55"/>
        <v/>
      </c>
      <c r="BT52" s="38" t="str">
        <f>IF(BR52&lt;&gt;"",IF(AND(BR52&gt;='TABEL KONVERSI'!$B$3,'ENTRY DATA'!BR52&lt;='TABEL KONVERSI'!$C$3),1,IF(AND(BR52&gt;='TABEL KONVERSI'!$B$4,'ENTRY DATA'!BR52&lt;='TABEL KONVERSI'!$C$4),2,IF(AND(BR52&gt;='TABEL KONVERSI'!$B$5,'ENTRY DATA'!BR52&lt;='TABEL KONVERSI'!$C$5),3,IF(AND(BR52&gt;='TABEL KONVERSI'!$B$6,'ENTRY DATA'!BR52&lt;='TABEL KONVERSI'!$C$6),4,"")))),"-")</f>
        <v>-</v>
      </c>
      <c r="BU52" s="38" t="str">
        <f>IF(BS52&lt;&gt;"",IF(AND(BS52&gt;='TABEL KONVERSI'!$B$3,'ENTRY DATA'!BS52&lt;='TABEL KONVERSI'!$C$3),1,IF(AND(BS52&gt;='TABEL KONVERSI'!$B$4,'ENTRY DATA'!BS52&lt;='TABEL KONVERSI'!$C$4),2,IF(AND(BS52&gt;='TABEL KONVERSI'!$B$5,'ENTRY DATA'!BS52&lt;='TABEL KONVERSI'!$C$5),3,IF(AND(BS52&gt;='TABEL KONVERSI'!$B$6,'ENTRY DATA'!BS52&lt;='TABEL KONVERSI'!$C$6),4,"")))),"-")</f>
        <v>-</v>
      </c>
      <c r="BV52" s="38" t="str">
        <f t="shared" si="56"/>
        <v>-</v>
      </c>
      <c r="BW52" s="38" t="str">
        <f>VLOOKUP(BT52,'TABEL KONVERSI'!$A$3:$D$7,4)</f>
        <v>-</v>
      </c>
      <c r="BX52" s="38" t="str">
        <f t="shared" si="57"/>
        <v>-</v>
      </c>
      <c r="BY52" s="38" t="str">
        <f>VLOOKUP(BU52,'TABEL KONVERSI'!$A$3:$D$7,4)</f>
        <v>-</v>
      </c>
      <c r="BZ52" s="42"/>
      <c r="CA52" s="37"/>
      <c r="CB52" s="73"/>
      <c r="CC52" s="73"/>
      <c r="CD52" s="38" t="str">
        <f t="shared" si="58"/>
        <v/>
      </c>
      <c r="CE52" s="38" t="str">
        <f t="shared" si="59"/>
        <v/>
      </c>
      <c r="CF52" s="38" t="str">
        <f>IF(CD52&lt;&gt;"",IF(AND(CD52&gt;='TABEL KONVERSI'!$B$3,'ENTRY DATA'!CD52&lt;='TABEL KONVERSI'!$C$3),1,IF(AND(CD52&gt;='TABEL KONVERSI'!$B$4,'ENTRY DATA'!CD52&lt;='TABEL KONVERSI'!$C$4),2,IF(AND(CD52&gt;='TABEL KONVERSI'!$B$5,'ENTRY DATA'!CD52&lt;='TABEL KONVERSI'!$C$5),3,IF(AND(CD52&gt;='TABEL KONVERSI'!$B$6,'ENTRY DATA'!CD52&lt;='TABEL KONVERSI'!$C$6),4,"")))),"-")</f>
        <v>-</v>
      </c>
      <c r="CG52" s="38" t="str">
        <f>IF(CE52&lt;&gt;"",IF(AND(CE52&gt;='TABEL KONVERSI'!$B$3,'ENTRY DATA'!CE52&lt;='TABEL KONVERSI'!$C$3),1,IF(AND(CE52&gt;='TABEL KONVERSI'!$B$4,'ENTRY DATA'!CE52&lt;='TABEL KONVERSI'!$C$4),2,IF(AND(CE52&gt;='TABEL KONVERSI'!$B$5,'ENTRY DATA'!CE52&lt;='TABEL KONVERSI'!$C$5),3,IF(AND(CE52&gt;='TABEL KONVERSI'!$B$6,'ENTRY DATA'!CE52&lt;='TABEL KONVERSI'!$C$6),4,"")))),"-")</f>
        <v>-</v>
      </c>
      <c r="CH52" s="38" t="str">
        <f t="shared" si="60"/>
        <v>-</v>
      </c>
      <c r="CI52" s="38" t="str">
        <f>VLOOKUP(CF52,'TABEL KONVERSI'!$A$3:$D$7,4)</f>
        <v>-</v>
      </c>
      <c r="CJ52" s="38" t="str">
        <f t="shared" si="61"/>
        <v>-</v>
      </c>
      <c r="CK52" s="38" t="str">
        <f>VLOOKUP(CG52,'TABEL KONVERSI'!$A$3:$D$7,4)</f>
        <v>-</v>
      </c>
      <c r="CL52" s="42"/>
      <c r="CM52" s="37"/>
      <c r="CN52" s="73"/>
      <c r="CO52" s="73"/>
      <c r="CP52" s="38" t="str">
        <f t="shared" si="62"/>
        <v/>
      </c>
      <c r="CQ52" s="38" t="str">
        <f t="shared" si="63"/>
        <v/>
      </c>
      <c r="CR52" s="38" t="str">
        <f>IF(CP52&lt;&gt;"",IF(AND(CP52&gt;='TABEL KONVERSI'!$B$3,'ENTRY DATA'!CP52&lt;='TABEL KONVERSI'!$C$3),1,IF(AND(CP52&gt;='TABEL KONVERSI'!$B$4,'ENTRY DATA'!CP52&lt;='TABEL KONVERSI'!$C$4),2,IF(AND(CP52&gt;='TABEL KONVERSI'!$B$5,'ENTRY DATA'!CP52&lt;='TABEL KONVERSI'!$C$5),3,IF(AND(CP52&gt;='TABEL KONVERSI'!$B$6,'ENTRY DATA'!CP52&lt;='TABEL KONVERSI'!$C$6),4,"")))),"-")</f>
        <v>-</v>
      </c>
      <c r="CS52" s="38" t="str">
        <f>IF(CQ52&lt;&gt;"",IF(AND(CQ52&gt;='TABEL KONVERSI'!$B$3,'ENTRY DATA'!CQ52&lt;='TABEL KONVERSI'!$C$3),1,IF(AND(CQ52&gt;='TABEL KONVERSI'!$B$4,'ENTRY DATA'!CQ52&lt;='TABEL KONVERSI'!$C$4),2,IF(AND(CQ52&gt;='TABEL KONVERSI'!$B$5,'ENTRY DATA'!CQ52&lt;='TABEL KONVERSI'!$C$5),3,IF(AND(CQ52&gt;='TABEL KONVERSI'!$B$6,'ENTRY DATA'!CQ52&lt;='TABEL KONVERSI'!$C$6),4,"")))),"-")</f>
        <v>-</v>
      </c>
      <c r="CT52" s="38" t="str">
        <f t="shared" si="64"/>
        <v>-</v>
      </c>
      <c r="CU52" s="38" t="str">
        <f>VLOOKUP(CR52,'TABEL KONVERSI'!$A$3:$D$7,4)</f>
        <v>-</v>
      </c>
      <c r="CV52" s="38" t="str">
        <f t="shared" si="65"/>
        <v>-</v>
      </c>
      <c r="CW52" s="38" t="str">
        <f>VLOOKUP(CS52,'TABEL KONVERSI'!$A$3:$D$7,4)</f>
        <v>-</v>
      </c>
      <c r="CX52" s="42"/>
      <c r="CY52" s="37"/>
      <c r="CZ52" s="73"/>
      <c r="DA52" s="73"/>
      <c r="DB52" s="38" t="str">
        <f t="shared" si="66"/>
        <v/>
      </c>
      <c r="DC52" s="38" t="str">
        <f t="shared" si="67"/>
        <v/>
      </c>
      <c r="DD52" s="38" t="str">
        <f>IF(DB52&lt;&gt;"",IF(AND(DB52&gt;='TABEL KONVERSI'!$B$3,'ENTRY DATA'!DB52&lt;='TABEL KONVERSI'!$C$3),1,IF(AND(DB52&gt;='TABEL KONVERSI'!$B$4,'ENTRY DATA'!DB52&lt;='TABEL KONVERSI'!$C$4),2,IF(AND(DB52&gt;='TABEL KONVERSI'!$B$5,'ENTRY DATA'!DB52&lt;='TABEL KONVERSI'!$C$5),3,IF(AND(DB52&gt;='TABEL KONVERSI'!$B$6,'ENTRY DATA'!DB52&lt;='TABEL KONVERSI'!$C$6),4,"")))),"-")</f>
        <v>-</v>
      </c>
      <c r="DE52" s="38" t="str">
        <f>IF(DC52&lt;&gt;"",IF(AND(DC52&gt;='TABEL KONVERSI'!$B$3,'ENTRY DATA'!DC52&lt;='TABEL KONVERSI'!$C$3),1,IF(AND(DC52&gt;='TABEL KONVERSI'!$B$4,'ENTRY DATA'!DC52&lt;='TABEL KONVERSI'!$C$4),2,IF(AND(DC52&gt;='TABEL KONVERSI'!$B$5,'ENTRY DATA'!DC52&lt;='TABEL KONVERSI'!$C$5),3,IF(AND(DC52&gt;='TABEL KONVERSI'!$B$6,'ENTRY DATA'!DC52&lt;='TABEL KONVERSI'!$C$6),4,"")))),"-")</f>
        <v>-</v>
      </c>
      <c r="DF52" s="38" t="str">
        <f t="shared" si="68"/>
        <v>-</v>
      </c>
      <c r="DG52" s="38" t="str">
        <f>VLOOKUP(DD52,'TABEL KONVERSI'!$A$3:$D$7,4)</f>
        <v>-</v>
      </c>
      <c r="DH52" s="38" t="str">
        <f t="shared" si="69"/>
        <v>-</v>
      </c>
      <c r="DI52" s="38" t="str">
        <f>VLOOKUP(DE52,'TABEL KONVERSI'!$A$3:$D$7,4)</f>
        <v>-</v>
      </c>
      <c r="DJ52" s="42"/>
      <c r="DK52" s="37"/>
      <c r="DL52" s="73"/>
      <c r="DM52" s="73"/>
      <c r="DN52" s="38" t="str">
        <f t="shared" si="70"/>
        <v/>
      </c>
      <c r="DO52" s="38" t="str">
        <f t="shared" si="71"/>
        <v/>
      </c>
      <c r="DP52" s="38" t="str">
        <f>IF(DN52&lt;&gt;"",IF(AND(DN52&gt;='TABEL KONVERSI'!$B$3,'ENTRY DATA'!DN52&lt;='TABEL KONVERSI'!$C$3),1,IF(AND(DN52&gt;='TABEL KONVERSI'!$B$4,'ENTRY DATA'!DN52&lt;='TABEL KONVERSI'!$C$4),2,IF(AND(DN52&gt;='TABEL KONVERSI'!$B$5,'ENTRY DATA'!DN52&lt;='TABEL KONVERSI'!$C$5),3,IF(AND(DN52&gt;='TABEL KONVERSI'!$B$6,'ENTRY DATA'!DN52&lt;='TABEL KONVERSI'!$C$6),4,"")))),"-")</f>
        <v>-</v>
      </c>
      <c r="DQ52" s="38" t="str">
        <f>IF(DO52&lt;&gt;"",IF(AND(DO52&gt;='TABEL KONVERSI'!$B$3,'ENTRY DATA'!DO52&lt;='TABEL KONVERSI'!$C$3),1,IF(AND(DO52&gt;='TABEL KONVERSI'!$B$4,'ENTRY DATA'!DO52&lt;='TABEL KONVERSI'!$C$4),2,IF(AND(DO52&gt;='TABEL KONVERSI'!$B$5,'ENTRY DATA'!DO52&lt;='TABEL KONVERSI'!$C$5),3,IF(AND(DO52&gt;='TABEL KONVERSI'!$B$6,'ENTRY DATA'!DO52&lt;='TABEL KONVERSI'!$C$6),4,"")))),"-")</f>
        <v>-</v>
      </c>
      <c r="DR52" s="38" t="str">
        <f t="shared" si="72"/>
        <v>-</v>
      </c>
      <c r="DS52" s="38" t="str">
        <f>VLOOKUP(DP52,'TABEL KONVERSI'!$A$3:$D$7,4)</f>
        <v>-</v>
      </c>
      <c r="DT52" s="38" t="str">
        <f t="shared" si="73"/>
        <v>-</v>
      </c>
      <c r="DU52" s="38" t="str">
        <f>VLOOKUP(DQ52,'TABEL KONVERSI'!$A$3:$D$7,4)</f>
        <v>-</v>
      </c>
      <c r="DV52" s="42"/>
      <c r="DW52" s="37"/>
      <c r="DX52" s="73"/>
      <c r="DY52" s="73"/>
      <c r="DZ52" s="38" t="str">
        <f t="shared" si="74"/>
        <v/>
      </c>
      <c r="EA52" s="38" t="str">
        <f t="shared" si="75"/>
        <v/>
      </c>
      <c r="EB52" s="38" t="str">
        <f>IF(DZ52&lt;&gt;"",IF(AND(DZ52&gt;='TABEL KONVERSI'!$B$3,'ENTRY DATA'!DZ52&lt;='TABEL KONVERSI'!$C$3),1,IF(AND(DZ52&gt;='TABEL KONVERSI'!$B$4,'ENTRY DATA'!DZ52&lt;='TABEL KONVERSI'!$C$4),2,IF(AND(DZ52&gt;='TABEL KONVERSI'!$B$5,'ENTRY DATA'!DZ52&lt;='TABEL KONVERSI'!$C$5),3,IF(AND(DZ52&gt;='TABEL KONVERSI'!$B$6,'ENTRY DATA'!DZ52&lt;='TABEL KONVERSI'!$C$6),4,"")))),"-")</f>
        <v>-</v>
      </c>
      <c r="EC52" s="38" t="str">
        <f>IF(EA52&lt;&gt;"",IF(AND(EA52&gt;='TABEL KONVERSI'!$B$3,'ENTRY DATA'!EA52&lt;='TABEL KONVERSI'!$C$3),1,IF(AND(EA52&gt;='TABEL KONVERSI'!$B$4,'ENTRY DATA'!EA52&lt;='TABEL KONVERSI'!$C$4),2,IF(AND(EA52&gt;='TABEL KONVERSI'!$B$5,'ENTRY DATA'!EA52&lt;='TABEL KONVERSI'!$C$5),3,IF(AND(EA52&gt;='TABEL KONVERSI'!$B$6,'ENTRY DATA'!EA52&lt;='TABEL KONVERSI'!$C$6),4,"")))),"-")</f>
        <v>-</v>
      </c>
      <c r="ED52" s="38" t="str">
        <f t="shared" si="76"/>
        <v>-</v>
      </c>
      <c r="EE52" s="38" t="str">
        <f>VLOOKUP(EB52,'TABEL KONVERSI'!$A$3:$D$7,4)</f>
        <v>-</v>
      </c>
      <c r="EF52" s="38" t="str">
        <f t="shared" si="77"/>
        <v>-</v>
      </c>
      <c r="EG52" s="38" t="str">
        <f>VLOOKUP(EC52,'TABEL KONVERSI'!$A$3:$D$7,4)</f>
        <v>-</v>
      </c>
      <c r="EH52" s="42"/>
      <c r="EI52" s="37"/>
      <c r="EJ52" s="73"/>
      <c r="EK52" s="73"/>
      <c r="EL52" s="38" t="str">
        <f t="shared" si="78"/>
        <v/>
      </c>
      <c r="EM52" s="38" t="str">
        <f t="shared" si="79"/>
        <v/>
      </c>
      <c r="EN52" s="38" t="str">
        <f>IF(EL52&lt;&gt;"",IF(AND(EL52&gt;='TABEL KONVERSI'!$B$3,'ENTRY DATA'!EL52&lt;='TABEL KONVERSI'!$C$3),1,IF(AND(EL52&gt;='TABEL KONVERSI'!$B$4,'ENTRY DATA'!EL52&lt;='TABEL KONVERSI'!$C$4),2,IF(AND(EL52&gt;='TABEL KONVERSI'!$B$5,'ENTRY DATA'!EL52&lt;='TABEL KONVERSI'!$C$5),3,IF(AND(EL52&gt;='TABEL KONVERSI'!$B$6,'ENTRY DATA'!EL52&lt;='TABEL KONVERSI'!$C$6),4,"")))),"-")</f>
        <v>-</v>
      </c>
      <c r="EO52" s="38" t="str">
        <f>IF(EM52&lt;&gt;"",IF(AND(EM52&gt;='TABEL KONVERSI'!$B$3,'ENTRY DATA'!EM52&lt;='TABEL KONVERSI'!$C$3),1,IF(AND(EM52&gt;='TABEL KONVERSI'!$B$4,'ENTRY DATA'!EM52&lt;='TABEL KONVERSI'!$C$4),2,IF(AND(EM52&gt;='TABEL KONVERSI'!$B$5,'ENTRY DATA'!EM52&lt;='TABEL KONVERSI'!$C$5),3,IF(AND(EM52&gt;='TABEL KONVERSI'!$B$6,'ENTRY DATA'!EM52&lt;='TABEL KONVERSI'!$C$6),4,"")))),"-")</f>
        <v>-</v>
      </c>
      <c r="EP52" s="38" t="str">
        <f t="shared" si="80"/>
        <v>-</v>
      </c>
      <c r="EQ52" s="38" t="str">
        <f>VLOOKUP(EN52,'TABEL KONVERSI'!$A$3:$D$7,4)</f>
        <v>-</v>
      </c>
      <c r="ER52" s="38" t="str">
        <f t="shared" si="81"/>
        <v>-</v>
      </c>
      <c r="ES52" s="38" t="str">
        <f>VLOOKUP(EO52,'TABEL KONVERSI'!$A$3:$D$7,4)</f>
        <v>-</v>
      </c>
      <c r="ET52" s="42"/>
      <c r="EU52" s="37"/>
      <c r="EV52" s="73"/>
      <c r="EW52" s="73"/>
      <c r="EX52" s="38" t="str">
        <f t="shared" si="82"/>
        <v/>
      </c>
      <c r="EY52" s="38" t="str">
        <f t="shared" si="83"/>
        <v/>
      </c>
      <c r="EZ52" s="38" t="str">
        <f>IF(EX52&lt;&gt;"",IF(AND(EX52&gt;='TABEL KONVERSI'!$B$3,'ENTRY DATA'!EX52&lt;='TABEL KONVERSI'!$C$3),1,IF(AND(EX52&gt;='TABEL KONVERSI'!$B$4,'ENTRY DATA'!EX52&lt;='TABEL KONVERSI'!$C$4),2,IF(AND(EX52&gt;='TABEL KONVERSI'!$B$5,'ENTRY DATA'!EX52&lt;='TABEL KONVERSI'!$C$5),3,IF(AND(EX52&gt;='TABEL KONVERSI'!$B$6,'ENTRY DATA'!EX52&lt;='TABEL KONVERSI'!$C$6),4,"")))),"-")</f>
        <v>-</v>
      </c>
      <c r="FA52" s="38" t="str">
        <f>IF(EY52&lt;&gt;"",IF(AND(EY52&gt;='TABEL KONVERSI'!$B$3,'ENTRY DATA'!EY52&lt;='TABEL KONVERSI'!$C$3),1,IF(AND(EY52&gt;='TABEL KONVERSI'!$B$4,'ENTRY DATA'!EY52&lt;='TABEL KONVERSI'!$C$4),2,IF(AND(EY52&gt;='TABEL KONVERSI'!$B$5,'ENTRY DATA'!EY52&lt;='TABEL KONVERSI'!$C$5),3,IF(AND(EY52&gt;='TABEL KONVERSI'!$B$6,'ENTRY DATA'!EY52&lt;='TABEL KONVERSI'!$C$6),4,"")))),"-")</f>
        <v>-</v>
      </c>
      <c r="FB52" s="38" t="str">
        <f t="shared" si="84"/>
        <v>-</v>
      </c>
      <c r="FC52" s="38" t="str">
        <f>VLOOKUP(EZ52,'TABEL KONVERSI'!$A$3:$D$7,4)</f>
        <v>-</v>
      </c>
      <c r="FD52" s="38" t="str">
        <f t="shared" si="85"/>
        <v>-</v>
      </c>
      <c r="FE52" s="38" t="str">
        <f>VLOOKUP(FA52,'TABEL KONVERSI'!$A$3:$D$7,4)</f>
        <v>-</v>
      </c>
      <c r="FF52" s="42"/>
      <c r="FG52" s="37"/>
      <c r="FH52" s="73"/>
      <c r="FI52" s="73"/>
      <c r="FJ52" s="38" t="str">
        <f t="shared" si="86"/>
        <v/>
      </c>
      <c r="FK52" s="38" t="str">
        <f t="shared" si="87"/>
        <v/>
      </c>
      <c r="FL52" s="38" t="str">
        <f>IF(FJ52&lt;&gt;"",IF(AND(FJ52&gt;='TABEL KONVERSI'!$B$3,'ENTRY DATA'!FJ52&lt;='TABEL KONVERSI'!$C$3),1,IF(AND(FJ52&gt;='TABEL KONVERSI'!$B$4,'ENTRY DATA'!FJ52&lt;='TABEL KONVERSI'!$C$4),2,IF(AND(FJ52&gt;='TABEL KONVERSI'!$B$5,'ENTRY DATA'!FJ52&lt;='TABEL KONVERSI'!$C$5),3,IF(AND(FJ52&gt;='TABEL KONVERSI'!$B$6,'ENTRY DATA'!FJ52&lt;='TABEL KONVERSI'!$C$6),4,"")))),"-")</f>
        <v>-</v>
      </c>
      <c r="FM52" s="38" t="str">
        <f>IF(FK52&lt;&gt;"",IF(AND(FK52&gt;='TABEL KONVERSI'!$B$3,'ENTRY DATA'!FK52&lt;='TABEL KONVERSI'!$C$3),1,IF(AND(FK52&gt;='TABEL KONVERSI'!$B$4,'ENTRY DATA'!FK52&lt;='TABEL KONVERSI'!$C$4),2,IF(AND(FK52&gt;='TABEL KONVERSI'!$B$5,'ENTRY DATA'!FK52&lt;='TABEL KONVERSI'!$C$5),3,IF(AND(FK52&gt;='TABEL KONVERSI'!$B$6,'ENTRY DATA'!FK52&lt;='TABEL KONVERSI'!$C$6),4,"")))),"-")</f>
        <v>-</v>
      </c>
      <c r="FN52" s="38" t="str">
        <f t="shared" si="88"/>
        <v>-</v>
      </c>
      <c r="FO52" s="38" t="str">
        <f>VLOOKUP(FL52,'TABEL KONVERSI'!$A$3:$D$7,4)</f>
        <v>-</v>
      </c>
      <c r="FP52" s="38" t="str">
        <f t="shared" si="89"/>
        <v>-</v>
      </c>
      <c r="FQ52" s="38" t="str">
        <f>VLOOKUP(FM52,'TABEL KONVERSI'!$A$3:$D$7,4)</f>
        <v>-</v>
      </c>
      <c r="FR52" s="42"/>
      <c r="FS52" s="37"/>
      <c r="FT52" s="73"/>
      <c r="FU52" s="73"/>
      <c r="FV52" s="38" t="str">
        <f t="shared" si="90"/>
        <v/>
      </c>
      <c r="FW52" s="38" t="str">
        <f t="shared" si="91"/>
        <v/>
      </c>
      <c r="FX52" s="38" t="str">
        <f>IF(FV52&lt;&gt;"",IF(AND(FV52&gt;='TABEL KONVERSI'!$B$3,'ENTRY DATA'!FV52&lt;='TABEL KONVERSI'!$C$3),1,IF(AND(FV52&gt;='TABEL KONVERSI'!$B$4,'ENTRY DATA'!FV52&lt;='TABEL KONVERSI'!$C$4),2,IF(AND(FV52&gt;='TABEL KONVERSI'!$B$5,'ENTRY DATA'!FV52&lt;='TABEL KONVERSI'!$C$5),3,IF(AND(FV52&gt;='TABEL KONVERSI'!$B$6,'ENTRY DATA'!FV52&lt;='TABEL KONVERSI'!$C$6),4,"")))),"-")</f>
        <v>-</v>
      </c>
      <c r="FY52" s="38" t="str">
        <f>IF(FW52&lt;&gt;"",IF(AND(FW52&gt;='TABEL KONVERSI'!$B$3,'ENTRY DATA'!FW52&lt;='TABEL KONVERSI'!$C$3),1,IF(AND(FW52&gt;='TABEL KONVERSI'!$B$4,'ENTRY DATA'!FW52&lt;='TABEL KONVERSI'!$C$4),2,IF(AND(FW52&gt;='TABEL KONVERSI'!$B$5,'ENTRY DATA'!FW52&lt;='TABEL KONVERSI'!$C$5),3,IF(AND(FW52&gt;='TABEL KONVERSI'!$B$6,'ENTRY DATA'!FW52&lt;='TABEL KONVERSI'!$C$6),4,"")))),"-")</f>
        <v>-</v>
      </c>
      <c r="FZ52" s="38" t="str">
        <f t="shared" si="92"/>
        <v>-</v>
      </c>
      <c r="GA52" s="38" t="str">
        <f>VLOOKUP(FX52,'TABEL KONVERSI'!$A$3:$D$7,4)</f>
        <v>-</v>
      </c>
      <c r="GB52" s="38" t="str">
        <f t="shared" si="93"/>
        <v>-</v>
      </c>
      <c r="GC52" s="38" t="str">
        <f>VLOOKUP(FY52,'TABEL KONVERSI'!$A$3:$D$7,4)</f>
        <v>-</v>
      </c>
      <c r="GD52" s="42"/>
      <c r="GE52" s="37"/>
      <c r="GF52" s="73"/>
      <c r="GG52" s="73"/>
      <c r="GH52" s="38" t="str">
        <f t="shared" si="94"/>
        <v/>
      </c>
      <c r="GI52" s="38" t="str">
        <f t="shared" si="95"/>
        <v/>
      </c>
      <c r="GJ52" s="38" t="str">
        <f>IF(GH52&lt;&gt;"",IF(AND(GH52&gt;='TABEL KONVERSI'!$B$3,'ENTRY DATA'!GH52&lt;='TABEL KONVERSI'!$C$3),1,IF(AND(GH52&gt;='TABEL KONVERSI'!$B$4,'ENTRY DATA'!GH52&lt;='TABEL KONVERSI'!$C$4),2,IF(AND(GH52&gt;='TABEL KONVERSI'!$B$5,'ENTRY DATA'!GH52&lt;='TABEL KONVERSI'!$C$5),3,IF(AND(GH52&gt;='TABEL KONVERSI'!$B$6,'ENTRY DATA'!GH52&lt;='TABEL KONVERSI'!$C$6),4,"")))),"-")</f>
        <v>-</v>
      </c>
      <c r="GK52" s="38" t="str">
        <f>IF(GI52&lt;&gt;"",IF(AND(GI52&gt;='TABEL KONVERSI'!$B$3,'ENTRY DATA'!GI52&lt;='TABEL KONVERSI'!$C$3),1,IF(AND(GI52&gt;='TABEL KONVERSI'!$B$4,'ENTRY DATA'!GI52&lt;='TABEL KONVERSI'!$C$4),2,IF(AND(GI52&gt;='TABEL KONVERSI'!$B$5,'ENTRY DATA'!GI52&lt;='TABEL KONVERSI'!$C$5),3,IF(AND(GI52&gt;='TABEL KONVERSI'!$B$6,'ENTRY DATA'!GI52&lt;='TABEL KONVERSI'!$C$6),4,"")))),"-")</f>
        <v>-</v>
      </c>
      <c r="GL52" s="38" t="str">
        <f t="shared" si="96"/>
        <v>-</v>
      </c>
      <c r="GM52" s="38" t="str">
        <f>VLOOKUP(GJ52,'TABEL KONVERSI'!$A$3:$D$7,4)</f>
        <v>-</v>
      </c>
      <c r="GN52" s="38" t="str">
        <f t="shared" si="97"/>
        <v>-</v>
      </c>
      <c r="GO52" s="38" t="str">
        <f>VLOOKUP(GK52,'TABEL KONVERSI'!$A$3:$D$7,4)</f>
        <v>-</v>
      </c>
      <c r="GP52" s="43">
        <f t="shared" si="108"/>
        <v>0</v>
      </c>
      <c r="GQ52" s="43">
        <f t="shared" si="109"/>
        <v>0</v>
      </c>
      <c r="GR52" s="43">
        <f t="shared" si="110"/>
        <v>0</v>
      </c>
      <c r="GS52" s="43">
        <f t="shared" si="111"/>
        <v>0</v>
      </c>
      <c r="GT52" s="43">
        <f t="shared" si="112"/>
        <v>0</v>
      </c>
      <c r="GU52" s="43">
        <f t="shared" si="113"/>
        <v>0</v>
      </c>
      <c r="GV52" s="43">
        <f t="shared" si="114"/>
        <v>0</v>
      </c>
      <c r="GW52" s="43">
        <f t="shared" si="115"/>
        <v>0</v>
      </c>
      <c r="GX52" s="43">
        <f t="shared" si="116"/>
        <v>0</v>
      </c>
      <c r="GY52" s="43">
        <f t="shared" si="117"/>
        <v>0</v>
      </c>
      <c r="GZ52" s="43">
        <f t="shared" si="118"/>
        <v>0</v>
      </c>
      <c r="HA52" s="43">
        <f t="shared" si="119"/>
        <v>0</v>
      </c>
      <c r="HB52" s="43">
        <f t="shared" si="120"/>
        <v>0</v>
      </c>
      <c r="HC52" s="43">
        <f t="shared" si="121"/>
        <v>0</v>
      </c>
      <c r="HD52" s="43">
        <f t="shared" si="122"/>
        <v>0</v>
      </c>
      <c r="HE52" s="43">
        <f t="shared" si="123"/>
        <v>0</v>
      </c>
      <c r="HF52" s="38">
        <f t="shared" si="98"/>
        <v>0</v>
      </c>
      <c r="HG52" s="38">
        <f t="shared" si="99"/>
        <v>0</v>
      </c>
      <c r="HH52" s="38">
        <f t="shared" si="100"/>
        <v>0</v>
      </c>
      <c r="HI52" s="39">
        <f t="shared" si="101"/>
        <v>0</v>
      </c>
      <c r="HJ52" s="44" t="str">
        <f t="shared" si="102"/>
        <v>-</v>
      </c>
      <c r="HK52" s="45" t="str">
        <f>VLOOKUP(HJ52,'TABEL KONVERSI'!$B$11:$D$15,2,0)</f>
        <v>-</v>
      </c>
      <c r="HL52" s="43">
        <f t="shared" si="124"/>
        <v>0</v>
      </c>
      <c r="HM52" s="43">
        <f t="shared" si="125"/>
        <v>0</v>
      </c>
      <c r="HN52" s="43">
        <f t="shared" si="126"/>
        <v>0</v>
      </c>
      <c r="HO52" s="43">
        <f t="shared" si="127"/>
        <v>0</v>
      </c>
      <c r="HP52" s="43">
        <f t="shared" si="128"/>
        <v>0</v>
      </c>
      <c r="HQ52" s="43">
        <f t="shared" si="129"/>
        <v>0</v>
      </c>
      <c r="HR52" s="43">
        <f t="shared" si="130"/>
        <v>0</v>
      </c>
      <c r="HS52" s="43">
        <f t="shared" si="131"/>
        <v>0</v>
      </c>
      <c r="HT52" s="43">
        <f t="shared" si="132"/>
        <v>0</v>
      </c>
      <c r="HU52" s="43">
        <f t="shared" si="133"/>
        <v>0</v>
      </c>
      <c r="HV52" s="43">
        <f t="shared" si="134"/>
        <v>0</v>
      </c>
      <c r="HW52" s="43">
        <f t="shared" si="135"/>
        <v>0</v>
      </c>
      <c r="HX52" s="43">
        <f t="shared" si="136"/>
        <v>0</v>
      </c>
      <c r="HY52" s="43">
        <f t="shared" si="137"/>
        <v>0</v>
      </c>
      <c r="HZ52" s="43">
        <f t="shared" si="138"/>
        <v>0</v>
      </c>
      <c r="IA52" s="43">
        <f t="shared" si="139"/>
        <v>0</v>
      </c>
      <c r="IB52" s="38">
        <f t="shared" si="103"/>
        <v>0</v>
      </c>
      <c r="IC52" s="38">
        <f t="shared" si="104"/>
        <v>0</v>
      </c>
      <c r="ID52" s="38">
        <f t="shared" si="105"/>
        <v>0</v>
      </c>
      <c r="IE52" s="38">
        <f t="shared" si="106"/>
        <v>0</v>
      </c>
      <c r="IF52" s="46" t="str">
        <f t="shared" si="107"/>
        <v>-</v>
      </c>
      <c r="IG52" s="45" t="str">
        <f>VLOOKUP(IF52,'TABEL KONVERSI'!$B$11:$D$15,3,0)</f>
        <v>-</v>
      </c>
      <c r="IH52" s="40" t="s">
        <v>223</v>
      </c>
      <c r="II52" s="41" t="s">
        <v>106</v>
      </c>
      <c r="IJ52" s="45" t="str">
        <f>IF(II52&lt;&gt;"",VLOOKUP(II52,'TABEL KONVERSI'!$A$19:$B$23,2,0),"")</f>
        <v>Aktif dalam mengikuti kegiatan</v>
      </c>
      <c r="IK52" s="47" t="s">
        <v>58</v>
      </c>
      <c r="IL52" s="50" t="s">
        <v>58</v>
      </c>
      <c r="IM52" s="45" t="str">
        <f>IF(IL52&lt;&gt;"",VLOOKUP(IL52,'TABEL KONVERSI'!$A$19:$B$23,2,0),"")</f>
        <v>-</v>
      </c>
      <c r="IN52" s="49" t="s">
        <v>58</v>
      </c>
      <c r="IO52" s="48" t="s">
        <v>58</v>
      </c>
      <c r="IP52" s="45" t="str">
        <f>IF(IO52&lt;&gt;"",VLOOKUP(IO52,'TABEL KONVERSI'!$A$19:$B$23,2,0),"")</f>
        <v>-</v>
      </c>
      <c r="IQ52" s="49" t="s">
        <v>58</v>
      </c>
      <c r="IR52" s="50" t="s">
        <v>58</v>
      </c>
      <c r="IS52" s="45" t="str">
        <f>IF(IR52&lt;&gt;"",VLOOKUP(IR52,'TABEL KONVERSI'!$A$19:$B$23,2,0),"")</f>
        <v>-</v>
      </c>
      <c r="IT52" s="49" t="s">
        <v>58</v>
      </c>
      <c r="IU52" s="50" t="s">
        <v>58</v>
      </c>
      <c r="IV52" s="45" t="str">
        <f>IF(IU52&lt;&gt;"",VLOOKUP(IU52,'TABEL KONVERSI'!$A$19:$B$23,2,0),"")</f>
        <v>-</v>
      </c>
      <c r="IW52" s="48" t="s">
        <v>58</v>
      </c>
      <c r="IX52" s="48" t="s">
        <v>58</v>
      </c>
      <c r="IY52" s="48" t="s">
        <v>58</v>
      </c>
      <c r="IZ52" s="47" t="s">
        <v>58</v>
      </c>
      <c r="JA52" s="45">
        <f t="shared" si="140"/>
        <v>0</v>
      </c>
      <c r="JB52" s="45">
        <f t="shared" si="141"/>
        <v>1</v>
      </c>
    </row>
    <row r="53" spans="1:262" x14ac:dyDescent="0.25">
      <c r="A53" s="33">
        <v>41</v>
      </c>
      <c r="B53" s="53"/>
      <c r="C53" s="53"/>
      <c r="D53" s="54"/>
      <c r="E53" s="55"/>
      <c r="F53" s="42"/>
      <c r="G53" s="37"/>
      <c r="H53" s="73"/>
      <c r="I53" s="73"/>
      <c r="J53" s="38" t="str">
        <f t="shared" si="34"/>
        <v/>
      </c>
      <c r="K53" s="38" t="str">
        <f t="shared" si="35"/>
        <v/>
      </c>
      <c r="L53" s="38" t="str">
        <f>IF(J53&lt;&gt;"",IF(AND(J53&gt;='TABEL KONVERSI'!$B$3,'ENTRY DATA'!J53&lt;='TABEL KONVERSI'!$C$3),1,IF(AND(J53&gt;='TABEL KONVERSI'!$B$4,'ENTRY DATA'!J53&lt;='TABEL KONVERSI'!$C$4),2,IF(AND(J53&gt;='TABEL KONVERSI'!$B$5,'ENTRY DATA'!J53&lt;='TABEL KONVERSI'!$C$5),3,IF(AND(J53&gt;='TABEL KONVERSI'!$B$6,'ENTRY DATA'!J53&lt;='TABEL KONVERSI'!$C$6),4,"")))),"-")</f>
        <v>-</v>
      </c>
      <c r="M53" s="38" t="str">
        <f>IF(K53&lt;&gt;"",IF(AND(K53&gt;='TABEL KONVERSI'!$B$3,'ENTRY DATA'!K53&lt;='TABEL KONVERSI'!$C$3),1,IF(AND(K53&gt;='TABEL KONVERSI'!$B$4,'ENTRY DATA'!K53&lt;='TABEL KONVERSI'!$C$4),2,IF(AND(K53&gt;='TABEL KONVERSI'!$B$5,'ENTRY DATA'!K53&lt;='TABEL KONVERSI'!$C$5),3,IF(AND(K53&gt;='TABEL KONVERSI'!$B$6,'ENTRY DATA'!K53&lt;='TABEL KONVERSI'!$C$6),4,"")))),"-")</f>
        <v>-</v>
      </c>
      <c r="N53" s="38" t="str">
        <f t="shared" si="36"/>
        <v>-</v>
      </c>
      <c r="O53" s="38" t="str">
        <f>VLOOKUP(L53,'TABEL KONVERSI'!$A$3:$D$7,4)</f>
        <v>-</v>
      </c>
      <c r="P53" s="38" t="str">
        <f t="shared" si="37"/>
        <v>-</v>
      </c>
      <c r="Q53" s="38" t="str">
        <f>VLOOKUP(M53,'TABEL KONVERSI'!$A$3:$D$7,4)</f>
        <v>-</v>
      </c>
      <c r="R53" s="42"/>
      <c r="S53" s="37"/>
      <c r="T53" s="73"/>
      <c r="U53" s="73"/>
      <c r="V53" s="38" t="str">
        <f t="shared" si="38"/>
        <v/>
      </c>
      <c r="W53" s="38" t="str">
        <f t="shared" si="39"/>
        <v/>
      </c>
      <c r="X53" s="38" t="str">
        <f>IF(V53&lt;&gt;"",IF(AND(V53&gt;='TABEL KONVERSI'!$B$3,'ENTRY DATA'!V53&lt;='TABEL KONVERSI'!$C$3),1,IF(AND(V53&gt;='TABEL KONVERSI'!$B$4,'ENTRY DATA'!V53&lt;='TABEL KONVERSI'!$C$4),2,IF(AND(V53&gt;='TABEL KONVERSI'!$B$5,'ENTRY DATA'!V53&lt;='TABEL KONVERSI'!$C$5),3,IF(AND(V53&gt;='TABEL KONVERSI'!$B$6,'ENTRY DATA'!V53&lt;='TABEL KONVERSI'!$C$6),4,"")))),"-")</f>
        <v>-</v>
      </c>
      <c r="Y53" s="38" t="str">
        <f>IF(W53&lt;&gt;"",IF(AND(W53&gt;='TABEL KONVERSI'!$B$3,'ENTRY DATA'!W53&lt;='TABEL KONVERSI'!$C$3),1,IF(AND(W53&gt;='TABEL KONVERSI'!$B$4,'ENTRY DATA'!W53&lt;='TABEL KONVERSI'!$C$4),2,IF(AND(W53&gt;='TABEL KONVERSI'!$B$5,'ENTRY DATA'!W53&lt;='TABEL KONVERSI'!$C$5),3,IF(AND(W53&gt;='TABEL KONVERSI'!$B$6,'ENTRY DATA'!W53&lt;='TABEL KONVERSI'!$C$6),4,"")))),"-")</f>
        <v>-</v>
      </c>
      <c r="Z53" s="38" t="str">
        <f t="shared" si="40"/>
        <v>-</v>
      </c>
      <c r="AA53" s="38" t="str">
        <f>VLOOKUP(X53,'TABEL KONVERSI'!$A$3:$D$7,4)</f>
        <v>-</v>
      </c>
      <c r="AB53" s="38" t="str">
        <f t="shared" si="41"/>
        <v>-</v>
      </c>
      <c r="AC53" s="38" t="str">
        <f>VLOOKUP(Y53,'TABEL KONVERSI'!$A$3:$D$7,4)</f>
        <v>-</v>
      </c>
      <c r="AD53" s="42"/>
      <c r="AE53" s="37"/>
      <c r="AF53" s="73"/>
      <c r="AG53" s="73"/>
      <c r="AH53" s="38" t="str">
        <f t="shared" si="42"/>
        <v/>
      </c>
      <c r="AI53" s="38" t="str">
        <f t="shared" si="43"/>
        <v/>
      </c>
      <c r="AJ53" s="38" t="str">
        <f>IF(AH53&lt;&gt;"",IF(AND(AH53&gt;='TABEL KONVERSI'!$B$3,'ENTRY DATA'!AH53&lt;='TABEL KONVERSI'!$C$3),1,IF(AND(AH53&gt;='TABEL KONVERSI'!$B$4,'ENTRY DATA'!AH53&lt;='TABEL KONVERSI'!$C$4),2,IF(AND(AH53&gt;='TABEL KONVERSI'!$B$5,'ENTRY DATA'!AH53&lt;='TABEL KONVERSI'!$C$5),3,IF(AND(AH53&gt;='TABEL KONVERSI'!$B$6,'ENTRY DATA'!AH53&lt;='TABEL KONVERSI'!$C$6),4,"")))),"-")</f>
        <v>-</v>
      </c>
      <c r="AK53" s="38" t="str">
        <f>IF(AI53&lt;&gt;"",IF(AND(AI53&gt;='TABEL KONVERSI'!$B$3,'ENTRY DATA'!AI53&lt;='TABEL KONVERSI'!$C$3),1,IF(AND(AI53&gt;='TABEL KONVERSI'!$B$4,'ENTRY DATA'!AI53&lt;='TABEL KONVERSI'!$C$4),2,IF(AND(AI53&gt;='TABEL KONVERSI'!$B$5,'ENTRY DATA'!AI53&lt;='TABEL KONVERSI'!$C$5),3,IF(AND(AI53&gt;='TABEL KONVERSI'!$B$6,'ENTRY DATA'!AI53&lt;='TABEL KONVERSI'!$C$6),4,"")))),"-")</f>
        <v>-</v>
      </c>
      <c r="AL53" s="38" t="str">
        <f t="shared" si="44"/>
        <v>-</v>
      </c>
      <c r="AM53" s="38" t="str">
        <f>VLOOKUP(AJ53,'TABEL KONVERSI'!$A$3:$D$7,4)</f>
        <v>-</v>
      </c>
      <c r="AN53" s="38" t="str">
        <f t="shared" si="45"/>
        <v>-</v>
      </c>
      <c r="AO53" s="38" t="str">
        <f>VLOOKUP(AK53,'TABEL KONVERSI'!$A$3:$D$7,4)</f>
        <v>-</v>
      </c>
      <c r="AP53" s="42"/>
      <c r="AQ53" s="37"/>
      <c r="AR53" s="73"/>
      <c r="AS53" s="73"/>
      <c r="AT53" s="38" t="str">
        <f t="shared" si="46"/>
        <v/>
      </c>
      <c r="AU53" s="38" t="str">
        <f t="shared" si="47"/>
        <v/>
      </c>
      <c r="AV53" s="38" t="str">
        <f>IF(AT53&lt;&gt;"",IF(AND(AT53&gt;='TABEL KONVERSI'!$B$3,'ENTRY DATA'!AT53&lt;='TABEL KONVERSI'!$C$3),1,IF(AND(AT53&gt;='TABEL KONVERSI'!$B$4,'ENTRY DATA'!AT53&lt;='TABEL KONVERSI'!$C$4),2,IF(AND(AT53&gt;='TABEL KONVERSI'!$B$5,'ENTRY DATA'!AT53&lt;='TABEL KONVERSI'!$C$5),3,IF(AND(AT53&gt;='TABEL KONVERSI'!$B$6,'ENTRY DATA'!AT53&lt;='TABEL KONVERSI'!$C$6),4,"")))),"-")</f>
        <v>-</v>
      </c>
      <c r="AW53" s="38" t="str">
        <f>IF(AU53&lt;&gt;"",IF(AND(AU53&gt;='TABEL KONVERSI'!$B$3,'ENTRY DATA'!AU53&lt;='TABEL KONVERSI'!$C$3),1,IF(AND(AU53&gt;='TABEL KONVERSI'!$B$4,'ENTRY DATA'!AU53&lt;='TABEL KONVERSI'!$C$4),2,IF(AND(AU53&gt;='TABEL KONVERSI'!$B$5,'ENTRY DATA'!AU53&lt;='TABEL KONVERSI'!$C$5),3,IF(AND(AU53&gt;='TABEL KONVERSI'!$B$6,'ENTRY DATA'!AU53&lt;='TABEL KONVERSI'!$C$6),4,"")))),"-")</f>
        <v>-</v>
      </c>
      <c r="AX53" s="38" t="str">
        <f t="shared" si="48"/>
        <v>-</v>
      </c>
      <c r="AY53" s="38" t="str">
        <f>VLOOKUP(AV53,'TABEL KONVERSI'!$A$3:$D$7,4)</f>
        <v>-</v>
      </c>
      <c r="AZ53" s="38" t="str">
        <f t="shared" si="49"/>
        <v>-</v>
      </c>
      <c r="BA53" s="38" t="str">
        <f>VLOOKUP(AW53,'TABEL KONVERSI'!$A$3:$D$7,4)</f>
        <v>-</v>
      </c>
      <c r="BB53" s="42"/>
      <c r="BC53" s="37"/>
      <c r="BD53" s="73"/>
      <c r="BE53" s="73"/>
      <c r="BF53" s="38" t="str">
        <f t="shared" si="50"/>
        <v/>
      </c>
      <c r="BG53" s="38" t="str">
        <f t="shared" si="51"/>
        <v/>
      </c>
      <c r="BH53" s="38" t="str">
        <f>IF(BF53&lt;&gt;"",IF(AND(BF53&gt;='TABEL KONVERSI'!$B$3,'ENTRY DATA'!BF53&lt;='TABEL KONVERSI'!$C$3),1,IF(AND(BF53&gt;='TABEL KONVERSI'!$B$4,'ENTRY DATA'!BF53&lt;='TABEL KONVERSI'!$C$4),2,IF(AND(BF53&gt;='TABEL KONVERSI'!$B$5,'ENTRY DATA'!BF53&lt;='TABEL KONVERSI'!$C$5),3,IF(AND(BF53&gt;='TABEL KONVERSI'!$B$6,'ENTRY DATA'!BF53&lt;='TABEL KONVERSI'!$C$6),4,"")))),"-")</f>
        <v>-</v>
      </c>
      <c r="BI53" s="38" t="str">
        <f>IF(BG53&lt;&gt;"",IF(AND(BG53&gt;='TABEL KONVERSI'!$B$3,'ENTRY DATA'!BG53&lt;='TABEL KONVERSI'!$C$3),1,IF(AND(BG53&gt;='TABEL KONVERSI'!$B$4,'ENTRY DATA'!BG53&lt;='TABEL KONVERSI'!$C$4),2,IF(AND(BG53&gt;='TABEL KONVERSI'!$B$5,'ENTRY DATA'!BG53&lt;='TABEL KONVERSI'!$C$5),3,IF(AND(BG53&gt;='TABEL KONVERSI'!$B$6,'ENTRY DATA'!BG53&lt;='TABEL KONVERSI'!$C$6),4,"")))),"-")</f>
        <v>-</v>
      </c>
      <c r="BJ53" s="38" t="str">
        <f t="shared" si="52"/>
        <v>-</v>
      </c>
      <c r="BK53" s="38" t="str">
        <f>VLOOKUP(BH53,'TABEL KONVERSI'!$A$3:$D$7,4)</f>
        <v>-</v>
      </c>
      <c r="BL53" s="38" t="str">
        <f t="shared" si="53"/>
        <v>-</v>
      </c>
      <c r="BM53" s="38" t="str">
        <f>VLOOKUP(BI53,'TABEL KONVERSI'!$A$3:$D$7,4)</f>
        <v>-</v>
      </c>
      <c r="BN53" s="42"/>
      <c r="BO53" s="37"/>
      <c r="BP53" s="73"/>
      <c r="BQ53" s="73"/>
      <c r="BR53" s="38" t="str">
        <f t="shared" si="54"/>
        <v/>
      </c>
      <c r="BS53" s="38" t="str">
        <f t="shared" si="55"/>
        <v/>
      </c>
      <c r="BT53" s="38" t="str">
        <f>IF(BR53&lt;&gt;"",IF(AND(BR53&gt;='TABEL KONVERSI'!$B$3,'ENTRY DATA'!BR53&lt;='TABEL KONVERSI'!$C$3),1,IF(AND(BR53&gt;='TABEL KONVERSI'!$B$4,'ENTRY DATA'!BR53&lt;='TABEL KONVERSI'!$C$4),2,IF(AND(BR53&gt;='TABEL KONVERSI'!$B$5,'ENTRY DATA'!BR53&lt;='TABEL KONVERSI'!$C$5),3,IF(AND(BR53&gt;='TABEL KONVERSI'!$B$6,'ENTRY DATA'!BR53&lt;='TABEL KONVERSI'!$C$6),4,"")))),"-")</f>
        <v>-</v>
      </c>
      <c r="BU53" s="38" t="str">
        <f>IF(BS53&lt;&gt;"",IF(AND(BS53&gt;='TABEL KONVERSI'!$B$3,'ENTRY DATA'!BS53&lt;='TABEL KONVERSI'!$C$3),1,IF(AND(BS53&gt;='TABEL KONVERSI'!$B$4,'ENTRY DATA'!BS53&lt;='TABEL KONVERSI'!$C$4),2,IF(AND(BS53&gt;='TABEL KONVERSI'!$B$5,'ENTRY DATA'!BS53&lt;='TABEL KONVERSI'!$C$5),3,IF(AND(BS53&gt;='TABEL KONVERSI'!$B$6,'ENTRY DATA'!BS53&lt;='TABEL KONVERSI'!$C$6),4,"")))),"-")</f>
        <v>-</v>
      </c>
      <c r="BV53" s="38" t="str">
        <f t="shared" si="56"/>
        <v>-</v>
      </c>
      <c r="BW53" s="38" t="str">
        <f>VLOOKUP(BT53,'TABEL KONVERSI'!$A$3:$D$7,4)</f>
        <v>-</v>
      </c>
      <c r="BX53" s="38" t="str">
        <f t="shared" si="57"/>
        <v>-</v>
      </c>
      <c r="BY53" s="38" t="str">
        <f>VLOOKUP(BU53,'TABEL KONVERSI'!$A$3:$D$7,4)</f>
        <v>-</v>
      </c>
      <c r="BZ53" s="42"/>
      <c r="CA53" s="37"/>
      <c r="CB53" s="73"/>
      <c r="CC53" s="73"/>
      <c r="CD53" s="38" t="str">
        <f t="shared" si="58"/>
        <v/>
      </c>
      <c r="CE53" s="38" t="str">
        <f t="shared" si="59"/>
        <v/>
      </c>
      <c r="CF53" s="38" t="str">
        <f>IF(CD53&lt;&gt;"",IF(AND(CD53&gt;='TABEL KONVERSI'!$B$3,'ENTRY DATA'!CD53&lt;='TABEL KONVERSI'!$C$3),1,IF(AND(CD53&gt;='TABEL KONVERSI'!$B$4,'ENTRY DATA'!CD53&lt;='TABEL KONVERSI'!$C$4),2,IF(AND(CD53&gt;='TABEL KONVERSI'!$B$5,'ENTRY DATA'!CD53&lt;='TABEL KONVERSI'!$C$5),3,IF(AND(CD53&gt;='TABEL KONVERSI'!$B$6,'ENTRY DATA'!CD53&lt;='TABEL KONVERSI'!$C$6),4,"")))),"-")</f>
        <v>-</v>
      </c>
      <c r="CG53" s="38" t="str">
        <f>IF(CE53&lt;&gt;"",IF(AND(CE53&gt;='TABEL KONVERSI'!$B$3,'ENTRY DATA'!CE53&lt;='TABEL KONVERSI'!$C$3),1,IF(AND(CE53&gt;='TABEL KONVERSI'!$B$4,'ENTRY DATA'!CE53&lt;='TABEL KONVERSI'!$C$4),2,IF(AND(CE53&gt;='TABEL KONVERSI'!$B$5,'ENTRY DATA'!CE53&lt;='TABEL KONVERSI'!$C$5),3,IF(AND(CE53&gt;='TABEL KONVERSI'!$B$6,'ENTRY DATA'!CE53&lt;='TABEL KONVERSI'!$C$6),4,"")))),"-")</f>
        <v>-</v>
      </c>
      <c r="CH53" s="38" t="str">
        <f t="shared" si="60"/>
        <v>-</v>
      </c>
      <c r="CI53" s="38" t="str">
        <f>VLOOKUP(CF53,'TABEL KONVERSI'!$A$3:$D$7,4)</f>
        <v>-</v>
      </c>
      <c r="CJ53" s="38" t="str">
        <f t="shared" si="61"/>
        <v>-</v>
      </c>
      <c r="CK53" s="38" t="str">
        <f>VLOOKUP(CG53,'TABEL KONVERSI'!$A$3:$D$7,4)</f>
        <v>-</v>
      </c>
      <c r="CL53" s="42"/>
      <c r="CM53" s="37"/>
      <c r="CN53" s="73"/>
      <c r="CO53" s="73"/>
      <c r="CP53" s="38" t="str">
        <f t="shared" si="62"/>
        <v/>
      </c>
      <c r="CQ53" s="38" t="str">
        <f t="shared" si="63"/>
        <v/>
      </c>
      <c r="CR53" s="38" t="str">
        <f>IF(CP53&lt;&gt;"",IF(AND(CP53&gt;='TABEL KONVERSI'!$B$3,'ENTRY DATA'!CP53&lt;='TABEL KONVERSI'!$C$3),1,IF(AND(CP53&gt;='TABEL KONVERSI'!$B$4,'ENTRY DATA'!CP53&lt;='TABEL KONVERSI'!$C$4),2,IF(AND(CP53&gt;='TABEL KONVERSI'!$B$5,'ENTRY DATA'!CP53&lt;='TABEL KONVERSI'!$C$5),3,IF(AND(CP53&gt;='TABEL KONVERSI'!$B$6,'ENTRY DATA'!CP53&lt;='TABEL KONVERSI'!$C$6),4,"")))),"-")</f>
        <v>-</v>
      </c>
      <c r="CS53" s="38" t="str">
        <f>IF(CQ53&lt;&gt;"",IF(AND(CQ53&gt;='TABEL KONVERSI'!$B$3,'ENTRY DATA'!CQ53&lt;='TABEL KONVERSI'!$C$3),1,IF(AND(CQ53&gt;='TABEL KONVERSI'!$B$4,'ENTRY DATA'!CQ53&lt;='TABEL KONVERSI'!$C$4),2,IF(AND(CQ53&gt;='TABEL KONVERSI'!$B$5,'ENTRY DATA'!CQ53&lt;='TABEL KONVERSI'!$C$5),3,IF(AND(CQ53&gt;='TABEL KONVERSI'!$B$6,'ENTRY DATA'!CQ53&lt;='TABEL KONVERSI'!$C$6),4,"")))),"-")</f>
        <v>-</v>
      </c>
      <c r="CT53" s="38" t="str">
        <f t="shared" si="64"/>
        <v>-</v>
      </c>
      <c r="CU53" s="38" t="str">
        <f>VLOOKUP(CR53,'TABEL KONVERSI'!$A$3:$D$7,4)</f>
        <v>-</v>
      </c>
      <c r="CV53" s="38" t="str">
        <f t="shared" si="65"/>
        <v>-</v>
      </c>
      <c r="CW53" s="38" t="str">
        <f>VLOOKUP(CS53,'TABEL KONVERSI'!$A$3:$D$7,4)</f>
        <v>-</v>
      </c>
      <c r="CX53" s="42"/>
      <c r="CY53" s="37"/>
      <c r="CZ53" s="73"/>
      <c r="DA53" s="73"/>
      <c r="DB53" s="38" t="str">
        <f t="shared" si="66"/>
        <v/>
      </c>
      <c r="DC53" s="38" t="str">
        <f t="shared" si="67"/>
        <v/>
      </c>
      <c r="DD53" s="38" t="str">
        <f>IF(DB53&lt;&gt;"",IF(AND(DB53&gt;='TABEL KONVERSI'!$B$3,'ENTRY DATA'!DB53&lt;='TABEL KONVERSI'!$C$3),1,IF(AND(DB53&gt;='TABEL KONVERSI'!$B$4,'ENTRY DATA'!DB53&lt;='TABEL KONVERSI'!$C$4),2,IF(AND(DB53&gt;='TABEL KONVERSI'!$B$5,'ENTRY DATA'!DB53&lt;='TABEL KONVERSI'!$C$5),3,IF(AND(DB53&gt;='TABEL KONVERSI'!$B$6,'ENTRY DATA'!DB53&lt;='TABEL KONVERSI'!$C$6),4,"")))),"-")</f>
        <v>-</v>
      </c>
      <c r="DE53" s="38" t="str">
        <f>IF(DC53&lt;&gt;"",IF(AND(DC53&gt;='TABEL KONVERSI'!$B$3,'ENTRY DATA'!DC53&lt;='TABEL KONVERSI'!$C$3),1,IF(AND(DC53&gt;='TABEL KONVERSI'!$B$4,'ENTRY DATA'!DC53&lt;='TABEL KONVERSI'!$C$4),2,IF(AND(DC53&gt;='TABEL KONVERSI'!$B$5,'ENTRY DATA'!DC53&lt;='TABEL KONVERSI'!$C$5),3,IF(AND(DC53&gt;='TABEL KONVERSI'!$B$6,'ENTRY DATA'!DC53&lt;='TABEL KONVERSI'!$C$6),4,"")))),"-")</f>
        <v>-</v>
      </c>
      <c r="DF53" s="38" t="str">
        <f t="shared" si="68"/>
        <v>-</v>
      </c>
      <c r="DG53" s="38" t="str">
        <f>VLOOKUP(DD53,'TABEL KONVERSI'!$A$3:$D$7,4)</f>
        <v>-</v>
      </c>
      <c r="DH53" s="38" t="str">
        <f t="shared" si="69"/>
        <v>-</v>
      </c>
      <c r="DI53" s="38" t="str">
        <f>VLOOKUP(DE53,'TABEL KONVERSI'!$A$3:$D$7,4)</f>
        <v>-</v>
      </c>
      <c r="DJ53" s="42"/>
      <c r="DK53" s="37"/>
      <c r="DL53" s="73"/>
      <c r="DM53" s="73"/>
      <c r="DN53" s="38" t="str">
        <f t="shared" si="70"/>
        <v/>
      </c>
      <c r="DO53" s="38" t="str">
        <f t="shared" si="71"/>
        <v/>
      </c>
      <c r="DP53" s="38" t="str">
        <f>IF(DN53&lt;&gt;"",IF(AND(DN53&gt;='TABEL KONVERSI'!$B$3,'ENTRY DATA'!DN53&lt;='TABEL KONVERSI'!$C$3),1,IF(AND(DN53&gt;='TABEL KONVERSI'!$B$4,'ENTRY DATA'!DN53&lt;='TABEL KONVERSI'!$C$4),2,IF(AND(DN53&gt;='TABEL KONVERSI'!$B$5,'ENTRY DATA'!DN53&lt;='TABEL KONVERSI'!$C$5),3,IF(AND(DN53&gt;='TABEL KONVERSI'!$B$6,'ENTRY DATA'!DN53&lt;='TABEL KONVERSI'!$C$6),4,"")))),"-")</f>
        <v>-</v>
      </c>
      <c r="DQ53" s="38" t="str">
        <f>IF(DO53&lt;&gt;"",IF(AND(DO53&gt;='TABEL KONVERSI'!$B$3,'ENTRY DATA'!DO53&lt;='TABEL KONVERSI'!$C$3),1,IF(AND(DO53&gt;='TABEL KONVERSI'!$B$4,'ENTRY DATA'!DO53&lt;='TABEL KONVERSI'!$C$4),2,IF(AND(DO53&gt;='TABEL KONVERSI'!$B$5,'ENTRY DATA'!DO53&lt;='TABEL KONVERSI'!$C$5),3,IF(AND(DO53&gt;='TABEL KONVERSI'!$B$6,'ENTRY DATA'!DO53&lt;='TABEL KONVERSI'!$C$6),4,"")))),"-")</f>
        <v>-</v>
      </c>
      <c r="DR53" s="38" t="str">
        <f t="shared" si="72"/>
        <v>-</v>
      </c>
      <c r="DS53" s="38" t="str">
        <f>VLOOKUP(DP53,'TABEL KONVERSI'!$A$3:$D$7,4)</f>
        <v>-</v>
      </c>
      <c r="DT53" s="38" t="str">
        <f t="shared" si="73"/>
        <v>-</v>
      </c>
      <c r="DU53" s="38" t="str">
        <f>VLOOKUP(DQ53,'TABEL KONVERSI'!$A$3:$D$7,4)</f>
        <v>-</v>
      </c>
      <c r="DV53" s="42"/>
      <c r="DW53" s="37"/>
      <c r="DX53" s="73"/>
      <c r="DY53" s="73"/>
      <c r="DZ53" s="38" t="str">
        <f t="shared" si="74"/>
        <v/>
      </c>
      <c r="EA53" s="38" t="str">
        <f t="shared" si="75"/>
        <v/>
      </c>
      <c r="EB53" s="38" t="str">
        <f>IF(DZ53&lt;&gt;"",IF(AND(DZ53&gt;='TABEL KONVERSI'!$B$3,'ENTRY DATA'!DZ53&lt;='TABEL KONVERSI'!$C$3),1,IF(AND(DZ53&gt;='TABEL KONVERSI'!$B$4,'ENTRY DATA'!DZ53&lt;='TABEL KONVERSI'!$C$4),2,IF(AND(DZ53&gt;='TABEL KONVERSI'!$B$5,'ENTRY DATA'!DZ53&lt;='TABEL KONVERSI'!$C$5),3,IF(AND(DZ53&gt;='TABEL KONVERSI'!$B$6,'ENTRY DATA'!DZ53&lt;='TABEL KONVERSI'!$C$6),4,"")))),"-")</f>
        <v>-</v>
      </c>
      <c r="EC53" s="38" t="str">
        <f>IF(EA53&lt;&gt;"",IF(AND(EA53&gt;='TABEL KONVERSI'!$B$3,'ENTRY DATA'!EA53&lt;='TABEL KONVERSI'!$C$3),1,IF(AND(EA53&gt;='TABEL KONVERSI'!$B$4,'ENTRY DATA'!EA53&lt;='TABEL KONVERSI'!$C$4),2,IF(AND(EA53&gt;='TABEL KONVERSI'!$B$5,'ENTRY DATA'!EA53&lt;='TABEL KONVERSI'!$C$5),3,IF(AND(EA53&gt;='TABEL KONVERSI'!$B$6,'ENTRY DATA'!EA53&lt;='TABEL KONVERSI'!$C$6),4,"")))),"-")</f>
        <v>-</v>
      </c>
      <c r="ED53" s="38" t="str">
        <f t="shared" si="76"/>
        <v>-</v>
      </c>
      <c r="EE53" s="38" t="str">
        <f>VLOOKUP(EB53,'TABEL KONVERSI'!$A$3:$D$7,4)</f>
        <v>-</v>
      </c>
      <c r="EF53" s="38" t="str">
        <f t="shared" si="77"/>
        <v>-</v>
      </c>
      <c r="EG53" s="38" t="str">
        <f>VLOOKUP(EC53,'TABEL KONVERSI'!$A$3:$D$7,4)</f>
        <v>-</v>
      </c>
      <c r="EH53" s="42"/>
      <c r="EI53" s="37"/>
      <c r="EJ53" s="73"/>
      <c r="EK53" s="73"/>
      <c r="EL53" s="38" t="str">
        <f t="shared" si="78"/>
        <v/>
      </c>
      <c r="EM53" s="38" t="str">
        <f t="shared" si="79"/>
        <v/>
      </c>
      <c r="EN53" s="38" t="str">
        <f>IF(EL53&lt;&gt;"",IF(AND(EL53&gt;='TABEL KONVERSI'!$B$3,'ENTRY DATA'!EL53&lt;='TABEL KONVERSI'!$C$3),1,IF(AND(EL53&gt;='TABEL KONVERSI'!$B$4,'ENTRY DATA'!EL53&lt;='TABEL KONVERSI'!$C$4),2,IF(AND(EL53&gt;='TABEL KONVERSI'!$B$5,'ENTRY DATA'!EL53&lt;='TABEL KONVERSI'!$C$5),3,IF(AND(EL53&gt;='TABEL KONVERSI'!$B$6,'ENTRY DATA'!EL53&lt;='TABEL KONVERSI'!$C$6),4,"")))),"-")</f>
        <v>-</v>
      </c>
      <c r="EO53" s="38" t="str">
        <f>IF(EM53&lt;&gt;"",IF(AND(EM53&gt;='TABEL KONVERSI'!$B$3,'ENTRY DATA'!EM53&lt;='TABEL KONVERSI'!$C$3),1,IF(AND(EM53&gt;='TABEL KONVERSI'!$B$4,'ENTRY DATA'!EM53&lt;='TABEL KONVERSI'!$C$4),2,IF(AND(EM53&gt;='TABEL KONVERSI'!$B$5,'ENTRY DATA'!EM53&lt;='TABEL KONVERSI'!$C$5),3,IF(AND(EM53&gt;='TABEL KONVERSI'!$B$6,'ENTRY DATA'!EM53&lt;='TABEL KONVERSI'!$C$6),4,"")))),"-")</f>
        <v>-</v>
      </c>
      <c r="EP53" s="38" t="str">
        <f t="shared" si="80"/>
        <v>-</v>
      </c>
      <c r="EQ53" s="38" t="str">
        <f>VLOOKUP(EN53,'TABEL KONVERSI'!$A$3:$D$7,4)</f>
        <v>-</v>
      </c>
      <c r="ER53" s="38" t="str">
        <f t="shared" si="81"/>
        <v>-</v>
      </c>
      <c r="ES53" s="38" t="str">
        <f>VLOOKUP(EO53,'TABEL KONVERSI'!$A$3:$D$7,4)</f>
        <v>-</v>
      </c>
      <c r="ET53" s="42"/>
      <c r="EU53" s="37"/>
      <c r="EV53" s="73"/>
      <c r="EW53" s="73"/>
      <c r="EX53" s="38" t="str">
        <f t="shared" si="82"/>
        <v/>
      </c>
      <c r="EY53" s="38" t="str">
        <f t="shared" si="83"/>
        <v/>
      </c>
      <c r="EZ53" s="38" t="str">
        <f>IF(EX53&lt;&gt;"",IF(AND(EX53&gt;='TABEL KONVERSI'!$B$3,'ENTRY DATA'!EX53&lt;='TABEL KONVERSI'!$C$3),1,IF(AND(EX53&gt;='TABEL KONVERSI'!$B$4,'ENTRY DATA'!EX53&lt;='TABEL KONVERSI'!$C$4),2,IF(AND(EX53&gt;='TABEL KONVERSI'!$B$5,'ENTRY DATA'!EX53&lt;='TABEL KONVERSI'!$C$5),3,IF(AND(EX53&gt;='TABEL KONVERSI'!$B$6,'ENTRY DATA'!EX53&lt;='TABEL KONVERSI'!$C$6),4,"")))),"-")</f>
        <v>-</v>
      </c>
      <c r="FA53" s="38" t="str">
        <f>IF(EY53&lt;&gt;"",IF(AND(EY53&gt;='TABEL KONVERSI'!$B$3,'ENTRY DATA'!EY53&lt;='TABEL KONVERSI'!$C$3),1,IF(AND(EY53&gt;='TABEL KONVERSI'!$B$4,'ENTRY DATA'!EY53&lt;='TABEL KONVERSI'!$C$4),2,IF(AND(EY53&gt;='TABEL KONVERSI'!$B$5,'ENTRY DATA'!EY53&lt;='TABEL KONVERSI'!$C$5),3,IF(AND(EY53&gt;='TABEL KONVERSI'!$B$6,'ENTRY DATA'!EY53&lt;='TABEL KONVERSI'!$C$6),4,"")))),"-")</f>
        <v>-</v>
      </c>
      <c r="FB53" s="38" t="str">
        <f t="shared" si="84"/>
        <v>-</v>
      </c>
      <c r="FC53" s="38" t="str">
        <f>VLOOKUP(EZ53,'TABEL KONVERSI'!$A$3:$D$7,4)</f>
        <v>-</v>
      </c>
      <c r="FD53" s="38" t="str">
        <f t="shared" si="85"/>
        <v>-</v>
      </c>
      <c r="FE53" s="38" t="str">
        <f>VLOOKUP(FA53,'TABEL KONVERSI'!$A$3:$D$7,4)</f>
        <v>-</v>
      </c>
      <c r="FF53" s="42"/>
      <c r="FG53" s="37"/>
      <c r="FH53" s="73"/>
      <c r="FI53" s="73"/>
      <c r="FJ53" s="38" t="str">
        <f t="shared" si="86"/>
        <v/>
      </c>
      <c r="FK53" s="38" t="str">
        <f t="shared" si="87"/>
        <v/>
      </c>
      <c r="FL53" s="38" t="str">
        <f>IF(FJ53&lt;&gt;"",IF(AND(FJ53&gt;='TABEL KONVERSI'!$B$3,'ENTRY DATA'!FJ53&lt;='TABEL KONVERSI'!$C$3),1,IF(AND(FJ53&gt;='TABEL KONVERSI'!$B$4,'ENTRY DATA'!FJ53&lt;='TABEL KONVERSI'!$C$4),2,IF(AND(FJ53&gt;='TABEL KONVERSI'!$B$5,'ENTRY DATA'!FJ53&lt;='TABEL KONVERSI'!$C$5),3,IF(AND(FJ53&gt;='TABEL KONVERSI'!$B$6,'ENTRY DATA'!FJ53&lt;='TABEL KONVERSI'!$C$6),4,"")))),"-")</f>
        <v>-</v>
      </c>
      <c r="FM53" s="38" t="str">
        <f>IF(FK53&lt;&gt;"",IF(AND(FK53&gt;='TABEL KONVERSI'!$B$3,'ENTRY DATA'!FK53&lt;='TABEL KONVERSI'!$C$3),1,IF(AND(FK53&gt;='TABEL KONVERSI'!$B$4,'ENTRY DATA'!FK53&lt;='TABEL KONVERSI'!$C$4),2,IF(AND(FK53&gt;='TABEL KONVERSI'!$B$5,'ENTRY DATA'!FK53&lt;='TABEL KONVERSI'!$C$5),3,IF(AND(FK53&gt;='TABEL KONVERSI'!$B$6,'ENTRY DATA'!FK53&lt;='TABEL KONVERSI'!$C$6),4,"")))),"-")</f>
        <v>-</v>
      </c>
      <c r="FN53" s="38" t="str">
        <f t="shared" si="88"/>
        <v>-</v>
      </c>
      <c r="FO53" s="38" t="str">
        <f>VLOOKUP(FL53,'TABEL KONVERSI'!$A$3:$D$7,4)</f>
        <v>-</v>
      </c>
      <c r="FP53" s="38" t="str">
        <f t="shared" si="89"/>
        <v>-</v>
      </c>
      <c r="FQ53" s="38" t="str">
        <f>VLOOKUP(FM53,'TABEL KONVERSI'!$A$3:$D$7,4)</f>
        <v>-</v>
      </c>
      <c r="FR53" s="42"/>
      <c r="FS53" s="37"/>
      <c r="FT53" s="73"/>
      <c r="FU53" s="73"/>
      <c r="FV53" s="38" t="str">
        <f t="shared" si="90"/>
        <v/>
      </c>
      <c r="FW53" s="38" t="str">
        <f t="shared" si="91"/>
        <v/>
      </c>
      <c r="FX53" s="38" t="str">
        <f>IF(FV53&lt;&gt;"",IF(AND(FV53&gt;='TABEL KONVERSI'!$B$3,'ENTRY DATA'!FV53&lt;='TABEL KONVERSI'!$C$3),1,IF(AND(FV53&gt;='TABEL KONVERSI'!$B$4,'ENTRY DATA'!FV53&lt;='TABEL KONVERSI'!$C$4),2,IF(AND(FV53&gt;='TABEL KONVERSI'!$B$5,'ENTRY DATA'!FV53&lt;='TABEL KONVERSI'!$C$5),3,IF(AND(FV53&gt;='TABEL KONVERSI'!$B$6,'ENTRY DATA'!FV53&lt;='TABEL KONVERSI'!$C$6),4,"")))),"-")</f>
        <v>-</v>
      </c>
      <c r="FY53" s="38" t="str">
        <f>IF(FW53&lt;&gt;"",IF(AND(FW53&gt;='TABEL KONVERSI'!$B$3,'ENTRY DATA'!FW53&lt;='TABEL KONVERSI'!$C$3),1,IF(AND(FW53&gt;='TABEL KONVERSI'!$B$4,'ENTRY DATA'!FW53&lt;='TABEL KONVERSI'!$C$4),2,IF(AND(FW53&gt;='TABEL KONVERSI'!$B$5,'ENTRY DATA'!FW53&lt;='TABEL KONVERSI'!$C$5),3,IF(AND(FW53&gt;='TABEL KONVERSI'!$B$6,'ENTRY DATA'!FW53&lt;='TABEL KONVERSI'!$C$6),4,"")))),"-")</f>
        <v>-</v>
      </c>
      <c r="FZ53" s="38" t="str">
        <f t="shared" si="92"/>
        <v>-</v>
      </c>
      <c r="GA53" s="38" t="str">
        <f>VLOOKUP(FX53,'TABEL KONVERSI'!$A$3:$D$7,4)</f>
        <v>-</v>
      </c>
      <c r="GB53" s="38" t="str">
        <f t="shared" si="93"/>
        <v>-</v>
      </c>
      <c r="GC53" s="38" t="str">
        <f>VLOOKUP(FY53,'TABEL KONVERSI'!$A$3:$D$7,4)</f>
        <v>-</v>
      </c>
      <c r="GD53" s="42"/>
      <c r="GE53" s="37"/>
      <c r="GF53" s="73"/>
      <c r="GG53" s="73"/>
      <c r="GH53" s="38" t="str">
        <f t="shared" si="94"/>
        <v/>
      </c>
      <c r="GI53" s="38" t="str">
        <f t="shared" si="95"/>
        <v/>
      </c>
      <c r="GJ53" s="38" t="str">
        <f>IF(GH53&lt;&gt;"",IF(AND(GH53&gt;='TABEL KONVERSI'!$B$3,'ENTRY DATA'!GH53&lt;='TABEL KONVERSI'!$C$3),1,IF(AND(GH53&gt;='TABEL KONVERSI'!$B$4,'ENTRY DATA'!GH53&lt;='TABEL KONVERSI'!$C$4),2,IF(AND(GH53&gt;='TABEL KONVERSI'!$B$5,'ENTRY DATA'!GH53&lt;='TABEL KONVERSI'!$C$5),3,IF(AND(GH53&gt;='TABEL KONVERSI'!$B$6,'ENTRY DATA'!GH53&lt;='TABEL KONVERSI'!$C$6),4,"")))),"-")</f>
        <v>-</v>
      </c>
      <c r="GK53" s="38" t="str">
        <f>IF(GI53&lt;&gt;"",IF(AND(GI53&gt;='TABEL KONVERSI'!$B$3,'ENTRY DATA'!GI53&lt;='TABEL KONVERSI'!$C$3),1,IF(AND(GI53&gt;='TABEL KONVERSI'!$B$4,'ENTRY DATA'!GI53&lt;='TABEL KONVERSI'!$C$4),2,IF(AND(GI53&gt;='TABEL KONVERSI'!$B$5,'ENTRY DATA'!GI53&lt;='TABEL KONVERSI'!$C$5),3,IF(AND(GI53&gt;='TABEL KONVERSI'!$B$6,'ENTRY DATA'!GI53&lt;='TABEL KONVERSI'!$C$6),4,"")))),"-")</f>
        <v>-</v>
      </c>
      <c r="GL53" s="38" t="str">
        <f t="shared" si="96"/>
        <v>-</v>
      </c>
      <c r="GM53" s="38" t="str">
        <f>VLOOKUP(GJ53,'TABEL KONVERSI'!$A$3:$D$7,4)</f>
        <v>-</v>
      </c>
      <c r="GN53" s="38" t="str">
        <f t="shared" si="97"/>
        <v>-</v>
      </c>
      <c r="GO53" s="38" t="str">
        <f>VLOOKUP(GK53,'TABEL KONVERSI'!$A$3:$D$7,4)</f>
        <v>-</v>
      </c>
      <c r="GP53" s="43">
        <f t="shared" si="108"/>
        <v>0</v>
      </c>
      <c r="GQ53" s="43">
        <f t="shared" si="109"/>
        <v>0</v>
      </c>
      <c r="GR53" s="43">
        <f t="shared" si="110"/>
        <v>0</v>
      </c>
      <c r="GS53" s="43">
        <f t="shared" si="111"/>
        <v>0</v>
      </c>
      <c r="GT53" s="43">
        <f t="shared" si="112"/>
        <v>0</v>
      </c>
      <c r="GU53" s="43">
        <f t="shared" si="113"/>
        <v>0</v>
      </c>
      <c r="GV53" s="43">
        <f t="shared" si="114"/>
        <v>0</v>
      </c>
      <c r="GW53" s="43">
        <f t="shared" si="115"/>
        <v>0</v>
      </c>
      <c r="GX53" s="43">
        <f t="shared" si="116"/>
        <v>0</v>
      </c>
      <c r="GY53" s="43">
        <f t="shared" si="117"/>
        <v>0</v>
      </c>
      <c r="GZ53" s="43">
        <f t="shared" si="118"/>
        <v>0</v>
      </c>
      <c r="HA53" s="43">
        <f t="shared" si="119"/>
        <v>0</v>
      </c>
      <c r="HB53" s="43">
        <f t="shared" si="120"/>
        <v>0</v>
      </c>
      <c r="HC53" s="43">
        <f t="shared" si="121"/>
        <v>0</v>
      </c>
      <c r="HD53" s="43">
        <f t="shared" si="122"/>
        <v>0</v>
      </c>
      <c r="HE53" s="43">
        <f t="shared" si="123"/>
        <v>0</v>
      </c>
      <c r="HF53" s="38">
        <f t="shared" si="98"/>
        <v>0</v>
      </c>
      <c r="HG53" s="38">
        <f t="shared" si="99"/>
        <v>0</v>
      </c>
      <c r="HH53" s="38">
        <f t="shared" si="100"/>
        <v>0</v>
      </c>
      <c r="HI53" s="39">
        <f t="shared" si="101"/>
        <v>0</v>
      </c>
      <c r="HJ53" s="44" t="str">
        <f t="shared" si="102"/>
        <v>-</v>
      </c>
      <c r="HK53" s="45" t="str">
        <f>VLOOKUP(HJ53,'TABEL KONVERSI'!$B$11:$D$15,2,0)</f>
        <v>-</v>
      </c>
      <c r="HL53" s="43">
        <f t="shared" si="124"/>
        <v>0</v>
      </c>
      <c r="HM53" s="43">
        <f t="shared" si="125"/>
        <v>0</v>
      </c>
      <c r="HN53" s="43">
        <f t="shared" si="126"/>
        <v>0</v>
      </c>
      <c r="HO53" s="43">
        <f t="shared" si="127"/>
        <v>0</v>
      </c>
      <c r="HP53" s="43">
        <f t="shared" si="128"/>
        <v>0</v>
      </c>
      <c r="HQ53" s="43">
        <f t="shared" si="129"/>
        <v>0</v>
      </c>
      <c r="HR53" s="43">
        <f t="shared" si="130"/>
        <v>0</v>
      </c>
      <c r="HS53" s="43">
        <f t="shared" si="131"/>
        <v>0</v>
      </c>
      <c r="HT53" s="43">
        <f t="shared" si="132"/>
        <v>0</v>
      </c>
      <c r="HU53" s="43">
        <f t="shared" si="133"/>
        <v>0</v>
      </c>
      <c r="HV53" s="43">
        <f t="shared" si="134"/>
        <v>0</v>
      </c>
      <c r="HW53" s="43">
        <f t="shared" si="135"/>
        <v>0</v>
      </c>
      <c r="HX53" s="43">
        <f t="shared" si="136"/>
        <v>0</v>
      </c>
      <c r="HY53" s="43">
        <f t="shared" si="137"/>
        <v>0</v>
      </c>
      <c r="HZ53" s="43">
        <f t="shared" si="138"/>
        <v>0</v>
      </c>
      <c r="IA53" s="43">
        <f t="shared" si="139"/>
        <v>0</v>
      </c>
      <c r="IB53" s="38">
        <f t="shared" si="103"/>
        <v>0</v>
      </c>
      <c r="IC53" s="38">
        <f t="shared" si="104"/>
        <v>0</v>
      </c>
      <c r="ID53" s="38">
        <f t="shared" si="105"/>
        <v>0</v>
      </c>
      <c r="IE53" s="38">
        <f t="shared" si="106"/>
        <v>0</v>
      </c>
      <c r="IF53" s="46" t="str">
        <f t="shared" si="107"/>
        <v>-</v>
      </c>
      <c r="IG53" s="45" t="str">
        <f>VLOOKUP(IF53,'TABEL KONVERSI'!$B$11:$D$15,3,0)</f>
        <v>-</v>
      </c>
      <c r="IH53" s="40" t="s">
        <v>223</v>
      </c>
      <c r="II53" s="41" t="s">
        <v>106</v>
      </c>
      <c r="IJ53" s="45" t="str">
        <f>IF(II53&lt;&gt;"",VLOOKUP(II53,'TABEL KONVERSI'!$A$19:$B$23,2,0),"")</f>
        <v>Aktif dalam mengikuti kegiatan</v>
      </c>
      <c r="IK53" s="47" t="s">
        <v>58</v>
      </c>
      <c r="IL53" s="50" t="s">
        <v>58</v>
      </c>
      <c r="IM53" s="45" t="str">
        <f>IF(IL53&lt;&gt;"",VLOOKUP(IL53,'TABEL KONVERSI'!$A$19:$B$23,2,0),"")</f>
        <v>-</v>
      </c>
      <c r="IN53" s="49" t="s">
        <v>58</v>
      </c>
      <c r="IO53" s="48" t="s">
        <v>58</v>
      </c>
      <c r="IP53" s="45" t="str">
        <f>IF(IO53&lt;&gt;"",VLOOKUP(IO53,'TABEL KONVERSI'!$A$19:$B$23,2,0),"")</f>
        <v>-</v>
      </c>
      <c r="IQ53" s="49" t="s">
        <v>58</v>
      </c>
      <c r="IR53" s="50" t="s">
        <v>58</v>
      </c>
      <c r="IS53" s="45" t="str">
        <f>IF(IR53&lt;&gt;"",VLOOKUP(IR53,'TABEL KONVERSI'!$A$19:$B$23,2,0),"")</f>
        <v>-</v>
      </c>
      <c r="IT53" s="49" t="s">
        <v>58</v>
      </c>
      <c r="IU53" s="50" t="s">
        <v>58</v>
      </c>
      <c r="IV53" s="45" t="str">
        <f>IF(IU53&lt;&gt;"",VLOOKUP(IU53,'TABEL KONVERSI'!$A$19:$B$23,2,0),"")</f>
        <v>-</v>
      </c>
      <c r="IW53" s="48" t="s">
        <v>58</v>
      </c>
      <c r="IX53" s="48" t="s">
        <v>58</v>
      </c>
      <c r="IY53" s="48" t="s">
        <v>58</v>
      </c>
      <c r="IZ53" s="47" t="s">
        <v>58</v>
      </c>
      <c r="JA53" s="45">
        <f t="shared" si="140"/>
        <v>0</v>
      </c>
      <c r="JB53" s="45">
        <f t="shared" si="141"/>
        <v>1</v>
      </c>
    </row>
    <row r="54" spans="1:262" x14ac:dyDescent="0.25">
      <c r="A54" s="33">
        <v>42</v>
      </c>
      <c r="B54" s="53"/>
      <c r="C54" s="53"/>
      <c r="D54" s="54"/>
      <c r="E54" s="55"/>
      <c r="F54" s="42"/>
      <c r="G54" s="37"/>
      <c r="H54" s="73"/>
      <c r="I54" s="73"/>
      <c r="J54" s="38" t="str">
        <f t="shared" si="34"/>
        <v/>
      </c>
      <c r="K54" s="38" t="str">
        <f t="shared" si="35"/>
        <v/>
      </c>
      <c r="L54" s="38" t="str">
        <f>IF(J54&lt;&gt;"",IF(AND(J54&gt;='TABEL KONVERSI'!$B$3,'ENTRY DATA'!J54&lt;='TABEL KONVERSI'!$C$3),1,IF(AND(J54&gt;='TABEL KONVERSI'!$B$4,'ENTRY DATA'!J54&lt;='TABEL KONVERSI'!$C$4),2,IF(AND(J54&gt;='TABEL KONVERSI'!$B$5,'ENTRY DATA'!J54&lt;='TABEL KONVERSI'!$C$5),3,IF(AND(J54&gt;='TABEL KONVERSI'!$B$6,'ENTRY DATA'!J54&lt;='TABEL KONVERSI'!$C$6),4,"")))),"-")</f>
        <v>-</v>
      </c>
      <c r="M54" s="38" t="str">
        <f>IF(K54&lt;&gt;"",IF(AND(K54&gt;='TABEL KONVERSI'!$B$3,'ENTRY DATA'!K54&lt;='TABEL KONVERSI'!$C$3),1,IF(AND(K54&gt;='TABEL KONVERSI'!$B$4,'ENTRY DATA'!K54&lt;='TABEL KONVERSI'!$C$4),2,IF(AND(K54&gt;='TABEL KONVERSI'!$B$5,'ENTRY DATA'!K54&lt;='TABEL KONVERSI'!$C$5),3,IF(AND(K54&gt;='TABEL KONVERSI'!$B$6,'ENTRY DATA'!K54&lt;='TABEL KONVERSI'!$C$6),4,"")))),"-")</f>
        <v>-</v>
      </c>
      <c r="N54" s="38" t="str">
        <f t="shared" si="36"/>
        <v>-</v>
      </c>
      <c r="O54" s="38" t="str">
        <f>VLOOKUP(L54,'TABEL KONVERSI'!$A$3:$D$7,4)</f>
        <v>-</v>
      </c>
      <c r="P54" s="38" t="str">
        <f t="shared" si="37"/>
        <v>-</v>
      </c>
      <c r="Q54" s="38" t="str">
        <f>VLOOKUP(M54,'TABEL KONVERSI'!$A$3:$D$7,4)</f>
        <v>-</v>
      </c>
      <c r="R54" s="42"/>
      <c r="S54" s="37"/>
      <c r="T54" s="73"/>
      <c r="U54" s="73"/>
      <c r="V54" s="38" t="str">
        <f t="shared" si="38"/>
        <v/>
      </c>
      <c r="W54" s="38" t="str">
        <f t="shared" si="39"/>
        <v/>
      </c>
      <c r="X54" s="38" t="str">
        <f>IF(V54&lt;&gt;"",IF(AND(V54&gt;='TABEL KONVERSI'!$B$3,'ENTRY DATA'!V54&lt;='TABEL KONVERSI'!$C$3),1,IF(AND(V54&gt;='TABEL KONVERSI'!$B$4,'ENTRY DATA'!V54&lt;='TABEL KONVERSI'!$C$4),2,IF(AND(V54&gt;='TABEL KONVERSI'!$B$5,'ENTRY DATA'!V54&lt;='TABEL KONVERSI'!$C$5),3,IF(AND(V54&gt;='TABEL KONVERSI'!$B$6,'ENTRY DATA'!V54&lt;='TABEL KONVERSI'!$C$6),4,"")))),"-")</f>
        <v>-</v>
      </c>
      <c r="Y54" s="38" t="str">
        <f>IF(W54&lt;&gt;"",IF(AND(W54&gt;='TABEL KONVERSI'!$B$3,'ENTRY DATA'!W54&lt;='TABEL KONVERSI'!$C$3),1,IF(AND(W54&gt;='TABEL KONVERSI'!$B$4,'ENTRY DATA'!W54&lt;='TABEL KONVERSI'!$C$4),2,IF(AND(W54&gt;='TABEL KONVERSI'!$B$5,'ENTRY DATA'!W54&lt;='TABEL KONVERSI'!$C$5),3,IF(AND(W54&gt;='TABEL KONVERSI'!$B$6,'ENTRY DATA'!W54&lt;='TABEL KONVERSI'!$C$6),4,"")))),"-")</f>
        <v>-</v>
      </c>
      <c r="Z54" s="38" t="str">
        <f t="shared" si="40"/>
        <v>-</v>
      </c>
      <c r="AA54" s="38" t="str">
        <f>VLOOKUP(X54,'TABEL KONVERSI'!$A$3:$D$7,4)</f>
        <v>-</v>
      </c>
      <c r="AB54" s="38" t="str">
        <f t="shared" si="41"/>
        <v>-</v>
      </c>
      <c r="AC54" s="38" t="str">
        <f>VLOOKUP(Y54,'TABEL KONVERSI'!$A$3:$D$7,4)</f>
        <v>-</v>
      </c>
      <c r="AD54" s="42"/>
      <c r="AE54" s="37"/>
      <c r="AF54" s="73"/>
      <c r="AG54" s="73"/>
      <c r="AH54" s="38" t="str">
        <f t="shared" si="42"/>
        <v/>
      </c>
      <c r="AI54" s="38" t="str">
        <f t="shared" si="43"/>
        <v/>
      </c>
      <c r="AJ54" s="38" t="str">
        <f>IF(AH54&lt;&gt;"",IF(AND(AH54&gt;='TABEL KONVERSI'!$B$3,'ENTRY DATA'!AH54&lt;='TABEL KONVERSI'!$C$3),1,IF(AND(AH54&gt;='TABEL KONVERSI'!$B$4,'ENTRY DATA'!AH54&lt;='TABEL KONVERSI'!$C$4),2,IF(AND(AH54&gt;='TABEL KONVERSI'!$B$5,'ENTRY DATA'!AH54&lt;='TABEL KONVERSI'!$C$5),3,IF(AND(AH54&gt;='TABEL KONVERSI'!$B$6,'ENTRY DATA'!AH54&lt;='TABEL KONVERSI'!$C$6),4,"")))),"-")</f>
        <v>-</v>
      </c>
      <c r="AK54" s="38" t="str">
        <f>IF(AI54&lt;&gt;"",IF(AND(AI54&gt;='TABEL KONVERSI'!$B$3,'ENTRY DATA'!AI54&lt;='TABEL KONVERSI'!$C$3),1,IF(AND(AI54&gt;='TABEL KONVERSI'!$B$4,'ENTRY DATA'!AI54&lt;='TABEL KONVERSI'!$C$4),2,IF(AND(AI54&gt;='TABEL KONVERSI'!$B$5,'ENTRY DATA'!AI54&lt;='TABEL KONVERSI'!$C$5),3,IF(AND(AI54&gt;='TABEL KONVERSI'!$B$6,'ENTRY DATA'!AI54&lt;='TABEL KONVERSI'!$C$6),4,"")))),"-")</f>
        <v>-</v>
      </c>
      <c r="AL54" s="38" t="str">
        <f t="shared" si="44"/>
        <v>-</v>
      </c>
      <c r="AM54" s="38" t="str">
        <f>VLOOKUP(AJ54,'TABEL KONVERSI'!$A$3:$D$7,4)</f>
        <v>-</v>
      </c>
      <c r="AN54" s="38" t="str">
        <f t="shared" si="45"/>
        <v>-</v>
      </c>
      <c r="AO54" s="38" t="str">
        <f>VLOOKUP(AK54,'TABEL KONVERSI'!$A$3:$D$7,4)</f>
        <v>-</v>
      </c>
      <c r="AP54" s="42"/>
      <c r="AQ54" s="37"/>
      <c r="AR54" s="73"/>
      <c r="AS54" s="73"/>
      <c r="AT54" s="38" t="str">
        <f t="shared" si="46"/>
        <v/>
      </c>
      <c r="AU54" s="38" t="str">
        <f t="shared" si="47"/>
        <v/>
      </c>
      <c r="AV54" s="38" t="str">
        <f>IF(AT54&lt;&gt;"",IF(AND(AT54&gt;='TABEL KONVERSI'!$B$3,'ENTRY DATA'!AT54&lt;='TABEL KONVERSI'!$C$3),1,IF(AND(AT54&gt;='TABEL KONVERSI'!$B$4,'ENTRY DATA'!AT54&lt;='TABEL KONVERSI'!$C$4),2,IF(AND(AT54&gt;='TABEL KONVERSI'!$B$5,'ENTRY DATA'!AT54&lt;='TABEL KONVERSI'!$C$5),3,IF(AND(AT54&gt;='TABEL KONVERSI'!$B$6,'ENTRY DATA'!AT54&lt;='TABEL KONVERSI'!$C$6),4,"")))),"-")</f>
        <v>-</v>
      </c>
      <c r="AW54" s="38" t="str">
        <f>IF(AU54&lt;&gt;"",IF(AND(AU54&gt;='TABEL KONVERSI'!$B$3,'ENTRY DATA'!AU54&lt;='TABEL KONVERSI'!$C$3),1,IF(AND(AU54&gt;='TABEL KONVERSI'!$B$4,'ENTRY DATA'!AU54&lt;='TABEL KONVERSI'!$C$4),2,IF(AND(AU54&gt;='TABEL KONVERSI'!$B$5,'ENTRY DATA'!AU54&lt;='TABEL KONVERSI'!$C$5),3,IF(AND(AU54&gt;='TABEL KONVERSI'!$B$6,'ENTRY DATA'!AU54&lt;='TABEL KONVERSI'!$C$6),4,"")))),"-")</f>
        <v>-</v>
      </c>
      <c r="AX54" s="38" t="str">
        <f t="shared" si="48"/>
        <v>-</v>
      </c>
      <c r="AY54" s="38" t="str">
        <f>VLOOKUP(AV54,'TABEL KONVERSI'!$A$3:$D$7,4)</f>
        <v>-</v>
      </c>
      <c r="AZ54" s="38" t="str">
        <f t="shared" si="49"/>
        <v>-</v>
      </c>
      <c r="BA54" s="38" t="str">
        <f>VLOOKUP(AW54,'TABEL KONVERSI'!$A$3:$D$7,4)</f>
        <v>-</v>
      </c>
      <c r="BB54" s="42"/>
      <c r="BC54" s="37"/>
      <c r="BD54" s="73"/>
      <c r="BE54" s="73"/>
      <c r="BF54" s="38" t="str">
        <f t="shared" si="50"/>
        <v/>
      </c>
      <c r="BG54" s="38" t="str">
        <f t="shared" si="51"/>
        <v/>
      </c>
      <c r="BH54" s="38" t="str">
        <f>IF(BF54&lt;&gt;"",IF(AND(BF54&gt;='TABEL KONVERSI'!$B$3,'ENTRY DATA'!BF54&lt;='TABEL KONVERSI'!$C$3),1,IF(AND(BF54&gt;='TABEL KONVERSI'!$B$4,'ENTRY DATA'!BF54&lt;='TABEL KONVERSI'!$C$4),2,IF(AND(BF54&gt;='TABEL KONVERSI'!$B$5,'ENTRY DATA'!BF54&lt;='TABEL KONVERSI'!$C$5),3,IF(AND(BF54&gt;='TABEL KONVERSI'!$B$6,'ENTRY DATA'!BF54&lt;='TABEL KONVERSI'!$C$6),4,"")))),"-")</f>
        <v>-</v>
      </c>
      <c r="BI54" s="38" t="str">
        <f>IF(BG54&lt;&gt;"",IF(AND(BG54&gt;='TABEL KONVERSI'!$B$3,'ENTRY DATA'!BG54&lt;='TABEL KONVERSI'!$C$3),1,IF(AND(BG54&gt;='TABEL KONVERSI'!$B$4,'ENTRY DATA'!BG54&lt;='TABEL KONVERSI'!$C$4),2,IF(AND(BG54&gt;='TABEL KONVERSI'!$B$5,'ENTRY DATA'!BG54&lt;='TABEL KONVERSI'!$C$5),3,IF(AND(BG54&gt;='TABEL KONVERSI'!$B$6,'ENTRY DATA'!BG54&lt;='TABEL KONVERSI'!$C$6),4,"")))),"-")</f>
        <v>-</v>
      </c>
      <c r="BJ54" s="38" t="str">
        <f t="shared" si="52"/>
        <v>-</v>
      </c>
      <c r="BK54" s="38" t="str">
        <f>VLOOKUP(BH54,'TABEL KONVERSI'!$A$3:$D$7,4)</f>
        <v>-</v>
      </c>
      <c r="BL54" s="38" t="str">
        <f t="shared" si="53"/>
        <v>-</v>
      </c>
      <c r="BM54" s="38" t="str">
        <f>VLOOKUP(BI54,'TABEL KONVERSI'!$A$3:$D$7,4)</f>
        <v>-</v>
      </c>
      <c r="BN54" s="42"/>
      <c r="BO54" s="37"/>
      <c r="BP54" s="73"/>
      <c r="BQ54" s="73"/>
      <c r="BR54" s="38" t="str">
        <f t="shared" si="54"/>
        <v/>
      </c>
      <c r="BS54" s="38" t="str">
        <f t="shared" si="55"/>
        <v/>
      </c>
      <c r="BT54" s="38" t="str">
        <f>IF(BR54&lt;&gt;"",IF(AND(BR54&gt;='TABEL KONVERSI'!$B$3,'ENTRY DATA'!BR54&lt;='TABEL KONVERSI'!$C$3),1,IF(AND(BR54&gt;='TABEL KONVERSI'!$B$4,'ENTRY DATA'!BR54&lt;='TABEL KONVERSI'!$C$4),2,IF(AND(BR54&gt;='TABEL KONVERSI'!$B$5,'ENTRY DATA'!BR54&lt;='TABEL KONVERSI'!$C$5),3,IF(AND(BR54&gt;='TABEL KONVERSI'!$B$6,'ENTRY DATA'!BR54&lt;='TABEL KONVERSI'!$C$6),4,"")))),"-")</f>
        <v>-</v>
      </c>
      <c r="BU54" s="38" t="str">
        <f>IF(BS54&lt;&gt;"",IF(AND(BS54&gt;='TABEL KONVERSI'!$B$3,'ENTRY DATA'!BS54&lt;='TABEL KONVERSI'!$C$3),1,IF(AND(BS54&gt;='TABEL KONVERSI'!$B$4,'ENTRY DATA'!BS54&lt;='TABEL KONVERSI'!$C$4),2,IF(AND(BS54&gt;='TABEL KONVERSI'!$B$5,'ENTRY DATA'!BS54&lt;='TABEL KONVERSI'!$C$5),3,IF(AND(BS54&gt;='TABEL KONVERSI'!$B$6,'ENTRY DATA'!BS54&lt;='TABEL KONVERSI'!$C$6),4,"")))),"-")</f>
        <v>-</v>
      </c>
      <c r="BV54" s="38" t="str">
        <f t="shared" si="56"/>
        <v>-</v>
      </c>
      <c r="BW54" s="38" t="str">
        <f>VLOOKUP(BT54,'TABEL KONVERSI'!$A$3:$D$7,4)</f>
        <v>-</v>
      </c>
      <c r="BX54" s="38" t="str">
        <f t="shared" si="57"/>
        <v>-</v>
      </c>
      <c r="BY54" s="38" t="str">
        <f>VLOOKUP(BU54,'TABEL KONVERSI'!$A$3:$D$7,4)</f>
        <v>-</v>
      </c>
      <c r="BZ54" s="42"/>
      <c r="CA54" s="37"/>
      <c r="CB54" s="73"/>
      <c r="CC54" s="73"/>
      <c r="CD54" s="38" t="str">
        <f t="shared" si="58"/>
        <v/>
      </c>
      <c r="CE54" s="38" t="str">
        <f t="shared" si="59"/>
        <v/>
      </c>
      <c r="CF54" s="38" t="str">
        <f>IF(CD54&lt;&gt;"",IF(AND(CD54&gt;='TABEL KONVERSI'!$B$3,'ENTRY DATA'!CD54&lt;='TABEL KONVERSI'!$C$3),1,IF(AND(CD54&gt;='TABEL KONVERSI'!$B$4,'ENTRY DATA'!CD54&lt;='TABEL KONVERSI'!$C$4),2,IF(AND(CD54&gt;='TABEL KONVERSI'!$B$5,'ENTRY DATA'!CD54&lt;='TABEL KONVERSI'!$C$5),3,IF(AND(CD54&gt;='TABEL KONVERSI'!$B$6,'ENTRY DATA'!CD54&lt;='TABEL KONVERSI'!$C$6),4,"")))),"-")</f>
        <v>-</v>
      </c>
      <c r="CG54" s="38" t="str">
        <f>IF(CE54&lt;&gt;"",IF(AND(CE54&gt;='TABEL KONVERSI'!$B$3,'ENTRY DATA'!CE54&lt;='TABEL KONVERSI'!$C$3),1,IF(AND(CE54&gt;='TABEL KONVERSI'!$B$4,'ENTRY DATA'!CE54&lt;='TABEL KONVERSI'!$C$4),2,IF(AND(CE54&gt;='TABEL KONVERSI'!$B$5,'ENTRY DATA'!CE54&lt;='TABEL KONVERSI'!$C$5),3,IF(AND(CE54&gt;='TABEL KONVERSI'!$B$6,'ENTRY DATA'!CE54&lt;='TABEL KONVERSI'!$C$6),4,"")))),"-")</f>
        <v>-</v>
      </c>
      <c r="CH54" s="38" t="str">
        <f t="shared" si="60"/>
        <v>-</v>
      </c>
      <c r="CI54" s="38" t="str">
        <f>VLOOKUP(CF54,'TABEL KONVERSI'!$A$3:$D$7,4)</f>
        <v>-</v>
      </c>
      <c r="CJ54" s="38" t="str">
        <f t="shared" si="61"/>
        <v>-</v>
      </c>
      <c r="CK54" s="38" t="str">
        <f>VLOOKUP(CG54,'TABEL KONVERSI'!$A$3:$D$7,4)</f>
        <v>-</v>
      </c>
      <c r="CL54" s="42"/>
      <c r="CM54" s="37"/>
      <c r="CN54" s="73"/>
      <c r="CO54" s="73"/>
      <c r="CP54" s="38" t="str">
        <f t="shared" si="62"/>
        <v/>
      </c>
      <c r="CQ54" s="38" t="str">
        <f t="shared" si="63"/>
        <v/>
      </c>
      <c r="CR54" s="38" t="str">
        <f>IF(CP54&lt;&gt;"",IF(AND(CP54&gt;='TABEL KONVERSI'!$B$3,'ENTRY DATA'!CP54&lt;='TABEL KONVERSI'!$C$3),1,IF(AND(CP54&gt;='TABEL KONVERSI'!$B$4,'ENTRY DATA'!CP54&lt;='TABEL KONVERSI'!$C$4),2,IF(AND(CP54&gt;='TABEL KONVERSI'!$B$5,'ENTRY DATA'!CP54&lt;='TABEL KONVERSI'!$C$5),3,IF(AND(CP54&gt;='TABEL KONVERSI'!$B$6,'ENTRY DATA'!CP54&lt;='TABEL KONVERSI'!$C$6),4,"")))),"-")</f>
        <v>-</v>
      </c>
      <c r="CS54" s="38" t="str">
        <f>IF(CQ54&lt;&gt;"",IF(AND(CQ54&gt;='TABEL KONVERSI'!$B$3,'ENTRY DATA'!CQ54&lt;='TABEL KONVERSI'!$C$3),1,IF(AND(CQ54&gt;='TABEL KONVERSI'!$B$4,'ENTRY DATA'!CQ54&lt;='TABEL KONVERSI'!$C$4),2,IF(AND(CQ54&gt;='TABEL KONVERSI'!$B$5,'ENTRY DATA'!CQ54&lt;='TABEL KONVERSI'!$C$5),3,IF(AND(CQ54&gt;='TABEL KONVERSI'!$B$6,'ENTRY DATA'!CQ54&lt;='TABEL KONVERSI'!$C$6),4,"")))),"-")</f>
        <v>-</v>
      </c>
      <c r="CT54" s="38" t="str">
        <f t="shared" si="64"/>
        <v>-</v>
      </c>
      <c r="CU54" s="38" t="str">
        <f>VLOOKUP(CR54,'TABEL KONVERSI'!$A$3:$D$7,4)</f>
        <v>-</v>
      </c>
      <c r="CV54" s="38" t="str">
        <f t="shared" si="65"/>
        <v>-</v>
      </c>
      <c r="CW54" s="38" t="str">
        <f>VLOOKUP(CS54,'TABEL KONVERSI'!$A$3:$D$7,4)</f>
        <v>-</v>
      </c>
      <c r="CX54" s="42"/>
      <c r="CY54" s="37"/>
      <c r="CZ54" s="73"/>
      <c r="DA54" s="73"/>
      <c r="DB54" s="38" t="str">
        <f t="shared" si="66"/>
        <v/>
      </c>
      <c r="DC54" s="38" t="str">
        <f t="shared" si="67"/>
        <v/>
      </c>
      <c r="DD54" s="38" t="str">
        <f>IF(DB54&lt;&gt;"",IF(AND(DB54&gt;='TABEL KONVERSI'!$B$3,'ENTRY DATA'!DB54&lt;='TABEL KONVERSI'!$C$3),1,IF(AND(DB54&gt;='TABEL KONVERSI'!$B$4,'ENTRY DATA'!DB54&lt;='TABEL KONVERSI'!$C$4),2,IF(AND(DB54&gt;='TABEL KONVERSI'!$B$5,'ENTRY DATA'!DB54&lt;='TABEL KONVERSI'!$C$5),3,IF(AND(DB54&gt;='TABEL KONVERSI'!$B$6,'ENTRY DATA'!DB54&lt;='TABEL KONVERSI'!$C$6),4,"")))),"-")</f>
        <v>-</v>
      </c>
      <c r="DE54" s="38" t="str">
        <f>IF(DC54&lt;&gt;"",IF(AND(DC54&gt;='TABEL KONVERSI'!$B$3,'ENTRY DATA'!DC54&lt;='TABEL KONVERSI'!$C$3),1,IF(AND(DC54&gt;='TABEL KONVERSI'!$B$4,'ENTRY DATA'!DC54&lt;='TABEL KONVERSI'!$C$4),2,IF(AND(DC54&gt;='TABEL KONVERSI'!$B$5,'ENTRY DATA'!DC54&lt;='TABEL KONVERSI'!$C$5),3,IF(AND(DC54&gt;='TABEL KONVERSI'!$B$6,'ENTRY DATA'!DC54&lt;='TABEL KONVERSI'!$C$6),4,"")))),"-")</f>
        <v>-</v>
      </c>
      <c r="DF54" s="38" t="str">
        <f t="shared" si="68"/>
        <v>-</v>
      </c>
      <c r="DG54" s="38" t="str">
        <f>VLOOKUP(DD54,'TABEL KONVERSI'!$A$3:$D$7,4)</f>
        <v>-</v>
      </c>
      <c r="DH54" s="38" t="str">
        <f t="shared" si="69"/>
        <v>-</v>
      </c>
      <c r="DI54" s="38" t="str">
        <f>VLOOKUP(DE54,'TABEL KONVERSI'!$A$3:$D$7,4)</f>
        <v>-</v>
      </c>
      <c r="DJ54" s="42"/>
      <c r="DK54" s="37"/>
      <c r="DL54" s="73"/>
      <c r="DM54" s="73"/>
      <c r="DN54" s="38" t="str">
        <f t="shared" si="70"/>
        <v/>
      </c>
      <c r="DO54" s="38" t="str">
        <f t="shared" si="71"/>
        <v/>
      </c>
      <c r="DP54" s="38" t="str">
        <f>IF(DN54&lt;&gt;"",IF(AND(DN54&gt;='TABEL KONVERSI'!$B$3,'ENTRY DATA'!DN54&lt;='TABEL KONVERSI'!$C$3),1,IF(AND(DN54&gt;='TABEL KONVERSI'!$B$4,'ENTRY DATA'!DN54&lt;='TABEL KONVERSI'!$C$4),2,IF(AND(DN54&gt;='TABEL KONVERSI'!$B$5,'ENTRY DATA'!DN54&lt;='TABEL KONVERSI'!$C$5),3,IF(AND(DN54&gt;='TABEL KONVERSI'!$B$6,'ENTRY DATA'!DN54&lt;='TABEL KONVERSI'!$C$6),4,"")))),"-")</f>
        <v>-</v>
      </c>
      <c r="DQ54" s="38" t="str">
        <f>IF(DO54&lt;&gt;"",IF(AND(DO54&gt;='TABEL KONVERSI'!$B$3,'ENTRY DATA'!DO54&lt;='TABEL KONVERSI'!$C$3),1,IF(AND(DO54&gt;='TABEL KONVERSI'!$B$4,'ENTRY DATA'!DO54&lt;='TABEL KONVERSI'!$C$4),2,IF(AND(DO54&gt;='TABEL KONVERSI'!$B$5,'ENTRY DATA'!DO54&lt;='TABEL KONVERSI'!$C$5),3,IF(AND(DO54&gt;='TABEL KONVERSI'!$B$6,'ENTRY DATA'!DO54&lt;='TABEL KONVERSI'!$C$6),4,"")))),"-")</f>
        <v>-</v>
      </c>
      <c r="DR54" s="38" t="str">
        <f t="shared" si="72"/>
        <v>-</v>
      </c>
      <c r="DS54" s="38" t="str">
        <f>VLOOKUP(DP54,'TABEL KONVERSI'!$A$3:$D$7,4)</f>
        <v>-</v>
      </c>
      <c r="DT54" s="38" t="str">
        <f t="shared" si="73"/>
        <v>-</v>
      </c>
      <c r="DU54" s="38" t="str">
        <f>VLOOKUP(DQ54,'TABEL KONVERSI'!$A$3:$D$7,4)</f>
        <v>-</v>
      </c>
      <c r="DV54" s="42"/>
      <c r="DW54" s="37"/>
      <c r="DX54" s="73"/>
      <c r="DY54" s="73"/>
      <c r="DZ54" s="38" t="str">
        <f t="shared" si="74"/>
        <v/>
      </c>
      <c r="EA54" s="38" t="str">
        <f t="shared" si="75"/>
        <v/>
      </c>
      <c r="EB54" s="38" t="str">
        <f>IF(DZ54&lt;&gt;"",IF(AND(DZ54&gt;='TABEL KONVERSI'!$B$3,'ENTRY DATA'!DZ54&lt;='TABEL KONVERSI'!$C$3),1,IF(AND(DZ54&gt;='TABEL KONVERSI'!$B$4,'ENTRY DATA'!DZ54&lt;='TABEL KONVERSI'!$C$4),2,IF(AND(DZ54&gt;='TABEL KONVERSI'!$B$5,'ENTRY DATA'!DZ54&lt;='TABEL KONVERSI'!$C$5),3,IF(AND(DZ54&gt;='TABEL KONVERSI'!$B$6,'ENTRY DATA'!DZ54&lt;='TABEL KONVERSI'!$C$6),4,"")))),"-")</f>
        <v>-</v>
      </c>
      <c r="EC54" s="38" t="str">
        <f>IF(EA54&lt;&gt;"",IF(AND(EA54&gt;='TABEL KONVERSI'!$B$3,'ENTRY DATA'!EA54&lt;='TABEL KONVERSI'!$C$3),1,IF(AND(EA54&gt;='TABEL KONVERSI'!$B$4,'ENTRY DATA'!EA54&lt;='TABEL KONVERSI'!$C$4),2,IF(AND(EA54&gt;='TABEL KONVERSI'!$B$5,'ENTRY DATA'!EA54&lt;='TABEL KONVERSI'!$C$5),3,IF(AND(EA54&gt;='TABEL KONVERSI'!$B$6,'ENTRY DATA'!EA54&lt;='TABEL KONVERSI'!$C$6),4,"")))),"-")</f>
        <v>-</v>
      </c>
      <c r="ED54" s="38" t="str">
        <f t="shared" si="76"/>
        <v>-</v>
      </c>
      <c r="EE54" s="38" t="str">
        <f>VLOOKUP(EB54,'TABEL KONVERSI'!$A$3:$D$7,4)</f>
        <v>-</v>
      </c>
      <c r="EF54" s="38" t="str">
        <f t="shared" si="77"/>
        <v>-</v>
      </c>
      <c r="EG54" s="38" t="str">
        <f>VLOOKUP(EC54,'TABEL KONVERSI'!$A$3:$D$7,4)</f>
        <v>-</v>
      </c>
      <c r="EH54" s="42"/>
      <c r="EI54" s="37"/>
      <c r="EJ54" s="73"/>
      <c r="EK54" s="73"/>
      <c r="EL54" s="38" t="str">
        <f t="shared" si="78"/>
        <v/>
      </c>
      <c r="EM54" s="38" t="str">
        <f t="shared" si="79"/>
        <v/>
      </c>
      <c r="EN54" s="38" t="str">
        <f>IF(EL54&lt;&gt;"",IF(AND(EL54&gt;='TABEL KONVERSI'!$B$3,'ENTRY DATA'!EL54&lt;='TABEL KONVERSI'!$C$3),1,IF(AND(EL54&gt;='TABEL KONVERSI'!$B$4,'ENTRY DATA'!EL54&lt;='TABEL KONVERSI'!$C$4),2,IF(AND(EL54&gt;='TABEL KONVERSI'!$B$5,'ENTRY DATA'!EL54&lt;='TABEL KONVERSI'!$C$5),3,IF(AND(EL54&gt;='TABEL KONVERSI'!$B$6,'ENTRY DATA'!EL54&lt;='TABEL KONVERSI'!$C$6),4,"")))),"-")</f>
        <v>-</v>
      </c>
      <c r="EO54" s="38" t="str">
        <f>IF(EM54&lt;&gt;"",IF(AND(EM54&gt;='TABEL KONVERSI'!$B$3,'ENTRY DATA'!EM54&lt;='TABEL KONVERSI'!$C$3),1,IF(AND(EM54&gt;='TABEL KONVERSI'!$B$4,'ENTRY DATA'!EM54&lt;='TABEL KONVERSI'!$C$4),2,IF(AND(EM54&gt;='TABEL KONVERSI'!$B$5,'ENTRY DATA'!EM54&lt;='TABEL KONVERSI'!$C$5),3,IF(AND(EM54&gt;='TABEL KONVERSI'!$B$6,'ENTRY DATA'!EM54&lt;='TABEL KONVERSI'!$C$6),4,"")))),"-")</f>
        <v>-</v>
      </c>
      <c r="EP54" s="38" t="str">
        <f t="shared" si="80"/>
        <v>-</v>
      </c>
      <c r="EQ54" s="38" t="str">
        <f>VLOOKUP(EN54,'TABEL KONVERSI'!$A$3:$D$7,4)</f>
        <v>-</v>
      </c>
      <c r="ER54" s="38" t="str">
        <f t="shared" si="81"/>
        <v>-</v>
      </c>
      <c r="ES54" s="38" t="str">
        <f>VLOOKUP(EO54,'TABEL KONVERSI'!$A$3:$D$7,4)</f>
        <v>-</v>
      </c>
      <c r="ET54" s="42"/>
      <c r="EU54" s="37"/>
      <c r="EV54" s="73"/>
      <c r="EW54" s="73"/>
      <c r="EX54" s="38" t="str">
        <f t="shared" si="82"/>
        <v/>
      </c>
      <c r="EY54" s="38" t="str">
        <f t="shared" si="83"/>
        <v/>
      </c>
      <c r="EZ54" s="38" t="str">
        <f>IF(EX54&lt;&gt;"",IF(AND(EX54&gt;='TABEL KONVERSI'!$B$3,'ENTRY DATA'!EX54&lt;='TABEL KONVERSI'!$C$3),1,IF(AND(EX54&gt;='TABEL KONVERSI'!$B$4,'ENTRY DATA'!EX54&lt;='TABEL KONVERSI'!$C$4),2,IF(AND(EX54&gt;='TABEL KONVERSI'!$B$5,'ENTRY DATA'!EX54&lt;='TABEL KONVERSI'!$C$5),3,IF(AND(EX54&gt;='TABEL KONVERSI'!$B$6,'ENTRY DATA'!EX54&lt;='TABEL KONVERSI'!$C$6),4,"")))),"-")</f>
        <v>-</v>
      </c>
      <c r="FA54" s="38" t="str">
        <f>IF(EY54&lt;&gt;"",IF(AND(EY54&gt;='TABEL KONVERSI'!$B$3,'ENTRY DATA'!EY54&lt;='TABEL KONVERSI'!$C$3),1,IF(AND(EY54&gt;='TABEL KONVERSI'!$B$4,'ENTRY DATA'!EY54&lt;='TABEL KONVERSI'!$C$4),2,IF(AND(EY54&gt;='TABEL KONVERSI'!$B$5,'ENTRY DATA'!EY54&lt;='TABEL KONVERSI'!$C$5),3,IF(AND(EY54&gt;='TABEL KONVERSI'!$B$6,'ENTRY DATA'!EY54&lt;='TABEL KONVERSI'!$C$6),4,"")))),"-")</f>
        <v>-</v>
      </c>
      <c r="FB54" s="38" t="str">
        <f t="shared" si="84"/>
        <v>-</v>
      </c>
      <c r="FC54" s="38" t="str">
        <f>VLOOKUP(EZ54,'TABEL KONVERSI'!$A$3:$D$7,4)</f>
        <v>-</v>
      </c>
      <c r="FD54" s="38" t="str">
        <f t="shared" si="85"/>
        <v>-</v>
      </c>
      <c r="FE54" s="38" t="str">
        <f>VLOOKUP(FA54,'TABEL KONVERSI'!$A$3:$D$7,4)</f>
        <v>-</v>
      </c>
      <c r="FF54" s="42"/>
      <c r="FG54" s="37"/>
      <c r="FH54" s="73"/>
      <c r="FI54" s="73"/>
      <c r="FJ54" s="38" t="str">
        <f t="shared" si="86"/>
        <v/>
      </c>
      <c r="FK54" s="38" t="str">
        <f t="shared" si="87"/>
        <v/>
      </c>
      <c r="FL54" s="38" t="str">
        <f>IF(FJ54&lt;&gt;"",IF(AND(FJ54&gt;='TABEL KONVERSI'!$B$3,'ENTRY DATA'!FJ54&lt;='TABEL KONVERSI'!$C$3),1,IF(AND(FJ54&gt;='TABEL KONVERSI'!$B$4,'ENTRY DATA'!FJ54&lt;='TABEL KONVERSI'!$C$4),2,IF(AND(FJ54&gt;='TABEL KONVERSI'!$B$5,'ENTRY DATA'!FJ54&lt;='TABEL KONVERSI'!$C$5),3,IF(AND(FJ54&gt;='TABEL KONVERSI'!$B$6,'ENTRY DATA'!FJ54&lt;='TABEL KONVERSI'!$C$6),4,"")))),"-")</f>
        <v>-</v>
      </c>
      <c r="FM54" s="38" t="str">
        <f>IF(FK54&lt;&gt;"",IF(AND(FK54&gt;='TABEL KONVERSI'!$B$3,'ENTRY DATA'!FK54&lt;='TABEL KONVERSI'!$C$3),1,IF(AND(FK54&gt;='TABEL KONVERSI'!$B$4,'ENTRY DATA'!FK54&lt;='TABEL KONVERSI'!$C$4),2,IF(AND(FK54&gt;='TABEL KONVERSI'!$B$5,'ENTRY DATA'!FK54&lt;='TABEL KONVERSI'!$C$5),3,IF(AND(FK54&gt;='TABEL KONVERSI'!$B$6,'ENTRY DATA'!FK54&lt;='TABEL KONVERSI'!$C$6),4,"")))),"-")</f>
        <v>-</v>
      </c>
      <c r="FN54" s="38" t="str">
        <f t="shared" si="88"/>
        <v>-</v>
      </c>
      <c r="FO54" s="38" t="str">
        <f>VLOOKUP(FL54,'TABEL KONVERSI'!$A$3:$D$7,4)</f>
        <v>-</v>
      </c>
      <c r="FP54" s="38" t="str">
        <f t="shared" si="89"/>
        <v>-</v>
      </c>
      <c r="FQ54" s="38" t="str">
        <f>VLOOKUP(FM54,'TABEL KONVERSI'!$A$3:$D$7,4)</f>
        <v>-</v>
      </c>
      <c r="FR54" s="42"/>
      <c r="FS54" s="37"/>
      <c r="FT54" s="73"/>
      <c r="FU54" s="73"/>
      <c r="FV54" s="38" t="str">
        <f t="shared" si="90"/>
        <v/>
      </c>
      <c r="FW54" s="38" t="str">
        <f t="shared" si="91"/>
        <v/>
      </c>
      <c r="FX54" s="38" t="str">
        <f>IF(FV54&lt;&gt;"",IF(AND(FV54&gt;='TABEL KONVERSI'!$B$3,'ENTRY DATA'!FV54&lt;='TABEL KONVERSI'!$C$3),1,IF(AND(FV54&gt;='TABEL KONVERSI'!$B$4,'ENTRY DATA'!FV54&lt;='TABEL KONVERSI'!$C$4),2,IF(AND(FV54&gt;='TABEL KONVERSI'!$B$5,'ENTRY DATA'!FV54&lt;='TABEL KONVERSI'!$C$5),3,IF(AND(FV54&gt;='TABEL KONVERSI'!$B$6,'ENTRY DATA'!FV54&lt;='TABEL KONVERSI'!$C$6),4,"")))),"-")</f>
        <v>-</v>
      </c>
      <c r="FY54" s="38" t="str">
        <f>IF(FW54&lt;&gt;"",IF(AND(FW54&gt;='TABEL KONVERSI'!$B$3,'ENTRY DATA'!FW54&lt;='TABEL KONVERSI'!$C$3),1,IF(AND(FW54&gt;='TABEL KONVERSI'!$B$4,'ENTRY DATA'!FW54&lt;='TABEL KONVERSI'!$C$4),2,IF(AND(FW54&gt;='TABEL KONVERSI'!$B$5,'ENTRY DATA'!FW54&lt;='TABEL KONVERSI'!$C$5),3,IF(AND(FW54&gt;='TABEL KONVERSI'!$B$6,'ENTRY DATA'!FW54&lt;='TABEL KONVERSI'!$C$6),4,"")))),"-")</f>
        <v>-</v>
      </c>
      <c r="FZ54" s="38" t="str">
        <f t="shared" si="92"/>
        <v>-</v>
      </c>
      <c r="GA54" s="38" t="str">
        <f>VLOOKUP(FX54,'TABEL KONVERSI'!$A$3:$D$7,4)</f>
        <v>-</v>
      </c>
      <c r="GB54" s="38" t="str">
        <f t="shared" si="93"/>
        <v>-</v>
      </c>
      <c r="GC54" s="38" t="str">
        <f>VLOOKUP(FY54,'TABEL KONVERSI'!$A$3:$D$7,4)</f>
        <v>-</v>
      </c>
      <c r="GD54" s="42"/>
      <c r="GE54" s="37"/>
      <c r="GF54" s="73"/>
      <c r="GG54" s="73"/>
      <c r="GH54" s="38" t="str">
        <f t="shared" si="94"/>
        <v/>
      </c>
      <c r="GI54" s="38" t="str">
        <f t="shared" si="95"/>
        <v/>
      </c>
      <c r="GJ54" s="38" t="str">
        <f>IF(GH54&lt;&gt;"",IF(AND(GH54&gt;='TABEL KONVERSI'!$B$3,'ENTRY DATA'!GH54&lt;='TABEL KONVERSI'!$C$3),1,IF(AND(GH54&gt;='TABEL KONVERSI'!$B$4,'ENTRY DATA'!GH54&lt;='TABEL KONVERSI'!$C$4),2,IF(AND(GH54&gt;='TABEL KONVERSI'!$B$5,'ENTRY DATA'!GH54&lt;='TABEL KONVERSI'!$C$5),3,IF(AND(GH54&gt;='TABEL KONVERSI'!$B$6,'ENTRY DATA'!GH54&lt;='TABEL KONVERSI'!$C$6),4,"")))),"-")</f>
        <v>-</v>
      </c>
      <c r="GK54" s="38" t="str">
        <f>IF(GI54&lt;&gt;"",IF(AND(GI54&gt;='TABEL KONVERSI'!$B$3,'ENTRY DATA'!GI54&lt;='TABEL KONVERSI'!$C$3),1,IF(AND(GI54&gt;='TABEL KONVERSI'!$B$4,'ENTRY DATA'!GI54&lt;='TABEL KONVERSI'!$C$4),2,IF(AND(GI54&gt;='TABEL KONVERSI'!$B$5,'ENTRY DATA'!GI54&lt;='TABEL KONVERSI'!$C$5),3,IF(AND(GI54&gt;='TABEL KONVERSI'!$B$6,'ENTRY DATA'!GI54&lt;='TABEL KONVERSI'!$C$6),4,"")))),"-")</f>
        <v>-</v>
      </c>
      <c r="GL54" s="38" t="str">
        <f t="shared" si="96"/>
        <v>-</v>
      </c>
      <c r="GM54" s="38" t="str">
        <f>VLOOKUP(GJ54,'TABEL KONVERSI'!$A$3:$D$7,4)</f>
        <v>-</v>
      </c>
      <c r="GN54" s="38" t="str">
        <f t="shared" si="97"/>
        <v>-</v>
      </c>
      <c r="GO54" s="38" t="str">
        <f>VLOOKUP(GK54,'TABEL KONVERSI'!$A$3:$D$7,4)</f>
        <v>-</v>
      </c>
      <c r="GP54" s="43">
        <f t="shared" si="108"/>
        <v>0</v>
      </c>
      <c r="GQ54" s="43">
        <f t="shared" si="109"/>
        <v>0</v>
      </c>
      <c r="GR54" s="43">
        <f t="shared" si="110"/>
        <v>0</v>
      </c>
      <c r="GS54" s="43">
        <f t="shared" si="111"/>
        <v>0</v>
      </c>
      <c r="GT54" s="43">
        <f t="shared" si="112"/>
        <v>0</v>
      </c>
      <c r="GU54" s="43">
        <f t="shared" si="113"/>
        <v>0</v>
      </c>
      <c r="GV54" s="43">
        <f t="shared" si="114"/>
        <v>0</v>
      </c>
      <c r="GW54" s="43">
        <f t="shared" si="115"/>
        <v>0</v>
      </c>
      <c r="GX54" s="43">
        <f t="shared" si="116"/>
        <v>0</v>
      </c>
      <c r="GY54" s="43">
        <f t="shared" si="117"/>
        <v>0</v>
      </c>
      <c r="GZ54" s="43">
        <f t="shared" si="118"/>
        <v>0</v>
      </c>
      <c r="HA54" s="43">
        <f t="shared" si="119"/>
        <v>0</v>
      </c>
      <c r="HB54" s="43">
        <f t="shared" si="120"/>
        <v>0</v>
      </c>
      <c r="HC54" s="43">
        <f t="shared" si="121"/>
        <v>0</v>
      </c>
      <c r="HD54" s="43">
        <f t="shared" si="122"/>
        <v>0</v>
      </c>
      <c r="HE54" s="43">
        <f t="shared" si="123"/>
        <v>0</v>
      </c>
      <c r="HF54" s="38">
        <f t="shared" si="98"/>
        <v>0</v>
      </c>
      <c r="HG54" s="38">
        <f t="shared" si="99"/>
        <v>0</v>
      </c>
      <c r="HH54" s="38">
        <f t="shared" si="100"/>
        <v>0</v>
      </c>
      <c r="HI54" s="39">
        <f t="shared" si="101"/>
        <v>0</v>
      </c>
      <c r="HJ54" s="44" t="str">
        <f t="shared" si="102"/>
        <v>-</v>
      </c>
      <c r="HK54" s="45" t="str">
        <f>VLOOKUP(HJ54,'TABEL KONVERSI'!$B$11:$D$15,2,0)</f>
        <v>-</v>
      </c>
      <c r="HL54" s="43">
        <f t="shared" si="124"/>
        <v>0</v>
      </c>
      <c r="HM54" s="43">
        <f t="shared" si="125"/>
        <v>0</v>
      </c>
      <c r="HN54" s="43">
        <f t="shared" si="126"/>
        <v>0</v>
      </c>
      <c r="HO54" s="43">
        <f t="shared" si="127"/>
        <v>0</v>
      </c>
      <c r="HP54" s="43">
        <f t="shared" si="128"/>
        <v>0</v>
      </c>
      <c r="HQ54" s="43">
        <f t="shared" si="129"/>
        <v>0</v>
      </c>
      <c r="HR54" s="43">
        <f t="shared" si="130"/>
        <v>0</v>
      </c>
      <c r="HS54" s="43">
        <f t="shared" si="131"/>
        <v>0</v>
      </c>
      <c r="HT54" s="43">
        <f t="shared" si="132"/>
        <v>0</v>
      </c>
      <c r="HU54" s="43">
        <f t="shared" si="133"/>
        <v>0</v>
      </c>
      <c r="HV54" s="43">
        <f t="shared" si="134"/>
        <v>0</v>
      </c>
      <c r="HW54" s="43">
        <f t="shared" si="135"/>
        <v>0</v>
      </c>
      <c r="HX54" s="43">
        <f t="shared" si="136"/>
        <v>0</v>
      </c>
      <c r="HY54" s="43">
        <f t="shared" si="137"/>
        <v>0</v>
      </c>
      <c r="HZ54" s="43">
        <f t="shared" si="138"/>
        <v>0</v>
      </c>
      <c r="IA54" s="43">
        <f t="shared" si="139"/>
        <v>0</v>
      </c>
      <c r="IB54" s="38">
        <f t="shared" si="103"/>
        <v>0</v>
      </c>
      <c r="IC54" s="38">
        <f t="shared" si="104"/>
        <v>0</v>
      </c>
      <c r="ID54" s="38">
        <f t="shared" si="105"/>
        <v>0</v>
      </c>
      <c r="IE54" s="38">
        <f t="shared" si="106"/>
        <v>0</v>
      </c>
      <c r="IF54" s="46" t="str">
        <f t="shared" si="107"/>
        <v>-</v>
      </c>
      <c r="IG54" s="45" t="str">
        <f>VLOOKUP(IF54,'TABEL KONVERSI'!$B$11:$D$15,3,0)</f>
        <v>-</v>
      </c>
      <c r="IH54" s="40" t="s">
        <v>223</v>
      </c>
      <c r="II54" s="41" t="s">
        <v>106</v>
      </c>
      <c r="IJ54" s="45" t="str">
        <f>IF(II54&lt;&gt;"",VLOOKUP(II54,'TABEL KONVERSI'!$A$19:$B$23,2,0),"")</f>
        <v>Aktif dalam mengikuti kegiatan</v>
      </c>
      <c r="IK54" s="47" t="s">
        <v>58</v>
      </c>
      <c r="IL54" s="50" t="s">
        <v>58</v>
      </c>
      <c r="IM54" s="45" t="str">
        <f>IF(IL54&lt;&gt;"",VLOOKUP(IL54,'TABEL KONVERSI'!$A$19:$B$23,2,0),"")</f>
        <v>-</v>
      </c>
      <c r="IN54" s="49" t="s">
        <v>58</v>
      </c>
      <c r="IO54" s="48" t="s">
        <v>58</v>
      </c>
      <c r="IP54" s="45" t="str">
        <f>IF(IO54&lt;&gt;"",VLOOKUP(IO54,'TABEL KONVERSI'!$A$19:$B$23,2,0),"")</f>
        <v>-</v>
      </c>
      <c r="IQ54" s="49" t="s">
        <v>58</v>
      </c>
      <c r="IR54" s="50" t="s">
        <v>58</v>
      </c>
      <c r="IS54" s="45" t="str">
        <f>IF(IR54&lt;&gt;"",VLOOKUP(IR54,'TABEL KONVERSI'!$A$19:$B$23,2,0),"")</f>
        <v>-</v>
      </c>
      <c r="IT54" s="49" t="s">
        <v>58</v>
      </c>
      <c r="IU54" s="50" t="s">
        <v>58</v>
      </c>
      <c r="IV54" s="45" t="str">
        <f>IF(IU54&lt;&gt;"",VLOOKUP(IU54,'TABEL KONVERSI'!$A$19:$B$23,2,0),"")</f>
        <v>-</v>
      </c>
      <c r="IW54" s="48" t="s">
        <v>58</v>
      </c>
      <c r="IX54" s="48" t="s">
        <v>58</v>
      </c>
      <c r="IY54" s="48" t="s">
        <v>58</v>
      </c>
      <c r="IZ54" s="47" t="s">
        <v>58</v>
      </c>
      <c r="JA54" s="45">
        <f t="shared" si="140"/>
        <v>0</v>
      </c>
      <c r="JB54" s="45">
        <f t="shared" si="141"/>
        <v>1</v>
      </c>
    </row>
    <row r="55" spans="1:262" x14ac:dyDescent="0.25">
      <c r="A55" s="33">
        <v>43</v>
      </c>
      <c r="B55" s="53"/>
      <c r="C55" s="53"/>
      <c r="D55" s="54"/>
      <c r="E55" s="55"/>
      <c r="F55" s="42"/>
      <c r="G55" s="37"/>
      <c r="H55" s="73"/>
      <c r="I55" s="73"/>
      <c r="J55" s="38" t="str">
        <f t="shared" si="34"/>
        <v/>
      </c>
      <c r="K55" s="38" t="str">
        <f t="shared" si="35"/>
        <v/>
      </c>
      <c r="L55" s="38" t="str">
        <f>IF(J55&lt;&gt;"",IF(AND(J55&gt;='TABEL KONVERSI'!$B$3,'ENTRY DATA'!J55&lt;='TABEL KONVERSI'!$C$3),1,IF(AND(J55&gt;='TABEL KONVERSI'!$B$4,'ENTRY DATA'!J55&lt;='TABEL KONVERSI'!$C$4),2,IF(AND(J55&gt;='TABEL KONVERSI'!$B$5,'ENTRY DATA'!J55&lt;='TABEL KONVERSI'!$C$5),3,IF(AND(J55&gt;='TABEL KONVERSI'!$B$6,'ENTRY DATA'!J55&lt;='TABEL KONVERSI'!$C$6),4,"")))),"-")</f>
        <v>-</v>
      </c>
      <c r="M55" s="38" t="str">
        <f>IF(K55&lt;&gt;"",IF(AND(K55&gt;='TABEL KONVERSI'!$B$3,'ENTRY DATA'!K55&lt;='TABEL KONVERSI'!$C$3),1,IF(AND(K55&gt;='TABEL KONVERSI'!$B$4,'ENTRY DATA'!K55&lt;='TABEL KONVERSI'!$C$4),2,IF(AND(K55&gt;='TABEL KONVERSI'!$B$5,'ENTRY DATA'!K55&lt;='TABEL KONVERSI'!$C$5),3,IF(AND(K55&gt;='TABEL KONVERSI'!$B$6,'ENTRY DATA'!K55&lt;='TABEL KONVERSI'!$C$6),4,"")))),"-")</f>
        <v>-</v>
      </c>
      <c r="N55" s="38" t="str">
        <f t="shared" si="36"/>
        <v>-</v>
      </c>
      <c r="O55" s="38" t="str">
        <f>VLOOKUP(L55,'TABEL KONVERSI'!$A$3:$D$7,4)</f>
        <v>-</v>
      </c>
      <c r="P55" s="38" t="str">
        <f t="shared" si="37"/>
        <v>-</v>
      </c>
      <c r="Q55" s="38" t="str">
        <f>VLOOKUP(M55,'TABEL KONVERSI'!$A$3:$D$7,4)</f>
        <v>-</v>
      </c>
      <c r="R55" s="42"/>
      <c r="S55" s="37"/>
      <c r="T55" s="73"/>
      <c r="U55" s="73"/>
      <c r="V55" s="38" t="str">
        <f t="shared" si="38"/>
        <v/>
      </c>
      <c r="W55" s="38" t="str">
        <f t="shared" si="39"/>
        <v/>
      </c>
      <c r="X55" s="38" t="str">
        <f>IF(V55&lt;&gt;"",IF(AND(V55&gt;='TABEL KONVERSI'!$B$3,'ENTRY DATA'!V55&lt;='TABEL KONVERSI'!$C$3),1,IF(AND(V55&gt;='TABEL KONVERSI'!$B$4,'ENTRY DATA'!V55&lt;='TABEL KONVERSI'!$C$4),2,IF(AND(V55&gt;='TABEL KONVERSI'!$B$5,'ENTRY DATA'!V55&lt;='TABEL KONVERSI'!$C$5),3,IF(AND(V55&gt;='TABEL KONVERSI'!$B$6,'ENTRY DATA'!V55&lt;='TABEL KONVERSI'!$C$6),4,"")))),"-")</f>
        <v>-</v>
      </c>
      <c r="Y55" s="38" t="str">
        <f>IF(W55&lt;&gt;"",IF(AND(W55&gt;='TABEL KONVERSI'!$B$3,'ENTRY DATA'!W55&lt;='TABEL KONVERSI'!$C$3),1,IF(AND(W55&gt;='TABEL KONVERSI'!$B$4,'ENTRY DATA'!W55&lt;='TABEL KONVERSI'!$C$4),2,IF(AND(W55&gt;='TABEL KONVERSI'!$B$5,'ENTRY DATA'!W55&lt;='TABEL KONVERSI'!$C$5),3,IF(AND(W55&gt;='TABEL KONVERSI'!$B$6,'ENTRY DATA'!W55&lt;='TABEL KONVERSI'!$C$6),4,"")))),"-")</f>
        <v>-</v>
      </c>
      <c r="Z55" s="38" t="str">
        <f t="shared" si="40"/>
        <v>-</v>
      </c>
      <c r="AA55" s="38" t="str">
        <f>VLOOKUP(X55,'TABEL KONVERSI'!$A$3:$D$7,4)</f>
        <v>-</v>
      </c>
      <c r="AB55" s="38" t="str">
        <f t="shared" si="41"/>
        <v>-</v>
      </c>
      <c r="AC55" s="38" t="str">
        <f>VLOOKUP(Y55,'TABEL KONVERSI'!$A$3:$D$7,4)</f>
        <v>-</v>
      </c>
      <c r="AD55" s="42"/>
      <c r="AE55" s="37"/>
      <c r="AF55" s="73"/>
      <c r="AG55" s="73"/>
      <c r="AH55" s="38" t="str">
        <f t="shared" si="42"/>
        <v/>
      </c>
      <c r="AI55" s="38" t="str">
        <f t="shared" si="43"/>
        <v/>
      </c>
      <c r="AJ55" s="38" t="str">
        <f>IF(AH55&lt;&gt;"",IF(AND(AH55&gt;='TABEL KONVERSI'!$B$3,'ENTRY DATA'!AH55&lt;='TABEL KONVERSI'!$C$3),1,IF(AND(AH55&gt;='TABEL KONVERSI'!$B$4,'ENTRY DATA'!AH55&lt;='TABEL KONVERSI'!$C$4),2,IF(AND(AH55&gt;='TABEL KONVERSI'!$B$5,'ENTRY DATA'!AH55&lt;='TABEL KONVERSI'!$C$5),3,IF(AND(AH55&gt;='TABEL KONVERSI'!$B$6,'ENTRY DATA'!AH55&lt;='TABEL KONVERSI'!$C$6),4,"")))),"-")</f>
        <v>-</v>
      </c>
      <c r="AK55" s="38" t="str">
        <f>IF(AI55&lt;&gt;"",IF(AND(AI55&gt;='TABEL KONVERSI'!$B$3,'ENTRY DATA'!AI55&lt;='TABEL KONVERSI'!$C$3),1,IF(AND(AI55&gt;='TABEL KONVERSI'!$B$4,'ENTRY DATA'!AI55&lt;='TABEL KONVERSI'!$C$4),2,IF(AND(AI55&gt;='TABEL KONVERSI'!$B$5,'ENTRY DATA'!AI55&lt;='TABEL KONVERSI'!$C$5),3,IF(AND(AI55&gt;='TABEL KONVERSI'!$B$6,'ENTRY DATA'!AI55&lt;='TABEL KONVERSI'!$C$6),4,"")))),"-")</f>
        <v>-</v>
      </c>
      <c r="AL55" s="38" t="str">
        <f t="shared" si="44"/>
        <v>-</v>
      </c>
      <c r="AM55" s="38" t="str">
        <f>VLOOKUP(AJ55,'TABEL KONVERSI'!$A$3:$D$7,4)</f>
        <v>-</v>
      </c>
      <c r="AN55" s="38" t="str">
        <f t="shared" si="45"/>
        <v>-</v>
      </c>
      <c r="AO55" s="38" t="str">
        <f>VLOOKUP(AK55,'TABEL KONVERSI'!$A$3:$D$7,4)</f>
        <v>-</v>
      </c>
      <c r="AP55" s="42"/>
      <c r="AQ55" s="37"/>
      <c r="AR55" s="73"/>
      <c r="AS55" s="73"/>
      <c r="AT55" s="38" t="str">
        <f t="shared" si="46"/>
        <v/>
      </c>
      <c r="AU55" s="38" t="str">
        <f t="shared" si="47"/>
        <v/>
      </c>
      <c r="AV55" s="38" t="str">
        <f>IF(AT55&lt;&gt;"",IF(AND(AT55&gt;='TABEL KONVERSI'!$B$3,'ENTRY DATA'!AT55&lt;='TABEL KONVERSI'!$C$3),1,IF(AND(AT55&gt;='TABEL KONVERSI'!$B$4,'ENTRY DATA'!AT55&lt;='TABEL KONVERSI'!$C$4),2,IF(AND(AT55&gt;='TABEL KONVERSI'!$B$5,'ENTRY DATA'!AT55&lt;='TABEL KONVERSI'!$C$5),3,IF(AND(AT55&gt;='TABEL KONVERSI'!$B$6,'ENTRY DATA'!AT55&lt;='TABEL KONVERSI'!$C$6),4,"")))),"-")</f>
        <v>-</v>
      </c>
      <c r="AW55" s="38" t="str">
        <f>IF(AU55&lt;&gt;"",IF(AND(AU55&gt;='TABEL KONVERSI'!$B$3,'ENTRY DATA'!AU55&lt;='TABEL KONVERSI'!$C$3),1,IF(AND(AU55&gt;='TABEL KONVERSI'!$B$4,'ENTRY DATA'!AU55&lt;='TABEL KONVERSI'!$C$4),2,IF(AND(AU55&gt;='TABEL KONVERSI'!$B$5,'ENTRY DATA'!AU55&lt;='TABEL KONVERSI'!$C$5),3,IF(AND(AU55&gt;='TABEL KONVERSI'!$B$6,'ENTRY DATA'!AU55&lt;='TABEL KONVERSI'!$C$6),4,"")))),"-")</f>
        <v>-</v>
      </c>
      <c r="AX55" s="38" t="str">
        <f t="shared" si="48"/>
        <v>-</v>
      </c>
      <c r="AY55" s="38" t="str">
        <f>VLOOKUP(AV55,'TABEL KONVERSI'!$A$3:$D$7,4)</f>
        <v>-</v>
      </c>
      <c r="AZ55" s="38" t="str">
        <f t="shared" si="49"/>
        <v>-</v>
      </c>
      <c r="BA55" s="38" t="str">
        <f>VLOOKUP(AW55,'TABEL KONVERSI'!$A$3:$D$7,4)</f>
        <v>-</v>
      </c>
      <c r="BB55" s="42"/>
      <c r="BC55" s="37"/>
      <c r="BD55" s="73"/>
      <c r="BE55" s="73"/>
      <c r="BF55" s="38" t="str">
        <f t="shared" si="50"/>
        <v/>
      </c>
      <c r="BG55" s="38" t="str">
        <f t="shared" si="51"/>
        <v/>
      </c>
      <c r="BH55" s="38" t="str">
        <f>IF(BF55&lt;&gt;"",IF(AND(BF55&gt;='TABEL KONVERSI'!$B$3,'ENTRY DATA'!BF55&lt;='TABEL KONVERSI'!$C$3),1,IF(AND(BF55&gt;='TABEL KONVERSI'!$B$4,'ENTRY DATA'!BF55&lt;='TABEL KONVERSI'!$C$4),2,IF(AND(BF55&gt;='TABEL KONVERSI'!$B$5,'ENTRY DATA'!BF55&lt;='TABEL KONVERSI'!$C$5),3,IF(AND(BF55&gt;='TABEL KONVERSI'!$B$6,'ENTRY DATA'!BF55&lt;='TABEL KONVERSI'!$C$6),4,"")))),"-")</f>
        <v>-</v>
      </c>
      <c r="BI55" s="38" t="str">
        <f>IF(BG55&lt;&gt;"",IF(AND(BG55&gt;='TABEL KONVERSI'!$B$3,'ENTRY DATA'!BG55&lt;='TABEL KONVERSI'!$C$3),1,IF(AND(BG55&gt;='TABEL KONVERSI'!$B$4,'ENTRY DATA'!BG55&lt;='TABEL KONVERSI'!$C$4),2,IF(AND(BG55&gt;='TABEL KONVERSI'!$B$5,'ENTRY DATA'!BG55&lt;='TABEL KONVERSI'!$C$5),3,IF(AND(BG55&gt;='TABEL KONVERSI'!$B$6,'ENTRY DATA'!BG55&lt;='TABEL KONVERSI'!$C$6),4,"")))),"-")</f>
        <v>-</v>
      </c>
      <c r="BJ55" s="38" t="str">
        <f t="shared" si="52"/>
        <v>-</v>
      </c>
      <c r="BK55" s="38" t="str">
        <f>VLOOKUP(BH55,'TABEL KONVERSI'!$A$3:$D$7,4)</f>
        <v>-</v>
      </c>
      <c r="BL55" s="38" t="str">
        <f t="shared" si="53"/>
        <v>-</v>
      </c>
      <c r="BM55" s="38" t="str">
        <f>VLOOKUP(BI55,'TABEL KONVERSI'!$A$3:$D$7,4)</f>
        <v>-</v>
      </c>
      <c r="BN55" s="42"/>
      <c r="BO55" s="37"/>
      <c r="BP55" s="73"/>
      <c r="BQ55" s="73"/>
      <c r="BR55" s="38" t="str">
        <f t="shared" si="54"/>
        <v/>
      </c>
      <c r="BS55" s="38" t="str">
        <f t="shared" si="55"/>
        <v/>
      </c>
      <c r="BT55" s="38" t="str">
        <f>IF(BR55&lt;&gt;"",IF(AND(BR55&gt;='TABEL KONVERSI'!$B$3,'ENTRY DATA'!BR55&lt;='TABEL KONVERSI'!$C$3),1,IF(AND(BR55&gt;='TABEL KONVERSI'!$B$4,'ENTRY DATA'!BR55&lt;='TABEL KONVERSI'!$C$4),2,IF(AND(BR55&gt;='TABEL KONVERSI'!$B$5,'ENTRY DATA'!BR55&lt;='TABEL KONVERSI'!$C$5),3,IF(AND(BR55&gt;='TABEL KONVERSI'!$B$6,'ENTRY DATA'!BR55&lt;='TABEL KONVERSI'!$C$6),4,"")))),"-")</f>
        <v>-</v>
      </c>
      <c r="BU55" s="38" t="str">
        <f>IF(BS55&lt;&gt;"",IF(AND(BS55&gt;='TABEL KONVERSI'!$B$3,'ENTRY DATA'!BS55&lt;='TABEL KONVERSI'!$C$3),1,IF(AND(BS55&gt;='TABEL KONVERSI'!$B$4,'ENTRY DATA'!BS55&lt;='TABEL KONVERSI'!$C$4),2,IF(AND(BS55&gt;='TABEL KONVERSI'!$B$5,'ENTRY DATA'!BS55&lt;='TABEL KONVERSI'!$C$5),3,IF(AND(BS55&gt;='TABEL KONVERSI'!$B$6,'ENTRY DATA'!BS55&lt;='TABEL KONVERSI'!$C$6),4,"")))),"-")</f>
        <v>-</v>
      </c>
      <c r="BV55" s="38" t="str">
        <f t="shared" si="56"/>
        <v>-</v>
      </c>
      <c r="BW55" s="38" t="str">
        <f>VLOOKUP(BT55,'TABEL KONVERSI'!$A$3:$D$7,4)</f>
        <v>-</v>
      </c>
      <c r="BX55" s="38" t="str">
        <f t="shared" si="57"/>
        <v>-</v>
      </c>
      <c r="BY55" s="38" t="str">
        <f>VLOOKUP(BU55,'TABEL KONVERSI'!$A$3:$D$7,4)</f>
        <v>-</v>
      </c>
      <c r="BZ55" s="42"/>
      <c r="CA55" s="37"/>
      <c r="CB55" s="73"/>
      <c r="CC55" s="73"/>
      <c r="CD55" s="38" t="str">
        <f t="shared" si="58"/>
        <v/>
      </c>
      <c r="CE55" s="38" t="str">
        <f t="shared" si="59"/>
        <v/>
      </c>
      <c r="CF55" s="38" t="str">
        <f>IF(CD55&lt;&gt;"",IF(AND(CD55&gt;='TABEL KONVERSI'!$B$3,'ENTRY DATA'!CD55&lt;='TABEL KONVERSI'!$C$3),1,IF(AND(CD55&gt;='TABEL KONVERSI'!$B$4,'ENTRY DATA'!CD55&lt;='TABEL KONVERSI'!$C$4),2,IF(AND(CD55&gt;='TABEL KONVERSI'!$B$5,'ENTRY DATA'!CD55&lt;='TABEL KONVERSI'!$C$5),3,IF(AND(CD55&gt;='TABEL KONVERSI'!$B$6,'ENTRY DATA'!CD55&lt;='TABEL KONVERSI'!$C$6),4,"")))),"-")</f>
        <v>-</v>
      </c>
      <c r="CG55" s="38" t="str">
        <f>IF(CE55&lt;&gt;"",IF(AND(CE55&gt;='TABEL KONVERSI'!$B$3,'ENTRY DATA'!CE55&lt;='TABEL KONVERSI'!$C$3),1,IF(AND(CE55&gt;='TABEL KONVERSI'!$B$4,'ENTRY DATA'!CE55&lt;='TABEL KONVERSI'!$C$4),2,IF(AND(CE55&gt;='TABEL KONVERSI'!$B$5,'ENTRY DATA'!CE55&lt;='TABEL KONVERSI'!$C$5),3,IF(AND(CE55&gt;='TABEL KONVERSI'!$B$6,'ENTRY DATA'!CE55&lt;='TABEL KONVERSI'!$C$6),4,"")))),"-")</f>
        <v>-</v>
      </c>
      <c r="CH55" s="38" t="str">
        <f t="shared" si="60"/>
        <v>-</v>
      </c>
      <c r="CI55" s="38" t="str">
        <f>VLOOKUP(CF55,'TABEL KONVERSI'!$A$3:$D$7,4)</f>
        <v>-</v>
      </c>
      <c r="CJ55" s="38" t="str">
        <f t="shared" si="61"/>
        <v>-</v>
      </c>
      <c r="CK55" s="38" t="str">
        <f>VLOOKUP(CG55,'TABEL KONVERSI'!$A$3:$D$7,4)</f>
        <v>-</v>
      </c>
      <c r="CL55" s="42"/>
      <c r="CM55" s="37"/>
      <c r="CN55" s="73"/>
      <c r="CO55" s="73"/>
      <c r="CP55" s="38" t="str">
        <f t="shared" si="62"/>
        <v/>
      </c>
      <c r="CQ55" s="38" t="str">
        <f t="shared" si="63"/>
        <v/>
      </c>
      <c r="CR55" s="38" t="str">
        <f>IF(CP55&lt;&gt;"",IF(AND(CP55&gt;='TABEL KONVERSI'!$B$3,'ENTRY DATA'!CP55&lt;='TABEL KONVERSI'!$C$3),1,IF(AND(CP55&gt;='TABEL KONVERSI'!$B$4,'ENTRY DATA'!CP55&lt;='TABEL KONVERSI'!$C$4),2,IF(AND(CP55&gt;='TABEL KONVERSI'!$B$5,'ENTRY DATA'!CP55&lt;='TABEL KONVERSI'!$C$5),3,IF(AND(CP55&gt;='TABEL KONVERSI'!$B$6,'ENTRY DATA'!CP55&lt;='TABEL KONVERSI'!$C$6),4,"")))),"-")</f>
        <v>-</v>
      </c>
      <c r="CS55" s="38" t="str">
        <f>IF(CQ55&lt;&gt;"",IF(AND(CQ55&gt;='TABEL KONVERSI'!$B$3,'ENTRY DATA'!CQ55&lt;='TABEL KONVERSI'!$C$3),1,IF(AND(CQ55&gt;='TABEL KONVERSI'!$B$4,'ENTRY DATA'!CQ55&lt;='TABEL KONVERSI'!$C$4),2,IF(AND(CQ55&gt;='TABEL KONVERSI'!$B$5,'ENTRY DATA'!CQ55&lt;='TABEL KONVERSI'!$C$5),3,IF(AND(CQ55&gt;='TABEL KONVERSI'!$B$6,'ENTRY DATA'!CQ55&lt;='TABEL KONVERSI'!$C$6),4,"")))),"-")</f>
        <v>-</v>
      </c>
      <c r="CT55" s="38" t="str">
        <f t="shared" si="64"/>
        <v>-</v>
      </c>
      <c r="CU55" s="38" t="str">
        <f>VLOOKUP(CR55,'TABEL KONVERSI'!$A$3:$D$7,4)</f>
        <v>-</v>
      </c>
      <c r="CV55" s="38" t="str">
        <f t="shared" si="65"/>
        <v>-</v>
      </c>
      <c r="CW55" s="38" t="str">
        <f>VLOOKUP(CS55,'TABEL KONVERSI'!$A$3:$D$7,4)</f>
        <v>-</v>
      </c>
      <c r="CX55" s="42"/>
      <c r="CY55" s="37"/>
      <c r="CZ55" s="73"/>
      <c r="DA55" s="73"/>
      <c r="DB55" s="38" t="str">
        <f t="shared" si="66"/>
        <v/>
      </c>
      <c r="DC55" s="38" t="str">
        <f t="shared" si="67"/>
        <v/>
      </c>
      <c r="DD55" s="38" t="str">
        <f>IF(DB55&lt;&gt;"",IF(AND(DB55&gt;='TABEL KONVERSI'!$B$3,'ENTRY DATA'!DB55&lt;='TABEL KONVERSI'!$C$3),1,IF(AND(DB55&gt;='TABEL KONVERSI'!$B$4,'ENTRY DATA'!DB55&lt;='TABEL KONVERSI'!$C$4),2,IF(AND(DB55&gt;='TABEL KONVERSI'!$B$5,'ENTRY DATA'!DB55&lt;='TABEL KONVERSI'!$C$5),3,IF(AND(DB55&gt;='TABEL KONVERSI'!$B$6,'ENTRY DATA'!DB55&lt;='TABEL KONVERSI'!$C$6),4,"")))),"-")</f>
        <v>-</v>
      </c>
      <c r="DE55" s="38" t="str">
        <f>IF(DC55&lt;&gt;"",IF(AND(DC55&gt;='TABEL KONVERSI'!$B$3,'ENTRY DATA'!DC55&lt;='TABEL KONVERSI'!$C$3),1,IF(AND(DC55&gt;='TABEL KONVERSI'!$B$4,'ENTRY DATA'!DC55&lt;='TABEL KONVERSI'!$C$4),2,IF(AND(DC55&gt;='TABEL KONVERSI'!$B$5,'ENTRY DATA'!DC55&lt;='TABEL KONVERSI'!$C$5),3,IF(AND(DC55&gt;='TABEL KONVERSI'!$B$6,'ENTRY DATA'!DC55&lt;='TABEL KONVERSI'!$C$6),4,"")))),"-")</f>
        <v>-</v>
      </c>
      <c r="DF55" s="38" t="str">
        <f t="shared" si="68"/>
        <v>-</v>
      </c>
      <c r="DG55" s="38" t="str">
        <f>VLOOKUP(DD55,'TABEL KONVERSI'!$A$3:$D$7,4)</f>
        <v>-</v>
      </c>
      <c r="DH55" s="38" t="str">
        <f t="shared" si="69"/>
        <v>-</v>
      </c>
      <c r="DI55" s="38" t="str">
        <f>VLOOKUP(DE55,'TABEL KONVERSI'!$A$3:$D$7,4)</f>
        <v>-</v>
      </c>
      <c r="DJ55" s="42"/>
      <c r="DK55" s="37"/>
      <c r="DL55" s="73"/>
      <c r="DM55" s="73"/>
      <c r="DN55" s="38" t="str">
        <f t="shared" si="70"/>
        <v/>
      </c>
      <c r="DO55" s="38" t="str">
        <f t="shared" si="71"/>
        <v/>
      </c>
      <c r="DP55" s="38" t="str">
        <f>IF(DN55&lt;&gt;"",IF(AND(DN55&gt;='TABEL KONVERSI'!$B$3,'ENTRY DATA'!DN55&lt;='TABEL KONVERSI'!$C$3),1,IF(AND(DN55&gt;='TABEL KONVERSI'!$B$4,'ENTRY DATA'!DN55&lt;='TABEL KONVERSI'!$C$4),2,IF(AND(DN55&gt;='TABEL KONVERSI'!$B$5,'ENTRY DATA'!DN55&lt;='TABEL KONVERSI'!$C$5),3,IF(AND(DN55&gt;='TABEL KONVERSI'!$B$6,'ENTRY DATA'!DN55&lt;='TABEL KONVERSI'!$C$6),4,"")))),"-")</f>
        <v>-</v>
      </c>
      <c r="DQ55" s="38" t="str">
        <f>IF(DO55&lt;&gt;"",IF(AND(DO55&gt;='TABEL KONVERSI'!$B$3,'ENTRY DATA'!DO55&lt;='TABEL KONVERSI'!$C$3),1,IF(AND(DO55&gt;='TABEL KONVERSI'!$B$4,'ENTRY DATA'!DO55&lt;='TABEL KONVERSI'!$C$4),2,IF(AND(DO55&gt;='TABEL KONVERSI'!$B$5,'ENTRY DATA'!DO55&lt;='TABEL KONVERSI'!$C$5),3,IF(AND(DO55&gt;='TABEL KONVERSI'!$B$6,'ENTRY DATA'!DO55&lt;='TABEL KONVERSI'!$C$6),4,"")))),"-")</f>
        <v>-</v>
      </c>
      <c r="DR55" s="38" t="str">
        <f t="shared" si="72"/>
        <v>-</v>
      </c>
      <c r="DS55" s="38" t="str">
        <f>VLOOKUP(DP55,'TABEL KONVERSI'!$A$3:$D$7,4)</f>
        <v>-</v>
      </c>
      <c r="DT55" s="38" t="str">
        <f t="shared" si="73"/>
        <v>-</v>
      </c>
      <c r="DU55" s="38" t="str">
        <f>VLOOKUP(DQ55,'TABEL KONVERSI'!$A$3:$D$7,4)</f>
        <v>-</v>
      </c>
      <c r="DV55" s="42"/>
      <c r="DW55" s="37"/>
      <c r="DX55" s="73"/>
      <c r="DY55" s="73"/>
      <c r="DZ55" s="38" t="str">
        <f t="shared" si="74"/>
        <v/>
      </c>
      <c r="EA55" s="38" t="str">
        <f t="shared" si="75"/>
        <v/>
      </c>
      <c r="EB55" s="38" t="str">
        <f>IF(DZ55&lt;&gt;"",IF(AND(DZ55&gt;='TABEL KONVERSI'!$B$3,'ENTRY DATA'!DZ55&lt;='TABEL KONVERSI'!$C$3),1,IF(AND(DZ55&gt;='TABEL KONVERSI'!$B$4,'ENTRY DATA'!DZ55&lt;='TABEL KONVERSI'!$C$4),2,IF(AND(DZ55&gt;='TABEL KONVERSI'!$B$5,'ENTRY DATA'!DZ55&lt;='TABEL KONVERSI'!$C$5),3,IF(AND(DZ55&gt;='TABEL KONVERSI'!$B$6,'ENTRY DATA'!DZ55&lt;='TABEL KONVERSI'!$C$6),4,"")))),"-")</f>
        <v>-</v>
      </c>
      <c r="EC55" s="38" t="str">
        <f>IF(EA55&lt;&gt;"",IF(AND(EA55&gt;='TABEL KONVERSI'!$B$3,'ENTRY DATA'!EA55&lt;='TABEL KONVERSI'!$C$3),1,IF(AND(EA55&gt;='TABEL KONVERSI'!$B$4,'ENTRY DATA'!EA55&lt;='TABEL KONVERSI'!$C$4),2,IF(AND(EA55&gt;='TABEL KONVERSI'!$B$5,'ENTRY DATA'!EA55&lt;='TABEL KONVERSI'!$C$5),3,IF(AND(EA55&gt;='TABEL KONVERSI'!$B$6,'ENTRY DATA'!EA55&lt;='TABEL KONVERSI'!$C$6),4,"")))),"-")</f>
        <v>-</v>
      </c>
      <c r="ED55" s="38" t="str">
        <f t="shared" si="76"/>
        <v>-</v>
      </c>
      <c r="EE55" s="38" t="str">
        <f>VLOOKUP(EB55,'TABEL KONVERSI'!$A$3:$D$7,4)</f>
        <v>-</v>
      </c>
      <c r="EF55" s="38" t="str">
        <f t="shared" si="77"/>
        <v>-</v>
      </c>
      <c r="EG55" s="38" t="str">
        <f>VLOOKUP(EC55,'TABEL KONVERSI'!$A$3:$D$7,4)</f>
        <v>-</v>
      </c>
      <c r="EH55" s="42"/>
      <c r="EI55" s="37"/>
      <c r="EJ55" s="73"/>
      <c r="EK55" s="73"/>
      <c r="EL55" s="38" t="str">
        <f t="shared" si="78"/>
        <v/>
      </c>
      <c r="EM55" s="38" t="str">
        <f t="shared" si="79"/>
        <v/>
      </c>
      <c r="EN55" s="38" t="str">
        <f>IF(EL55&lt;&gt;"",IF(AND(EL55&gt;='TABEL KONVERSI'!$B$3,'ENTRY DATA'!EL55&lt;='TABEL KONVERSI'!$C$3),1,IF(AND(EL55&gt;='TABEL KONVERSI'!$B$4,'ENTRY DATA'!EL55&lt;='TABEL KONVERSI'!$C$4),2,IF(AND(EL55&gt;='TABEL KONVERSI'!$B$5,'ENTRY DATA'!EL55&lt;='TABEL KONVERSI'!$C$5),3,IF(AND(EL55&gt;='TABEL KONVERSI'!$B$6,'ENTRY DATA'!EL55&lt;='TABEL KONVERSI'!$C$6),4,"")))),"-")</f>
        <v>-</v>
      </c>
      <c r="EO55" s="38" t="str">
        <f>IF(EM55&lt;&gt;"",IF(AND(EM55&gt;='TABEL KONVERSI'!$B$3,'ENTRY DATA'!EM55&lt;='TABEL KONVERSI'!$C$3),1,IF(AND(EM55&gt;='TABEL KONVERSI'!$B$4,'ENTRY DATA'!EM55&lt;='TABEL KONVERSI'!$C$4),2,IF(AND(EM55&gt;='TABEL KONVERSI'!$B$5,'ENTRY DATA'!EM55&lt;='TABEL KONVERSI'!$C$5),3,IF(AND(EM55&gt;='TABEL KONVERSI'!$B$6,'ENTRY DATA'!EM55&lt;='TABEL KONVERSI'!$C$6),4,"")))),"-")</f>
        <v>-</v>
      </c>
      <c r="EP55" s="38" t="str">
        <f t="shared" si="80"/>
        <v>-</v>
      </c>
      <c r="EQ55" s="38" t="str">
        <f>VLOOKUP(EN55,'TABEL KONVERSI'!$A$3:$D$7,4)</f>
        <v>-</v>
      </c>
      <c r="ER55" s="38" t="str">
        <f t="shared" si="81"/>
        <v>-</v>
      </c>
      <c r="ES55" s="38" t="str">
        <f>VLOOKUP(EO55,'TABEL KONVERSI'!$A$3:$D$7,4)</f>
        <v>-</v>
      </c>
      <c r="ET55" s="42"/>
      <c r="EU55" s="37"/>
      <c r="EV55" s="73"/>
      <c r="EW55" s="73"/>
      <c r="EX55" s="38" t="str">
        <f t="shared" si="82"/>
        <v/>
      </c>
      <c r="EY55" s="38" t="str">
        <f t="shared" si="83"/>
        <v/>
      </c>
      <c r="EZ55" s="38" t="str">
        <f>IF(EX55&lt;&gt;"",IF(AND(EX55&gt;='TABEL KONVERSI'!$B$3,'ENTRY DATA'!EX55&lt;='TABEL KONVERSI'!$C$3),1,IF(AND(EX55&gt;='TABEL KONVERSI'!$B$4,'ENTRY DATA'!EX55&lt;='TABEL KONVERSI'!$C$4),2,IF(AND(EX55&gt;='TABEL KONVERSI'!$B$5,'ENTRY DATA'!EX55&lt;='TABEL KONVERSI'!$C$5),3,IF(AND(EX55&gt;='TABEL KONVERSI'!$B$6,'ENTRY DATA'!EX55&lt;='TABEL KONVERSI'!$C$6),4,"")))),"-")</f>
        <v>-</v>
      </c>
      <c r="FA55" s="38" t="str">
        <f>IF(EY55&lt;&gt;"",IF(AND(EY55&gt;='TABEL KONVERSI'!$B$3,'ENTRY DATA'!EY55&lt;='TABEL KONVERSI'!$C$3),1,IF(AND(EY55&gt;='TABEL KONVERSI'!$B$4,'ENTRY DATA'!EY55&lt;='TABEL KONVERSI'!$C$4),2,IF(AND(EY55&gt;='TABEL KONVERSI'!$B$5,'ENTRY DATA'!EY55&lt;='TABEL KONVERSI'!$C$5),3,IF(AND(EY55&gt;='TABEL KONVERSI'!$B$6,'ENTRY DATA'!EY55&lt;='TABEL KONVERSI'!$C$6),4,"")))),"-")</f>
        <v>-</v>
      </c>
      <c r="FB55" s="38" t="str">
        <f t="shared" si="84"/>
        <v>-</v>
      </c>
      <c r="FC55" s="38" t="str">
        <f>VLOOKUP(EZ55,'TABEL KONVERSI'!$A$3:$D$7,4)</f>
        <v>-</v>
      </c>
      <c r="FD55" s="38" t="str">
        <f t="shared" si="85"/>
        <v>-</v>
      </c>
      <c r="FE55" s="38" t="str">
        <f>VLOOKUP(FA55,'TABEL KONVERSI'!$A$3:$D$7,4)</f>
        <v>-</v>
      </c>
      <c r="FF55" s="42"/>
      <c r="FG55" s="37"/>
      <c r="FH55" s="73"/>
      <c r="FI55" s="73"/>
      <c r="FJ55" s="38" t="str">
        <f t="shared" si="86"/>
        <v/>
      </c>
      <c r="FK55" s="38" t="str">
        <f t="shared" si="87"/>
        <v/>
      </c>
      <c r="FL55" s="38" t="str">
        <f>IF(FJ55&lt;&gt;"",IF(AND(FJ55&gt;='TABEL KONVERSI'!$B$3,'ENTRY DATA'!FJ55&lt;='TABEL KONVERSI'!$C$3),1,IF(AND(FJ55&gt;='TABEL KONVERSI'!$B$4,'ENTRY DATA'!FJ55&lt;='TABEL KONVERSI'!$C$4),2,IF(AND(FJ55&gt;='TABEL KONVERSI'!$B$5,'ENTRY DATA'!FJ55&lt;='TABEL KONVERSI'!$C$5),3,IF(AND(FJ55&gt;='TABEL KONVERSI'!$B$6,'ENTRY DATA'!FJ55&lt;='TABEL KONVERSI'!$C$6),4,"")))),"-")</f>
        <v>-</v>
      </c>
      <c r="FM55" s="38" t="str">
        <f>IF(FK55&lt;&gt;"",IF(AND(FK55&gt;='TABEL KONVERSI'!$B$3,'ENTRY DATA'!FK55&lt;='TABEL KONVERSI'!$C$3),1,IF(AND(FK55&gt;='TABEL KONVERSI'!$B$4,'ENTRY DATA'!FK55&lt;='TABEL KONVERSI'!$C$4),2,IF(AND(FK55&gt;='TABEL KONVERSI'!$B$5,'ENTRY DATA'!FK55&lt;='TABEL KONVERSI'!$C$5),3,IF(AND(FK55&gt;='TABEL KONVERSI'!$B$6,'ENTRY DATA'!FK55&lt;='TABEL KONVERSI'!$C$6),4,"")))),"-")</f>
        <v>-</v>
      </c>
      <c r="FN55" s="38" t="str">
        <f t="shared" si="88"/>
        <v>-</v>
      </c>
      <c r="FO55" s="38" t="str">
        <f>VLOOKUP(FL55,'TABEL KONVERSI'!$A$3:$D$7,4)</f>
        <v>-</v>
      </c>
      <c r="FP55" s="38" t="str">
        <f t="shared" si="89"/>
        <v>-</v>
      </c>
      <c r="FQ55" s="38" t="str">
        <f>VLOOKUP(FM55,'TABEL KONVERSI'!$A$3:$D$7,4)</f>
        <v>-</v>
      </c>
      <c r="FR55" s="42"/>
      <c r="FS55" s="37"/>
      <c r="FT55" s="73"/>
      <c r="FU55" s="73"/>
      <c r="FV55" s="38" t="str">
        <f t="shared" si="90"/>
        <v/>
      </c>
      <c r="FW55" s="38" t="str">
        <f t="shared" si="91"/>
        <v/>
      </c>
      <c r="FX55" s="38" t="str">
        <f>IF(FV55&lt;&gt;"",IF(AND(FV55&gt;='TABEL KONVERSI'!$B$3,'ENTRY DATA'!FV55&lt;='TABEL KONVERSI'!$C$3),1,IF(AND(FV55&gt;='TABEL KONVERSI'!$B$4,'ENTRY DATA'!FV55&lt;='TABEL KONVERSI'!$C$4),2,IF(AND(FV55&gt;='TABEL KONVERSI'!$B$5,'ENTRY DATA'!FV55&lt;='TABEL KONVERSI'!$C$5),3,IF(AND(FV55&gt;='TABEL KONVERSI'!$B$6,'ENTRY DATA'!FV55&lt;='TABEL KONVERSI'!$C$6),4,"")))),"-")</f>
        <v>-</v>
      </c>
      <c r="FY55" s="38" t="str">
        <f>IF(FW55&lt;&gt;"",IF(AND(FW55&gt;='TABEL KONVERSI'!$B$3,'ENTRY DATA'!FW55&lt;='TABEL KONVERSI'!$C$3),1,IF(AND(FW55&gt;='TABEL KONVERSI'!$B$4,'ENTRY DATA'!FW55&lt;='TABEL KONVERSI'!$C$4),2,IF(AND(FW55&gt;='TABEL KONVERSI'!$B$5,'ENTRY DATA'!FW55&lt;='TABEL KONVERSI'!$C$5),3,IF(AND(FW55&gt;='TABEL KONVERSI'!$B$6,'ENTRY DATA'!FW55&lt;='TABEL KONVERSI'!$C$6),4,"")))),"-")</f>
        <v>-</v>
      </c>
      <c r="FZ55" s="38" t="str">
        <f t="shared" si="92"/>
        <v>-</v>
      </c>
      <c r="GA55" s="38" t="str">
        <f>VLOOKUP(FX55,'TABEL KONVERSI'!$A$3:$D$7,4)</f>
        <v>-</v>
      </c>
      <c r="GB55" s="38" t="str">
        <f t="shared" si="93"/>
        <v>-</v>
      </c>
      <c r="GC55" s="38" t="str">
        <f>VLOOKUP(FY55,'TABEL KONVERSI'!$A$3:$D$7,4)</f>
        <v>-</v>
      </c>
      <c r="GD55" s="42"/>
      <c r="GE55" s="37"/>
      <c r="GF55" s="73"/>
      <c r="GG55" s="73"/>
      <c r="GH55" s="38" t="str">
        <f t="shared" si="94"/>
        <v/>
      </c>
      <c r="GI55" s="38" t="str">
        <f t="shared" si="95"/>
        <v/>
      </c>
      <c r="GJ55" s="38" t="str">
        <f>IF(GH55&lt;&gt;"",IF(AND(GH55&gt;='TABEL KONVERSI'!$B$3,'ENTRY DATA'!GH55&lt;='TABEL KONVERSI'!$C$3),1,IF(AND(GH55&gt;='TABEL KONVERSI'!$B$4,'ENTRY DATA'!GH55&lt;='TABEL KONVERSI'!$C$4),2,IF(AND(GH55&gt;='TABEL KONVERSI'!$B$5,'ENTRY DATA'!GH55&lt;='TABEL KONVERSI'!$C$5),3,IF(AND(GH55&gt;='TABEL KONVERSI'!$B$6,'ENTRY DATA'!GH55&lt;='TABEL KONVERSI'!$C$6),4,"")))),"-")</f>
        <v>-</v>
      </c>
      <c r="GK55" s="38" t="str">
        <f>IF(GI55&lt;&gt;"",IF(AND(GI55&gt;='TABEL KONVERSI'!$B$3,'ENTRY DATA'!GI55&lt;='TABEL KONVERSI'!$C$3),1,IF(AND(GI55&gt;='TABEL KONVERSI'!$B$4,'ENTRY DATA'!GI55&lt;='TABEL KONVERSI'!$C$4),2,IF(AND(GI55&gt;='TABEL KONVERSI'!$B$5,'ENTRY DATA'!GI55&lt;='TABEL KONVERSI'!$C$5),3,IF(AND(GI55&gt;='TABEL KONVERSI'!$B$6,'ENTRY DATA'!GI55&lt;='TABEL KONVERSI'!$C$6),4,"")))),"-")</f>
        <v>-</v>
      </c>
      <c r="GL55" s="38" t="str">
        <f t="shared" si="96"/>
        <v>-</v>
      </c>
      <c r="GM55" s="38" t="str">
        <f>VLOOKUP(GJ55,'TABEL KONVERSI'!$A$3:$D$7,4)</f>
        <v>-</v>
      </c>
      <c r="GN55" s="38" t="str">
        <f t="shared" si="97"/>
        <v>-</v>
      </c>
      <c r="GO55" s="38" t="str">
        <f>VLOOKUP(GK55,'TABEL KONVERSI'!$A$3:$D$7,4)</f>
        <v>-</v>
      </c>
      <c r="GP55" s="43">
        <f t="shared" si="108"/>
        <v>0</v>
      </c>
      <c r="GQ55" s="43">
        <f t="shared" si="109"/>
        <v>0</v>
      </c>
      <c r="GR55" s="43">
        <f t="shared" si="110"/>
        <v>0</v>
      </c>
      <c r="GS55" s="43">
        <f t="shared" si="111"/>
        <v>0</v>
      </c>
      <c r="GT55" s="43">
        <f t="shared" si="112"/>
        <v>0</v>
      </c>
      <c r="GU55" s="43">
        <f t="shared" si="113"/>
        <v>0</v>
      </c>
      <c r="GV55" s="43">
        <f t="shared" si="114"/>
        <v>0</v>
      </c>
      <c r="GW55" s="43">
        <f t="shared" si="115"/>
        <v>0</v>
      </c>
      <c r="GX55" s="43">
        <f t="shared" si="116"/>
        <v>0</v>
      </c>
      <c r="GY55" s="43">
        <f t="shared" si="117"/>
        <v>0</v>
      </c>
      <c r="GZ55" s="43">
        <f t="shared" si="118"/>
        <v>0</v>
      </c>
      <c r="HA55" s="43">
        <f t="shared" si="119"/>
        <v>0</v>
      </c>
      <c r="HB55" s="43">
        <f t="shared" si="120"/>
        <v>0</v>
      </c>
      <c r="HC55" s="43">
        <f t="shared" si="121"/>
        <v>0</v>
      </c>
      <c r="HD55" s="43">
        <f t="shared" si="122"/>
        <v>0</v>
      </c>
      <c r="HE55" s="43">
        <f t="shared" si="123"/>
        <v>0</v>
      </c>
      <c r="HF55" s="38">
        <f t="shared" si="98"/>
        <v>0</v>
      </c>
      <c r="HG55" s="38">
        <f t="shared" si="99"/>
        <v>0</v>
      </c>
      <c r="HH55" s="38">
        <f t="shared" si="100"/>
        <v>0</v>
      </c>
      <c r="HI55" s="39">
        <f t="shared" si="101"/>
        <v>0</v>
      </c>
      <c r="HJ55" s="44" t="str">
        <f t="shared" si="102"/>
        <v>-</v>
      </c>
      <c r="HK55" s="45" t="str">
        <f>VLOOKUP(HJ55,'TABEL KONVERSI'!$B$11:$D$15,2,0)</f>
        <v>-</v>
      </c>
      <c r="HL55" s="43">
        <f t="shared" si="124"/>
        <v>0</v>
      </c>
      <c r="HM55" s="43">
        <f t="shared" si="125"/>
        <v>0</v>
      </c>
      <c r="HN55" s="43">
        <f t="shared" si="126"/>
        <v>0</v>
      </c>
      <c r="HO55" s="43">
        <f t="shared" si="127"/>
        <v>0</v>
      </c>
      <c r="HP55" s="43">
        <f t="shared" si="128"/>
        <v>0</v>
      </c>
      <c r="HQ55" s="43">
        <f t="shared" si="129"/>
        <v>0</v>
      </c>
      <c r="HR55" s="43">
        <f t="shared" si="130"/>
        <v>0</v>
      </c>
      <c r="HS55" s="43">
        <f t="shared" si="131"/>
        <v>0</v>
      </c>
      <c r="HT55" s="43">
        <f t="shared" si="132"/>
        <v>0</v>
      </c>
      <c r="HU55" s="43">
        <f t="shared" si="133"/>
        <v>0</v>
      </c>
      <c r="HV55" s="43">
        <f t="shared" si="134"/>
        <v>0</v>
      </c>
      <c r="HW55" s="43">
        <f t="shared" si="135"/>
        <v>0</v>
      </c>
      <c r="HX55" s="43">
        <f t="shared" si="136"/>
        <v>0</v>
      </c>
      <c r="HY55" s="43">
        <f t="shared" si="137"/>
        <v>0</v>
      </c>
      <c r="HZ55" s="43">
        <f t="shared" si="138"/>
        <v>0</v>
      </c>
      <c r="IA55" s="43">
        <f t="shared" si="139"/>
        <v>0</v>
      </c>
      <c r="IB55" s="38">
        <f t="shared" si="103"/>
        <v>0</v>
      </c>
      <c r="IC55" s="38">
        <f t="shared" si="104"/>
        <v>0</v>
      </c>
      <c r="ID55" s="38">
        <f t="shared" si="105"/>
        <v>0</v>
      </c>
      <c r="IE55" s="38">
        <f t="shared" si="106"/>
        <v>0</v>
      </c>
      <c r="IF55" s="46" t="str">
        <f t="shared" si="107"/>
        <v>-</v>
      </c>
      <c r="IG55" s="45" t="str">
        <f>VLOOKUP(IF55,'TABEL KONVERSI'!$B$11:$D$15,3,0)</f>
        <v>-</v>
      </c>
      <c r="IH55" s="40" t="s">
        <v>223</v>
      </c>
      <c r="II55" s="41" t="s">
        <v>106</v>
      </c>
      <c r="IJ55" s="45" t="str">
        <f>IF(II55&lt;&gt;"",VLOOKUP(II55,'TABEL KONVERSI'!$A$19:$B$23,2,0),"")</f>
        <v>Aktif dalam mengikuti kegiatan</v>
      </c>
      <c r="IK55" s="47" t="s">
        <v>58</v>
      </c>
      <c r="IL55" s="50" t="s">
        <v>58</v>
      </c>
      <c r="IM55" s="45" t="str">
        <f>IF(IL55&lt;&gt;"",VLOOKUP(IL55,'TABEL KONVERSI'!$A$19:$B$23,2,0),"")</f>
        <v>-</v>
      </c>
      <c r="IN55" s="49" t="s">
        <v>58</v>
      </c>
      <c r="IO55" s="48" t="s">
        <v>58</v>
      </c>
      <c r="IP55" s="45" t="str">
        <f>IF(IO55&lt;&gt;"",VLOOKUP(IO55,'TABEL KONVERSI'!$A$19:$B$23,2,0),"")</f>
        <v>-</v>
      </c>
      <c r="IQ55" s="49" t="s">
        <v>58</v>
      </c>
      <c r="IR55" s="50" t="s">
        <v>58</v>
      </c>
      <c r="IS55" s="45" t="str">
        <f>IF(IR55&lt;&gt;"",VLOOKUP(IR55,'TABEL KONVERSI'!$A$19:$B$23,2,0),"")</f>
        <v>-</v>
      </c>
      <c r="IT55" s="49" t="s">
        <v>58</v>
      </c>
      <c r="IU55" s="50" t="s">
        <v>58</v>
      </c>
      <c r="IV55" s="45" t="str">
        <f>IF(IU55&lt;&gt;"",VLOOKUP(IU55,'TABEL KONVERSI'!$A$19:$B$23,2,0),"")</f>
        <v>-</v>
      </c>
      <c r="IW55" s="48" t="s">
        <v>58</v>
      </c>
      <c r="IX55" s="48" t="s">
        <v>58</v>
      </c>
      <c r="IY55" s="48" t="s">
        <v>58</v>
      </c>
      <c r="IZ55" s="47" t="s">
        <v>58</v>
      </c>
      <c r="JA55" s="45">
        <f t="shared" si="140"/>
        <v>0</v>
      </c>
      <c r="JB55" s="45">
        <f t="shared" si="141"/>
        <v>1</v>
      </c>
    </row>
    <row r="56" spans="1:262" x14ac:dyDescent="0.25">
      <c r="A56" s="33">
        <v>44</v>
      </c>
      <c r="B56" s="53"/>
      <c r="C56" s="53"/>
      <c r="D56" s="54"/>
      <c r="E56" s="55"/>
      <c r="F56" s="42"/>
      <c r="G56" s="37"/>
      <c r="H56" s="73"/>
      <c r="I56" s="73"/>
      <c r="J56" s="38" t="str">
        <f t="shared" si="34"/>
        <v/>
      </c>
      <c r="K56" s="38" t="str">
        <f t="shared" si="35"/>
        <v/>
      </c>
      <c r="L56" s="38" t="str">
        <f>IF(J56&lt;&gt;"",IF(AND(J56&gt;='TABEL KONVERSI'!$B$3,'ENTRY DATA'!J56&lt;='TABEL KONVERSI'!$C$3),1,IF(AND(J56&gt;='TABEL KONVERSI'!$B$4,'ENTRY DATA'!J56&lt;='TABEL KONVERSI'!$C$4),2,IF(AND(J56&gt;='TABEL KONVERSI'!$B$5,'ENTRY DATA'!J56&lt;='TABEL KONVERSI'!$C$5),3,IF(AND(J56&gt;='TABEL KONVERSI'!$B$6,'ENTRY DATA'!J56&lt;='TABEL KONVERSI'!$C$6),4,"")))),"-")</f>
        <v>-</v>
      </c>
      <c r="M56" s="38" t="str">
        <f>IF(K56&lt;&gt;"",IF(AND(K56&gt;='TABEL KONVERSI'!$B$3,'ENTRY DATA'!K56&lt;='TABEL KONVERSI'!$C$3),1,IF(AND(K56&gt;='TABEL KONVERSI'!$B$4,'ENTRY DATA'!K56&lt;='TABEL KONVERSI'!$C$4),2,IF(AND(K56&gt;='TABEL KONVERSI'!$B$5,'ENTRY DATA'!K56&lt;='TABEL KONVERSI'!$C$5),3,IF(AND(K56&gt;='TABEL KONVERSI'!$B$6,'ENTRY DATA'!K56&lt;='TABEL KONVERSI'!$C$6),4,"")))),"-")</f>
        <v>-</v>
      </c>
      <c r="N56" s="38" t="str">
        <f t="shared" si="36"/>
        <v>-</v>
      </c>
      <c r="O56" s="38" t="str">
        <f>VLOOKUP(L56,'TABEL KONVERSI'!$A$3:$D$7,4)</f>
        <v>-</v>
      </c>
      <c r="P56" s="38" t="str">
        <f t="shared" si="37"/>
        <v>-</v>
      </c>
      <c r="Q56" s="38" t="str">
        <f>VLOOKUP(M56,'TABEL KONVERSI'!$A$3:$D$7,4)</f>
        <v>-</v>
      </c>
      <c r="R56" s="42"/>
      <c r="S56" s="37"/>
      <c r="T56" s="73"/>
      <c r="U56" s="73"/>
      <c r="V56" s="38" t="str">
        <f t="shared" si="38"/>
        <v/>
      </c>
      <c r="W56" s="38" t="str">
        <f t="shared" si="39"/>
        <v/>
      </c>
      <c r="X56" s="38" t="str">
        <f>IF(V56&lt;&gt;"",IF(AND(V56&gt;='TABEL KONVERSI'!$B$3,'ENTRY DATA'!V56&lt;='TABEL KONVERSI'!$C$3),1,IF(AND(V56&gt;='TABEL KONVERSI'!$B$4,'ENTRY DATA'!V56&lt;='TABEL KONVERSI'!$C$4),2,IF(AND(V56&gt;='TABEL KONVERSI'!$B$5,'ENTRY DATA'!V56&lt;='TABEL KONVERSI'!$C$5),3,IF(AND(V56&gt;='TABEL KONVERSI'!$B$6,'ENTRY DATA'!V56&lt;='TABEL KONVERSI'!$C$6),4,"")))),"-")</f>
        <v>-</v>
      </c>
      <c r="Y56" s="38" t="str">
        <f>IF(W56&lt;&gt;"",IF(AND(W56&gt;='TABEL KONVERSI'!$B$3,'ENTRY DATA'!W56&lt;='TABEL KONVERSI'!$C$3),1,IF(AND(W56&gt;='TABEL KONVERSI'!$B$4,'ENTRY DATA'!W56&lt;='TABEL KONVERSI'!$C$4),2,IF(AND(W56&gt;='TABEL KONVERSI'!$B$5,'ENTRY DATA'!W56&lt;='TABEL KONVERSI'!$C$5),3,IF(AND(W56&gt;='TABEL KONVERSI'!$B$6,'ENTRY DATA'!W56&lt;='TABEL KONVERSI'!$C$6),4,"")))),"-")</f>
        <v>-</v>
      </c>
      <c r="Z56" s="38" t="str">
        <f t="shared" si="40"/>
        <v>-</v>
      </c>
      <c r="AA56" s="38" t="str">
        <f>VLOOKUP(X56,'TABEL KONVERSI'!$A$3:$D$7,4)</f>
        <v>-</v>
      </c>
      <c r="AB56" s="38" t="str">
        <f t="shared" si="41"/>
        <v>-</v>
      </c>
      <c r="AC56" s="38" t="str">
        <f>VLOOKUP(Y56,'TABEL KONVERSI'!$A$3:$D$7,4)</f>
        <v>-</v>
      </c>
      <c r="AD56" s="42"/>
      <c r="AE56" s="37"/>
      <c r="AF56" s="73"/>
      <c r="AG56" s="73"/>
      <c r="AH56" s="38" t="str">
        <f t="shared" si="42"/>
        <v/>
      </c>
      <c r="AI56" s="38" t="str">
        <f t="shared" si="43"/>
        <v/>
      </c>
      <c r="AJ56" s="38" t="str">
        <f>IF(AH56&lt;&gt;"",IF(AND(AH56&gt;='TABEL KONVERSI'!$B$3,'ENTRY DATA'!AH56&lt;='TABEL KONVERSI'!$C$3),1,IF(AND(AH56&gt;='TABEL KONVERSI'!$B$4,'ENTRY DATA'!AH56&lt;='TABEL KONVERSI'!$C$4),2,IF(AND(AH56&gt;='TABEL KONVERSI'!$B$5,'ENTRY DATA'!AH56&lt;='TABEL KONVERSI'!$C$5),3,IF(AND(AH56&gt;='TABEL KONVERSI'!$B$6,'ENTRY DATA'!AH56&lt;='TABEL KONVERSI'!$C$6),4,"")))),"-")</f>
        <v>-</v>
      </c>
      <c r="AK56" s="38" t="str">
        <f>IF(AI56&lt;&gt;"",IF(AND(AI56&gt;='TABEL KONVERSI'!$B$3,'ENTRY DATA'!AI56&lt;='TABEL KONVERSI'!$C$3),1,IF(AND(AI56&gt;='TABEL KONVERSI'!$B$4,'ENTRY DATA'!AI56&lt;='TABEL KONVERSI'!$C$4),2,IF(AND(AI56&gt;='TABEL KONVERSI'!$B$5,'ENTRY DATA'!AI56&lt;='TABEL KONVERSI'!$C$5),3,IF(AND(AI56&gt;='TABEL KONVERSI'!$B$6,'ENTRY DATA'!AI56&lt;='TABEL KONVERSI'!$C$6),4,"")))),"-")</f>
        <v>-</v>
      </c>
      <c r="AL56" s="38" t="str">
        <f t="shared" si="44"/>
        <v>-</v>
      </c>
      <c r="AM56" s="38" t="str">
        <f>VLOOKUP(AJ56,'TABEL KONVERSI'!$A$3:$D$7,4)</f>
        <v>-</v>
      </c>
      <c r="AN56" s="38" t="str">
        <f t="shared" si="45"/>
        <v>-</v>
      </c>
      <c r="AO56" s="38" t="str">
        <f>VLOOKUP(AK56,'TABEL KONVERSI'!$A$3:$D$7,4)</f>
        <v>-</v>
      </c>
      <c r="AP56" s="42"/>
      <c r="AQ56" s="37"/>
      <c r="AR56" s="73"/>
      <c r="AS56" s="73"/>
      <c r="AT56" s="38" t="str">
        <f t="shared" si="46"/>
        <v/>
      </c>
      <c r="AU56" s="38" t="str">
        <f t="shared" si="47"/>
        <v/>
      </c>
      <c r="AV56" s="38" t="str">
        <f>IF(AT56&lt;&gt;"",IF(AND(AT56&gt;='TABEL KONVERSI'!$B$3,'ENTRY DATA'!AT56&lt;='TABEL KONVERSI'!$C$3),1,IF(AND(AT56&gt;='TABEL KONVERSI'!$B$4,'ENTRY DATA'!AT56&lt;='TABEL KONVERSI'!$C$4),2,IF(AND(AT56&gt;='TABEL KONVERSI'!$B$5,'ENTRY DATA'!AT56&lt;='TABEL KONVERSI'!$C$5),3,IF(AND(AT56&gt;='TABEL KONVERSI'!$B$6,'ENTRY DATA'!AT56&lt;='TABEL KONVERSI'!$C$6),4,"")))),"-")</f>
        <v>-</v>
      </c>
      <c r="AW56" s="38" t="str">
        <f>IF(AU56&lt;&gt;"",IF(AND(AU56&gt;='TABEL KONVERSI'!$B$3,'ENTRY DATA'!AU56&lt;='TABEL KONVERSI'!$C$3),1,IF(AND(AU56&gt;='TABEL KONVERSI'!$B$4,'ENTRY DATA'!AU56&lt;='TABEL KONVERSI'!$C$4),2,IF(AND(AU56&gt;='TABEL KONVERSI'!$B$5,'ENTRY DATA'!AU56&lt;='TABEL KONVERSI'!$C$5),3,IF(AND(AU56&gt;='TABEL KONVERSI'!$B$6,'ENTRY DATA'!AU56&lt;='TABEL KONVERSI'!$C$6),4,"")))),"-")</f>
        <v>-</v>
      </c>
      <c r="AX56" s="38" t="str">
        <f t="shared" si="48"/>
        <v>-</v>
      </c>
      <c r="AY56" s="38" t="str">
        <f>VLOOKUP(AV56,'TABEL KONVERSI'!$A$3:$D$7,4)</f>
        <v>-</v>
      </c>
      <c r="AZ56" s="38" t="str">
        <f t="shared" si="49"/>
        <v>-</v>
      </c>
      <c r="BA56" s="38" t="str">
        <f>VLOOKUP(AW56,'TABEL KONVERSI'!$A$3:$D$7,4)</f>
        <v>-</v>
      </c>
      <c r="BB56" s="42"/>
      <c r="BC56" s="37"/>
      <c r="BD56" s="73"/>
      <c r="BE56" s="73"/>
      <c r="BF56" s="38" t="str">
        <f t="shared" si="50"/>
        <v/>
      </c>
      <c r="BG56" s="38" t="str">
        <f t="shared" si="51"/>
        <v/>
      </c>
      <c r="BH56" s="38" t="str">
        <f>IF(BF56&lt;&gt;"",IF(AND(BF56&gt;='TABEL KONVERSI'!$B$3,'ENTRY DATA'!BF56&lt;='TABEL KONVERSI'!$C$3),1,IF(AND(BF56&gt;='TABEL KONVERSI'!$B$4,'ENTRY DATA'!BF56&lt;='TABEL KONVERSI'!$C$4),2,IF(AND(BF56&gt;='TABEL KONVERSI'!$B$5,'ENTRY DATA'!BF56&lt;='TABEL KONVERSI'!$C$5),3,IF(AND(BF56&gt;='TABEL KONVERSI'!$B$6,'ENTRY DATA'!BF56&lt;='TABEL KONVERSI'!$C$6),4,"")))),"-")</f>
        <v>-</v>
      </c>
      <c r="BI56" s="38" t="str">
        <f>IF(BG56&lt;&gt;"",IF(AND(BG56&gt;='TABEL KONVERSI'!$B$3,'ENTRY DATA'!BG56&lt;='TABEL KONVERSI'!$C$3),1,IF(AND(BG56&gt;='TABEL KONVERSI'!$B$4,'ENTRY DATA'!BG56&lt;='TABEL KONVERSI'!$C$4),2,IF(AND(BG56&gt;='TABEL KONVERSI'!$B$5,'ENTRY DATA'!BG56&lt;='TABEL KONVERSI'!$C$5),3,IF(AND(BG56&gt;='TABEL KONVERSI'!$B$6,'ENTRY DATA'!BG56&lt;='TABEL KONVERSI'!$C$6),4,"")))),"-")</f>
        <v>-</v>
      </c>
      <c r="BJ56" s="38" t="str">
        <f t="shared" si="52"/>
        <v>-</v>
      </c>
      <c r="BK56" s="38" t="str">
        <f>VLOOKUP(BH56,'TABEL KONVERSI'!$A$3:$D$7,4)</f>
        <v>-</v>
      </c>
      <c r="BL56" s="38" t="str">
        <f t="shared" si="53"/>
        <v>-</v>
      </c>
      <c r="BM56" s="38" t="str">
        <f>VLOOKUP(BI56,'TABEL KONVERSI'!$A$3:$D$7,4)</f>
        <v>-</v>
      </c>
      <c r="BN56" s="42"/>
      <c r="BO56" s="37"/>
      <c r="BP56" s="73"/>
      <c r="BQ56" s="73"/>
      <c r="BR56" s="38" t="str">
        <f t="shared" si="54"/>
        <v/>
      </c>
      <c r="BS56" s="38" t="str">
        <f t="shared" si="55"/>
        <v/>
      </c>
      <c r="BT56" s="38" t="str">
        <f>IF(BR56&lt;&gt;"",IF(AND(BR56&gt;='TABEL KONVERSI'!$B$3,'ENTRY DATA'!BR56&lt;='TABEL KONVERSI'!$C$3),1,IF(AND(BR56&gt;='TABEL KONVERSI'!$B$4,'ENTRY DATA'!BR56&lt;='TABEL KONVERSI'!$C$4),2,IF(AND(BR56&gt;='TABEL KONVERSI'!$B$5,'ENTRY DATA'!BR56&lt;='TABEL KONVERSI'!$C$5),3,IF(AND(BR56&gt;='TABEL KONVERSI'!$B$6,'ENTRY DATA'!BR56&lt;='TABEL KONVERSI'!$C$6),4,"")))),"-")</f>
        <v>-</v>
      </c>
      <c r="BU56" s="38" t="str">
        <f>IF(BS56&lt;&gt;"",IF(AND(BS56&gt;='TABEL KONVERSI'!$B$3,'ENTRY DATA'!BS56&lt;='TABEL KONVERSI'!$C$3),1,IF(AND(BS56&gt;='TABEL KONVERSI'!$B$4,'ENTRY DATA'!BS56&lt;='TABEL KONVERSI'!$C$4),2,IF(AND(BS56&gt;='TABEL KONVERSI'!$B$5,'ENTRY DATA'!BS56&lt;='TABEL KONVERSI'!$C$5),3,IF(AND(BS56&gt;='TABEL KONVERSI'!$B$6,'ENTRY DATA'!BS56&lt;='TABEL KONVERSI'!$C$6),4,"")))),"-")</f>
        <v>-</v>
      </c>
      <c r="BV56" s="38" t="str">
        <f t="shared" si="56"/>
        <v>-</v>
      </c>
      <c r="BW56" s="38" t="str">
        <f>VLOOKUP(BT56,'TABEL KONVERSI'!$A$3:$D$7,4)</f>
        <v>-</v>
      </c>
      <c r="BX56" s="38" t="str">
        <f t="shared" si="57"/>
        <v>-</v>
      </c>
      <c r="BY56" s="38" t="str">
        <f>VLOOKUP(BU56,'TABEL KONVERSI'!$A$3:$D$7,4)</f>
        <v>-</v>
      </c>
      <c r="BZ56" s="42"/>
      <c r="CA56" s="37"/>
      <c r="CB56" s="73"/>
      <c r="CC56" s="73"/>
      <c r="CD56" s="38" t="str">
        <f t="shared" si="58"/>
        <v/>
      </c>
      <c r="CE56" s="38" t="str">
        <f t="shared" si="59"/>
        <v/>
      </c>
      <c r="CF56" s="38" t="str">
        <f>IF(CD56&lt;&gt;"",IF(AND(CD56&gt;='TABEL KONVERSI'!$B$3,'ENTRY DATA'!CD56&lt;='TABEL KONVERSI'!$C$3),1,IF(AND(CD56&gt;='TABEL KONVERSI'!$B$4,'ENTRY DATA'!CD56&lt;='TABEL KONVERSI'!$C$4),2,IF(AND(CD56&gt;='TABEL KONVERSI'!$B$5,'ENTRY DATA'!CD56&lt;='TABEL KONVERSI'!$C$5),3,IF(AND(CD56&gt;='TABEL KONVERSI'!$B$6,'ENTRY DATA'!CD56&lt;='TABEL KONVERSI'!$C$6),4,"")))),"-")</f>
        <v>-</v>
      </c>
      <c r="CG56" s="38" t="str">
        <f>IF(CE56&lt;&gt;"",IF(AND(CE56&gt;='TABEL KONVERSI'!$B$3,'ENTRY DATA'!CE56&lt;='TABEL KONVERSI'!$C$3),1,IF(AND(CE56&gt;='TABEL KONVERSI'!$B$4,'ENTRY DATA'!CE56&lt;='TABEL KONVERSI'!$C$4),2,IF(AND(CE56&gt;='TABEL KONVERSI'!$B$5,'ENTRY DATA'!CE56&lt;='TABEL KONVERSI'!$C$5),3,IF(AND(CE56&gt;='TABEL KONVERSI'!$B$6,'ENTRY DATA'!CE56&lt;='TABEL KONVERSI'!$C$6),4,"")))),"-")</f>
        <v>-</v>
      </c>
      <c r="CH56" s="38" t="str">
        <f t="shared" si="60"/>
        <v>-</v>
      </c>
      <c r="CI56" s="38" t="str">
        <f>VLOOKUP(CF56,'TABEL KONVERSI'!$A$3:$D$7,4)</f>
        <v>-</v>
      </c>
      <c r="CJ56" s="38" t="str">
        <f t="shared" si="61"/>
        <v>-</v>
      </c>
      <c r="CK56" s="38" t="str">
        <f>VLOOKUP(CG56,'TABEL KONVERSI'!$A$3:$D$7,4)</f>
        <v>-</v>
      </c>
      <c r="CL56" s="42"/>
      <c r="CM56" s="37"/>
      <c r="CN56" s="73"/>
      <c r="CO56" s="73"/>
      <c r="CP56" s="38" t="str">
        <f t="shared" si="62"/>
        <v/>
      </c>
      <c r="CQ56" s="38" t="str">
        <f t="shared" si="63"/>
        <v/>
      </c>
      <c r="CR56" s="38" t="str">
        <f>IF(CP56&lt;&gt;"",IF(AND(CP56&gt;='TABEL KONVERSI'!$B$3,'ENTRY DATA'!CP56&lt;='TABEL KONVERSI'!$C$3),1,IF(AND(CP56&gt;='TABEL KONVERSI'!$B$4,'ENTRY DATA'!CP56&lt;='TABEL KONVERSI'!$C$4),2,IF(AND(CP56&gt;='TABEL KONVERSI'!$B$5,'ENTRY DATA'!CP56&lt;='TABEL KONVERSI'!$C$5),3,IF(AND(CP56&gt;='TABEL KONVERSI'!$B$6,'ENTRY DATA'!CP56&lt;='TABEL KONVERSI'!$C$6),4,"")))),"-")</f>
        <v>-</v>
      </c>
      <c r="CS56" s="38" t="str">
        <f>IF(CQ56&lt;&gt;"",IF(AND(CQ56&gt;='TABEL KONVERSI'!$B$3,'ENTRY DATA'!CQ56&lt;='TABEL KONVERSI'!$C$3),1,IF(AND(CQ56&gt;='TABEL KONVERSI'!$B$4,'ENTRY DATA'!CQ56&lt;='TABEL KONVERSI'!$C$4),2,IF(AND(CQ56&gt;='TABEL KONVERSI'!$B$5,'ENTRY DATA'!CQ56&lt;='TABEL KONVERSI'!$C$5),3,IF(AND(CQ56&gt;='TABEL KONVERSI'!$B$6,'ENTRY DATA'!CQ56&lt;='TABEL KONVERSI'!$C$6),4,"")))),"-")</f>
        <v>-</v>
      </c>
      <c r="CT56" s="38" t="str">
        <f t="shared" si="64"/>
        <v>-</v>
      </c>
      <c r="CU56" s="38" t="str">
        <f>VLOOKUP(CR56,'TABEL KONVERSI'!$A$3:$D$7,4)</f>
        <v>-</v>
      </c>
      <c r="CV56" s="38" t="str">
        <f t="shared" si="65"/>
        <v>-</v>
      </c>
      <c r="CW56" s="38" t="str">
        <f>VLOOKUP(CS56,'TABEL KONVERSI'!$A$3:$D$7,4)</f>
        <v>-</v>
      </c>
      <c r="CX56" s="42"/>
      <c r="CY56" s="37"/>
      <c r="CZ56" s="73"/>
      <c r="DA56" s="73"/>
      <c r="DB56" s="38" t="str">
        <f t="shared" si="66"/>
        <v/>
      </c>
      <c r="DC56" s="38" t="str">
        <f t="shared" si="67"/>
        <v/>
      </c>
      <c r="DD56" s="38" t="str">
        <f>IF(DB56&lt;&gt;"",IF(AND(DB56&gt;='TABEL KONVERSI'!$B$3,'ENTRY DATA'!DB56&lt;='TABEL KONVERSI'!$C$3),1,IF(AND(DB56&gt;='TABEL KONVERSI'!$B$4,'ENTRY DATA'!DB56&lt;='TABEL KONVERSI'!$C$4),2,IF(AND(DB56&gt;='TABEL KONVERSI'!$B$5,'ENTRY DATA'!DB56&lt;='TABEL KONVERSI'!$C$5),3,IF(AND(DB56&gt;='TABEL KONVERSI'!$B$6,'ENTRY DATA'!DB56&lt;='TABEL KONVERSI'!$C$6),4,"")))),"-")</f>
        <v>-</v>
      </c>
      <c r="DE56" s="38" t="str">
        <f>IF(DC56&lt;&gt;"",IF(AND(DC56&gt;='TABEL KONVERSI'!$B$3,'ENTRY DATA'!DC56&lt;='TABEL KONVERSI'!$C$3),1,IF(AND(DC56&gt;='TABEL KONVERSI'!$B$4,'ENTRY DATA'!DC56&lt;='TABEL KONVERSI'!$C$4),2,IF(AND(DC56&gt;='TABEL KONVERSI'!$B$5,'ENTRY DATA'!DC56&lt;='TABEL KONVERSI'!$C$5),3,IF(AND(DC56&gt;='TABEL KONVERSI'!$B$6,'ENTRY DATA'!DC56&lt;='TABEL KONVERSI'!$C$6),4,"")))),"-")</f>
        <v>-</v>
      </c>
      <c r="DF56" s="38" t="str">
        <f t="shared" si="68"/>
        <v>-</v>
      </c>
      <c r="DG56" s="38" t="str">
        <f>VLOOKUP(DD56,'TABEL KONVERSI'!$A$3:$D$7,4)</f>
        <v>-</v>
      </c>
      <c r="DH56" s="38" t="str">
        <f t="shared" si="69"/>
        <v>-</v>
      </c>
      <c r="DI56" s="38" t="str">
        <f>VLOOKUP(DE56,'TABEL KONVERSI'!$A$3:$D$7,4)</f>
        <v>-</v>
      </c>
      <c r="DJ56" s="42"/>
      <c r="DK56" s="37"/>
      <c r="DL56" s="73"/>
      <c r="DM56" s="73"/>
      <c r="DN56" s="38" t="str">
        <f t="shared" si="70"/>
        <v/>
      </c>
      <c r="DO56" s="38" t="str">
        <f t="shared" si="71"/>
        <v/>
      </c>
      <c r="DP56" s="38" t="str">
        <f>IF(DN56&lt;&gt;"",IF(AND(DN56&gt;='TABEL KONVERSI'!$B$3,'ENTRY DATA'!DN56&lt;='TABEL KONVERSI'!$C$3),1,IF(AND(DN56&gt;='TABEL KONVERSI'!$B$4,'ENTRY DATA'!DN56&lt;='TABEL KONVERSI'!$C$4),2,IF(AND(DN56&gt;='TABEL KONVERSI'!$B$5,'ENTRY DATA'!DN56&lt;='TABEL KONVERSI'!$C$5),3,IF(AND(DN56&gt;='TABEL KONVERSI'!$B$6,'ENTRY DATA'!DN56&lt;='TABEL KONVERSI'!$C$6),4,"")))),"-")</f>
        <v>-</v>
      </c>
      <c r="DQ56" s="38" t="str">
        <f>IF(DO56&lt;&gt;"",IF(AND(DO56&gt;='TABEL KONVERSI'!$B$3,'ENTRY DATA'!DO56&lt;='TABEL KONVERSI'!$C$3),1,IF(AND(DO56&gt;='TABEL KONVERSI'!$B$4,'ENTRY DATA'!DO56&lt;='TABEL KONVERSI'!$C$4),2,IF(AND(DO56&gt;='TABEL KONVERSI'!$B$5,'ENTRY DATA'!DO56&lt;='TABEL KONVERSI'!$C$5),3,IF(AND(DO56&gt;='TABEL KONVERSI'!$B$6,'ENTRY DATA'!DO56&lt;='TABEL KONVERSI'!$C$6),4,"")))),"-")</f>
        <v>-</v>
      </c>
      <c r="DR56" s="38" t="str">
        <f t="shared" si="72"/>
        <v>-</v>
      </c>
      <c r="DS56" s="38" t="str">
        <f>VLOOKUP(DP56,'TABEL KONVERSI'!$A$3:$D$7,4)</f>
        <v>-</v>
      </c>
      <c r="DT56" s="38" t="str">
        <f t="shared" si="73"/>
        <v>-</v>
      </c>
      <c r="DU56" s="38" t="str">
        <f>VLOOKUP(DQ56,'TABEL KONVERSI'!$A$3:$D$7,4)</f>
        <v>-</v>
      </c>
      <c r="DV56" s="42"/>
      <c r="DW56" s="37"/>
      <c r="DX56" s="73"/>
      <c r="DY56" s="73"/>
      <c r="DZ56" s="38" t="str">
        <f t="shared" si="74"/>
        <v/>
      </c>
      <c r="EA56" s="38" t="str">
        <f t="shared" si="75"/>
        <v/>
      </c>
      <c r="EB56" s="38" t="str">
        <f>IF(DZ56&lt;&gt;"",IF(AND(DZ56&gt;='TABEL KONVERSI'!$B$3,'ENTRY DATA'!DZ56&lt;='TABEL KONVERSI'!$C$3),1,IF(AND(DZ56&gt;='TABEL KONVERSI'!$B$4,'ENTRY DATA'!DZ56&lt;='TABEL KONVERSI'!$C$4),2,IF(AND(DZ56&gt;='TABEL KONVERSI'!$B$5,'ENTRY DATA'!DZ56&lt;='TABEL KONVERSI'!$C$5),3,IF(AND(DZ56&gt;='TABEL KONVERSI'!$B$6,'ENTRY DATA'!DZ56&lt;='TABEL KONVERSI'!$C$6),4,"")))),"-")</f>
        <v>-</v>
      </c>
      <c r="EC56" s="38" t="str">
        <f>IF(EA56&lt;&gt;"",IF(AND(EA56&gt;='TABEL KONVERSI'!$B$3,'ENTRY DATA'!EA56&lt;='TABEL KONVERSI'!$C$3),1,IF(AND(EA56&gt;='TABEL KONVERSI'!$B$4,'ENTRY DATA'!EA56&lt;='TABEL KONVERSI'!$C$4),2,IF(AND(EA56&gt;='TABEL KONVERSI'!$B$5,'ENTRY DATA'!EA56&lt;='TABEL KONVERSI'!$C$5),3,IF(AND(EA56&gt;='TABEL KONVERSI'!$B$6,'ENTRY DATA'!EA56&lt;='TABEL KONVERSI'!$C$6),4,"")))),"-")</f>
        <v>-</v>
      </c>
      <c r="ED56" s="38" t="str">
        <f t="shared" si="76"/>
        <v>-</v>
      </c>
      <c r="EE56" s="38" t="str">
        <f>VLOOKUP(EB56,'TABEL KONVERSI'!$A$3:$D$7,4)</f>
        <v>-</v>
      </c>
      <c r="EF56" s="38" t="str">
        <f t="shared" si="77"/>
        <v>-</v>
      </c>
      <c r="EG56" s="38" t="str">
        <f>VLOOKUP(EC56,'TABEL KONVERSI'!$A$3:$D$7,4)</f>
        <v>-</v>
      </c>
      <c r="EH56" s="42"/>
      <c r="EI56" s="37"/>
      <c r="EJ56" s="73"/>
      <c r="EK56" s="73"/>
      <c r="EL56" s="38" t="str">
        <f t="shared" si="78"/>
        <v/>
      </c>
      <c r="EM56" s="38" t="str">
        <f t="shared" si="79"/>
        <v/>
      </c>
      <c r="EN56" s="38" t="str">
        <f>IF(EL56&lt;&gt;"",IF(AND(EL56&gt;='TABEL KONVERSI'!$B$3,'ENTRY DATA'!EL56&lt;='TABEL KONVERSI'!$C$3),1,IF(AND(EL56&gt;='TABEL KONVERSI'!$B$4,'ENTRY DATA'!EL56&lt;='TABEL KONVERSI'!$C$4),2,IF(AND(EL56&gt;='TABEL KONVERSI'!$B$5,'ENTRY DATA'!EL56&lt;='TABEL KONVERSI'!$C$5),3,IF(AND(EL56&gt;='TABEL KONVERSI'!$B$6,'ENTRY DATA'!EL56&lt;='TABEL KONVERSI'!$C$6),4,"")))),"-")</f>
        <v>-</v>
      </c>
      <c r="EO56" s="38" t="str">
        <f>IF(EM56&lt;&gt;"",IF(AND(EM56&gt;='TABEL KONVERSI'!$B$3,'ENTRY DATA'!EM56&lt;='TABEL KONVERSI'!$C$3),1,IF(AND(EM56&gt;='TABEL KONVERSI'!$B$4,'ENTRY DATA'!EM56&lt;='TABEL KONVERSI'!$C$4),2,IF(AND(EM56&gt;='TABEL KONVERSI'!$B$5,'ENTRY DATA'!EM56&lt;='TABEL KONVERSI'!$C$5),3,IF(AND(EM56&gt;='TABEL KONVERSI'!$B$6,'ENTRY DATA'!EM56&lt;='TABEL KONVERSI'!$C$6),4,"")))),"-")</f>
        <v>-</v>
      </c>
      <c r="EP56" s="38" t="str">
        <f t="shared" si="80"/>
        <v>-</v>
      </c>
      <c r="EQ56" s="38" t="str">
        <f>VLOOKUP(EN56,'TABEL KONVERSI'!$A$3:$D$7,4)</f>
        <v>-</v>
      </c>
      <c r="ER56" s="38" t="str">
        <f t="shared" si="81"/>
        <v>-</v>
      </c>
      <c r="ES56" s="38" t="str">
        <f>VLOOKUP(EO56,'TABEL KONVERSI'!$A$3:$D$7,4)</f>
        <v>-</v>
      </c>
      <c r="ET56" s="42"/>
      <c r="EU56" s="37"/>
      <c r="EV56" s="73"/>
      <c r="EW56" s="73"/>
      <c r="EX56" s="38" t="str">
        <f t="shared" si="82"/>
        <v/>
      </c>
      <c r="EY56" s="38" t="str">
        <f t="shared" si="83"/>
        <v/>
      </c>
      <c r="EZ56" s="38" t="str">
        <f>IF(EX56&lt;&gt;"",IF(AND(EX56&gt;='TABEL KONVERSI'!$B$3,'ENTRY DATA'!EX56&lt;='TABEL KONVERSI'!$C$3),1,IF(AND(EX56&gt;='TABEL KONVERSI'!$B$4,'ENTRY DATA'!EX56&lt;='TABEL KONVERSI'!$C$4),2,IF(AND(EX56&gt;='TABEL KONVERSI'!$B$5,'ENTRY DATA'!EX56&lt;='TABEL KONVERSI'!$C$5),3,IF(AND(EX56&gt;='TABEL KONVERSI'!$B$6,'ENTRY DATA'!EX56&lt;='TABEL KONVERSI'!$C$6),4,"")))),"-")</f>
        <v>-</v>
      </c>
      <c r="FA56" s="38" t="str">
        <f>IF(EY56&lt;&gt;"",IF(AND(EY56&gt;='TABEL KONVERSI'!$B$3,'ENTRY DATA'!EY56&lt;='TABEL KONVERSI'!$C$3),1,IF(AND(EY56&gt;='TABEL KONVERSI'!$B$4,'ENTRY DATA'!EY56&lt;='TABEL KONVERSI'!$C$4),2,IF(AND(EY56&gt;='TABEL KONVERSI'!$B$5,'ENTRY DATA'!EY56&lt;='TABEL KONVERSI'!$C$5),3,IF(AND(EY56&gt;='TABEL KONVERSI'!$B$6,'ENTRY DATA'!EY56&lt;='TABEL KONVERSI'!$C$6),4,"")))),"-")</f>
        <v>-</v>
      </c>
      <c r="FB56" s="38" t="str">
        <f t="shared" si="84"/>
        <v>-</v>
      </c>
      <c r="FC56" s="38" t="str">
        <f>VLOOKUP(EZ56,'TABEL KONVERSI'!$A$3:$D$7,4)</f>
        <v>-</v>
      </c>
      <c r="FD56" s="38" t="str">
        <f t="shared" si="85"/>
        <v>-</v>
      </c>
      <c r="FE56" s="38" t="str">
        <f>VLOOKUP(FA56,'TABEL KONVERSI'!$A$3:$D$7,4)</f>
        <v>-</v>
      </c>
      <c r="FF56" s="42"/>
      <c r="FG56" s="37"/>
      <c r="FH56" s="73"/>
      <c r="FI56" s="73"/>
      <c r="FJ56" s="38" t="str">
        <f t="shared" si="86"/>
        <v/>
      </c>
      <c r="FK56" s="38" t="str">
        <f t="shared" si="87"/>
        <v/>
      </c>
      <c r="FL56" s="38" t="str">
        <f>IF(FJ56&lt;&gt;"",IF(AND(FJ56&gt;='TABEL KONVERSI'!$B$3,'ENTRY DATA'!FJ56&lt;='TABEL KONVERSI'!$C$3),1,IF(AND(FJ56&gt;='TABEL KONVERSI'!$B$4,'ENTRY DATA'!FJ56&lt;='TABEL KONVERSI'!$C$4),2,IF(AND(FJ56&gt;='TABEL KONVERSI'!$B$5,'ENTRY DATA'!FJ56&lt;='TABEL KONVERSI'!$C$5),3,IF(AND(FJ56&gt;='TABEL KONVERSI'!$B$6,'ENTRY DATA'!FJ56&lt;='TABEL KONVERSI'!$C$6),4,"")))),"-")</f>
        <v>-</v>
      </c>
      <c r="FM56" s="38" t="str">
        <f>IF(FK56&lt;&gt;"",IF(AND(FK56&gt;='TABEL KONVERSI'!$B$3,'ENTRY DATA'!FK56&lt;='TABEL KONVERSI'!$C$3),1,IF(AND(FK56&gt;='TABEL KONVERSI'!$B$4,'ENTRY DATA'!FK56&lt;='TABEL KONVERSI'!$C$4),2,IF(AND(FK56&gt;='TABEL KONVERSI'!$B$5,'ENTRY DATA'!FK56&lt;='TABEL KONVERSI'!$C$5),3,IF(AND(FK56&gt;='TABEL KONVERSI'!$B$6,'ENTRY DATA'!FK56&lt;='TABEL KONVERSI'!$C$6),4,"")))),"-")</f>
        <v>-</v>
      </c>
      <c r="FN56" s="38" t="str">
        <f t="shared" si="88"/>
        <v>-</v>
      </c>
      <c r="FO56" s="38" t="str">
        <f>VLOOKUP(FL56,'TABEL KONVERSI'!$A$3:$D$7,4)</f>
        <v>-</v>
      </c>
      <c r="FP56" s="38" t="str">
        <f t="shared" si="89"/>
        <v>-</v>
      </c>
      <c r="FQ56" s="38" t="str">
        <f>VLOOKUP(FM56,'TABEL KONVERSI'!$A$3:$D$7,4)</f>
        <v>-</v>
      </c>
      <c r="FR56" s="42"/>
      <c r="FS56" s="37"/>
      <c r="FT56" s="73"/>
      <c r="FU56" s="73"/>
      <c r="FV56" s="38" t="str">
        <f t="shared" si="90"/>
        <v/>
      </c>
      <c r="FW56" s="38" t="str">
        <f t="shared" si="91"/>
        <v/>
      </c>
      <c r="FX56" s="38" t="str">
        <f>IF(FV56&lt;&gt;"",IF(AND(FV56&gt;='TABEL KONVERSI'!$B$3,'ENTRY DATA'!FV56&lt;='TABEL KONVERSI'!$C$3),1,IF(AND(FV56&gt;='TABEL KONVERSI'!$B$4,'ENTRY DATA'!FV56&lt;='TABEL KONVERSI'!$C$4),2,IF(AND(FV56&gt;='TABEL KONVERSI'!$B$5,'ENTRY DATA'!FV56&lt;='TABEL KONVERSI'!$C$5),3,IF(AND(FV56&gt;='TABEL KONVERSI'!$B$6,'ENTRY DATA'!FV56&lt;='TABEL KONVERSI'!$C$6),4,"")))),"-")</f>
        <v>-</v>
      </c>
      <c r="FY56" s="38" t="str">
        <f>IF(FW56&lt;&gt;"",IF(AND(FW56&gt;='TABEL KONVERSI'!$B$3,'ENTRY DATA'!FW56&lt;='TABEL KONVERSI'!$C$3),1,IF(AND(FW56&gt;='TABEL KONVERSI'!$B$4,'ENTRY DATA'!FW56&lt;='TABEL KONVERSI'!$C$4),2,IF(AND(FW56&gt;='TABEL KONVERSI'!$B$5,'ENTRY DATA'!FW56&lt;='TABEL KONVERSI'!$C$5),3,IF(AND(FW56&gt;='TABEL KONVERSI'!$B$6,'ENTRY DATA'!FW56&lt;='TABEL KONVERSI'!$C$6),4,"")))),"-")</f>
        <v>-</v>
      </c>
      <c r="FZ56" s="38" t="str">
        <f t="shared" si="92"/>
        <v>-</v>
      </c>
      <c r="GA56" s="38" t="str">
        <f>VLOOKUP(FX56,'TABEL KONVERSI'!$A$3:$D$7,4)</f>
        <v>-</v>
      </c>
      <c r="GB56" s="38" t="str">
        <f t="shared" si="93"/>
        <v>-</v>
      </c>
      <c r="GC56" s="38" t="str">
        <f>VLOOKUP(FY56,'TABEL KONVERSI'!$A$3:$D$7,4)</f>
        <v>-</v>
      </c>
      <c r="GD56" s="42"/>
      <c r="GE56" s="37"/>
      <c r="GF56" s="73"/>
      <c r="GG56" s="73"/>
      <c r="GH56" s="38" t="str">
        <f t="shared" si="94"/>
        <v/>
      </c>
      <c r="GI56" s="38" t="str">
        <f t="shared" si="95"/>
        <v/>
      </c>
      <c r="GJ56" s="38" t="str">
        <f>IF(GH56&lt;&gt;"",IF(AND(GH56&gt;='TABEL KONVERSI'!$B$3,'ENTRY DATA'!GH56&lt;='TABEL KONVERSI'!$C$3),1,IF(AND(GH56&gt;='TABEL KONVERSI'!$B$4,'ENTRY DATA'!GH56&lt;='TABEL KONVERSI'!$C$4),2,IF(AND(GH56&gt;='TABEL KONVERSI'!$B$5,'ENTRY DATA'!GH56&lt;='TABEL KONVERSI'!$C$5),3,IF(AND(GH56&gt;='TABEL KONVERSI'!$B$6,'ENTRY DATA'!GH56&lt;='TABEL KONVERSI'!$C$6),4,"")))),"-")</f>
        <v>-</v>
      </c>
      <c r="GK56" s="38" t="str">
        <f>IF(GI56&lt;&gt;"",IF(AND(GI56&gt;='TABEL KONVERSI'!$B$3,'ENTRY DATA'!GI56&lt;='TABEL KONVERSI'!$C$3),1,IF(AND(GI56&gt;='TABEL KONVERSI'!$B$4,'ENTRY DATA'!GI56&lt;='TABEL KONVERSI'!$C$4),2,IF(AND(GI56&gt;='TABEL KONVERSI'!$B$5,'ENTRY DATA'!GI56&lt;='TABEL KONVERSI'!$C$5),3,IF(AND(GI56&gt;='TABEL KONVERSI'!$B$6,'ENTRY DATA'!GI56&lt;='TABEL KONVERSI'!$C$6),4,"")))),"-")</f>
        <v>-</v>
      </c>
      <c r="GL56" s="38" t="str">
        <f t="shared" si="96"/>
        <v>-</v>
      </c>
      <c r="GM56" s="38" t="str">
        <f>VLOOKUP(GJ56,'TABEL KONVERSI'!$A$3:$D$7,4)</f>
        <v>-</v>
      </c>
      <c r="GN56" s="38" t="str">
        <f t="shared" si="97"/>
        <v>-</v>
      </c>
      <c r="GO56" s="38" t="str">
        <f>VLOOKUP(GK56,'TABEL KONVERSI'!$A$3:$D$7,4)</f>
        <v>-</v>
      </c>
      <c r="GP56" s="43">
        <f t="shared" si="108"/>
        <v>0</v>
      </c>
      <c r="GQ56" s="43">
        <f t="shared" si="109"/>
        <v>0</v>
      </c>
      <c r="GR56" s="43">
        <f t="shared" si="110"/>
        <v>0</v>
      </c>
      <c r="GS56" s="43">
        <f t="shared" si="111"/>
        <v>0</v>
      </c>
      <c r="GT56" s="43">
        <f t="shared" si="112"/>
        <v>0</v>
      </c>
      <c r="GU56" s="43">
        <f t="shared" si="113"/>
        <v>0</v>
      </c>
      <c r="GV56" s="43">
        <f t="shared" si="114"/>
        <v>0</v>
      </c>
      <c r="GW56" s="43">
        <f t="shared" si="115"/>
        <v>0</v>
      </c>
      <c r="GX56" s="43">
        <f t="shared" si="116"/>
        <v>0</v>
      </c>
      <c r="GY56" s="43">
        <f t="shared" si="117"/>
        <v>0</v>
      </c>
      <c r="GZ56" s="43">
        <f t="shared" si="118"/>
        <v>0</v>
      </c>
      <c r="HA56" s="43">
        <f t="shared" si="119"/>
        <v>0</v>
      </c>
      <c r="HB56" s="43">
        <f t="shared" si="120"/>
        <v>0</v>
      </c>
      <c r="HC56" s="43">
        <f t="shared" si="121"/>
        <v>0</v>
      </c>
      <c r="HD56" s="43">
        <f t="shared" si="122"/>
        <v>0</v>
      </c>
      <c r="HE56" s="43">
        <f t="shared" si="123"/>
        <v>0</v>
      </c>
      <c r="HF56" s="38">
        <f t="shared" si="98"/>
        <v>0</v>
      </c>
      <c r="HG56" s="38">
        <f t="shared" si="99"/>
        <v>0</v>
      </c>
      <c r="HH56" s="38">
        <f t="shared" si="100"/>
        <v>0</v>
      </c>
      <c r="HI56" s="39">
        <f t="shared" si="101"/>
        <v>0</v>
      </c>
      <c r="HJ56" s="44" t="str">
        <f t="shared" si="102"/>
        <v>-</v>
      </c>
      <c r="HK56" s="45" t="str">
        <f>VLOOKUP(HJ56,'TABEL KONVERSI'!$B$11:$D$15,2,0)</f>
        <v>-</v>
      </c>
      <c r="HL56" s="43">
        <f t="shared" si="124"/>
        <v>0</v>
      </c>
      <c r="HM56" s="43">
        <f t="shared" si="125"/>
        <v>0</v>
      </c>
      <c r="HN56" s="43">
        <f t="shared" si="126"/>
        <v>0</v>
      </c>
      <c r="HO56" s="43">
        <f t="shared" si="127"/>
        <v>0</v>
      </c>
      <c r="HP56" s="43">
        <f t="shared" si="128"/>
        <v>0</v>
      </c>
      <c r="HQ56" s="43">
        <f t="shared" si="129"/>
        <v>0</v>
      </c>
      <c r="HR56" s="43">
        <f t="shared" si="130"/>
        <v>0</v>
      </c>
      <c r="HS56" s="43">
        <f t="shared" si="131"/>
        <v>0</v>
      </c>
      <c r="HT56" s="43">
        <f t="shared" si="132"/>
        <v>0</v>
      </c>
      <c r="HU56" s="43">
        <f t="shared" si="133"/>
        <v>0</v>
      </c>
      <c r="HV56" s="43">
        <f t="shared" si="134"/>
        <v>0</v>
      </c>
      <c r="HW56" s="43">
        <f t="shared" si="135"/>
        <v>0</v>
      </c>
      <c r="HX56" s="43">
        <f t="shared" si="136"/>
        <v>0</v>
      </c>
      <c r="HY56" s="43">
        <f t="shared" si="137"/>
        <v>0</v>
      </c>
      <c r="HZ56" s="43">
        <f t="shared" si="138"/>
        <v>0</v>
      </c>
      <c r="IA56" s="43">
        <f t="shared" si="139"/>
        <v>0</v>
      </c>
      <c r="IB56" s="38">
        <f t="shared" si="103"/>
        <v>0</v>
      </c>
      <c r="IC56" s="38">
        <f t="shared" si="104"/>
        <v>0</v>
      </c>
      <c r="ID56" s="38">
        <f t="shared" si="105"/>
        <v>0</v>
      </c>
      <c r="IE56" s="38">
        <f t="shared" si="106"/>
        <v>0</v>
      </c>
      <c r="IF56" s="46" t="str">
        <f t="shared" si="107"/>
        <v>-</v>
      </c>
      <c r="IG56" s="45" t="str">
        <f>VLOOKUP(IF56,'TABEL KONVERSI'!$B$11:$D$15,3,0)</f>
        <v>-</v>
      </c>
      <c r="IH56" s="40" t="s">
        <v>223</v>
      </c>
      <c r="II56" s="41" t="s">
        <v>106</v>
      </c>
      <c r="IJ56" s="45" t="str">
        <f>IF(II56&lt;&gt;"",VLOOKUP(II56,'TABEL KONVERSI'!$A$19:$B$23,2,0),"")</f>
        <v>Aktif dalam mengikuti kegiatan</v>
      </c>
      <c r="IK56" s="47" t="s">
        <v>58</v>
      </c>
      <c r="IL56" s="50" t="s">
        <v>58</v>
      </c>
      <c r="IM56" s="45" t="str">
        <f>IF(IL56&lt;&gt;"",VLOOKUP(IL56,'TABEL KONVERSI'!$A$19:$B$23,2,0),"")</f>
        <v>-</v>
      </c>
      <c r="IN56" s="49" t="s">
        <v>58</v>
      </c>
      <c r="IO56" s="48" t="s">
        <v>58</v>
      </c>
      <c r="IP56" s="45" t="str">
        <f>IF(IO56&lt;&gt;"",VLOOKUP(IO56,'TABEL KONVERSI'!$A$19:$B$23,2,0),"")</f>
        <v>-</v>
      </c>
      <c r="IQ56" s="49" t="s">
        <v>58</v>
      </c>
      <c r="IR56" s="50" t="s">
        <v>58</v>
      </c>
      <c r="IS56" s="45" t="str">
        <f>IF(IR56&lt;&gt;"",VLOOKUP(IR56,'TABEL KONVERSI'!$A$19:$B$23,2,0),"")</f>
        <v>-</v>
      </c>
      <c r="IT56" s="49" t="s">
        <v>58</v>
      </c>
      <c r="IU56" s="50" t="s">
        <v>58</v>
      </c>
      <c r="IV56" s="45" t="str">
        <f>IF(IU56&lt;&gt;"",VLOOKUP(IU56,'TABEL KONVERSI'!$A$19:$B$23,2,0),"")</f>
        <v>-</v>
      </c>
      <c r="IW56" s="48" t="s">
        <v>58</v>
      </c>
      <c r="IX56" s="48" t="s">
        <v>58</v>
      </c>
      <c r="IY56" s="48" t="s">
        <v>58</v>
      </c>
      <c r="IZ56" s="47" t="s">
        <v>58</v>
      </c>
      <c r="JA56" s="45">
        <f t="shared" si="140"/>
        <v>0</v>
      </c>
      <c r="JB56" s="45">
        <f t="shared" si="141"/>
        <v>1</v>
      </c>
    </row>
    <row r="57" spans="1:262" x14ac:dyDescent="0.25">
      <c r="A57" s="33">
        <v>45</v>
      </c>
      <c r="B57" s="53"/>
      <c r="C57" s="53"/>
      <c r="D57" s="54"/>
      <c r="E57" s="55"/>
      <c r="F57" s="42"/>
      <c r="G57" s="37"/>
      <c r="H57" s="73"/>
      <c r="I57" s="73"/>
      <c r="J57" s="38" t="str">
        <f t="shared" si="34"/>
        <v/>
      </c>
      <c r="K57" s="38" t="str">
        <f t="shared" si="35"/>
        <v/>
      </c>
      <c r="L57" s="38" t="str">
        <f>IF(J57&lt;&gt;"",IF(AND(J57&gt;='TABEL KONVERSI'!$B$3,'ENTRY DATA'!J57&lt;='TABEL KONVERSI'!$C$3),1,IF(AND(J57&gt;='TABEL KONVERSI'!$B$4,'ENTRY DATA'!J57&lt;='TABEL KONVERSI'!$C$4),2,IF(AND(J57&gt;='TABEL KONVERSI'!$B$5,'ENTRY DATA'!J57&lt;='TABEL KONVERSI'!$C$5),3,IF(AND(J57&gt;='TABEL KONVERSI'!$B$6,'ENTRY DATA'!J57&lt;='TABEL KONVERSI'!$C$6),4,"")))),"-")</f>
        <v>-</v>
      </c>
      <c r="M57" s="38" t="str">
        <f>IF(K57&lt;&gt;"",IF(AND(K57&gt;='TABEL KONVERSI'!$B$3,'ENTRY DATA'!K57&lt;='TABEL KONVERSI'!$C$3),1,IF(AND(K57&gt;='TABEL KONVERSI'!$B$4,'ENTRY DATA'!K57&lt;='TABEL KONVERSI'!$C$4),2,IF(AND(K57&gt;='TABEL KONVERSI'!$B$5,'ENTRY DATA'!K57&lt;='TABEL KONVERSI'!$C$5),3,IF(AND(K57&gt;='TABEL KONVERSI'!$B$6,'ENTRY DATA'!K57&lt;='TABEL KONVERSI'!$C$6),4,"")))),"-")</f>
        <v>-</v>
      </c>
      <c r="N57" s="38" t="str">
        <f t="shared" si="36"/>
        <v>-</v>
      </c>
      <c r="O57" s="38" t="str">
        <f>VLOOKUP(L57,'TABEL KONVERSI'!$A$3:$D$7,4)</f>
        <v>-</v>
      </c>
      <c r="P57" s="38" t="str">
        <f t="shared" si="37"/>
        <v>-</v>
      </c>
      <c r="Q57" s="38" t="str">
        <f>VLOOKUP(M57,'TABEL KONVERSI'!$A$3:$D$7,4)</f>
        <v>-</v>
      </c>
      <c r="R57" s="42"/>
      <c r="S57" s="37"/>
      <c r="T57" s="73"/>
      <c r="U57" s="73"/>
      <c r="V57" s="38" t="str">
        <f t="shared" si="38"/>
        <v/>
      </c>
      <c r="W57" s="38" t="str">
        <f t="shared" si="39"/>
        <v/>
      </c>
      <c r="X57" s="38" t="str">
        <f>IF(V57&lt;&gt;"",IF(AND(V57&gt;='TABEL KONVERSI'!$B$3,'ENTRY DATA'!V57&lt;='TABEL KONVERSI'!$C$3),1,IF(AND(V57&gt;='TABEL KONVERSI'!$B$4,'ENTRY DATA'!V57&lt;='TABEL KONVERSI'!$C$4),2,IF(AND(V57&gt;='TABEL KONVERSI'!$B$5,'ENTRY DATA'!V57&lt;='TABEL KONVERSI'!$C$5),3,IF(AND(V57&gt;='TABEL KONVERSI'!$B$6,'ENTRY DATA'!V57&lt;='TABEL KONVERSI'!$C$6),4,"")))),"-")</f>
        <v>-</v>
      </c>
      <c r="Y57" s="38" t="str">
        <f>IF(W57&lt;&gt;"",IF(AND(W57&gt;='TABEL KONVERSI'!$B$3,'ENTRY DATA'!W57&lt;='TABEL KONVERSI'!$C$3),1,IF(AND(W57&gt;='TABEL KONVERSI'!$B$4,'ENTRY DATA'!W57&lt;='TABEL KONVERSI'!$C$4),2,IF(AND(W57&gt;='TABEL KONVERSI'!$B$5,'ENTRY DATA'!W57&lt;='TABEL KONVERSI'!$C$5),3,IF(AND(W57&gt;='TABEL KONVERSI'!$B$6,'ENTRY DATA'!W57&lt;='TABEL KONVERSI'!$C$6),4,"")))),"-")</f>
        <v>-</v>
      </c>
      <c r="Z57" s="38" t="str">
        <f t="shared" si="40"/>
        <v>-</v>
      </c>
      <c r="AA57" s="38" t="str">
        <f>VLOOKUP(X57,'TABEL KONVERSI'!$A$3:$D$7,4)</f>
        <v>-</v>
      </c>
      <c r="AB57" s="38" t="str">
        <f t="shared" si="41"/>
        <v>-</v>
      </c>
      <c r="AC57" s="38" t="str">
        <f>VLOOKUP(Y57,'TABEL KONVERSI'!$A$3:$D$7,4)</f>
        <v>-</v>
      </c>
      <c r="AD57" s="42"/>
      <c r="AE57" s="37"/>
      <c r="AF57" s="73"/>
      <c r="AG57" s="73"/>
      <c r="AH57" s="38" t="str">
        <f t="shared" si="42"/>
        <v/>
      </c>
      <c r="AI57" s="38" t="str">
        <f t="shared" si="43"/>
        <v/>
      </c>
      <c r="AJ57" s="38" t="str">
        <f>IF(AH57&lt;&gt;"",IF(AND(AH57&gt;='TABEL KONVERSI'!$B$3,'ENTRY DATA'!AH57&lt;='TABEL KONVERSI'!$C$3),1,IF(AND(AH57&gt;='TABEL KONVERSI'!$B$4,'ENTRY DATA'!AH57&lt;='TABEL KONVERSI'!$C$4),2,IF(AND(AH57&gt;='TABEL KONVERSI'!$B$5,'ENTRY DATA'!AH57&lt;='TABEL KONVERSI'!$C$5),3,IF(AND(AH57&gt;='TABEL KONVERSI'!$B$6,'ENTRY DATA'!AH57&lt;='TABEL KONVERSI'!$C$6),4,"")))),"-")</f>
        <v>-</v>
      </c>
      <c r="AK57" s="38" t="str">
        <f>IF(AI57&lt;&gt;"",IF(AND(AI57&gt;='TABEL KONVERSI'!$B$3,'ENTRY DATA'!AI57&lt;='TABEL KONVERSI'!$C$3),1,IF(AND(AI57&gt;='TABEL KONVERSI'!$B$4,'ENTRY DATA'!AI57&lt;='TABEL KONVERSI'!$C$4),2,IF(AND(AI57&gt;='TABEL KONVERSI'!$B$5,'ENTRY DATA'!AI57&lt;='TABEL KONVERSI'!$C$5),3,IF(AND(AI57&gt;='TABEL KONVERSI'!$B$6,'ENTRY DATA'!AI57&lt;='TABEL KONVERSI'!$C$6),4,"")))),"-")</f>
        <v>-</v>
      </c>
      <c r="AL57" s="38" t="str">
        <f t="shared" si="44"/>
        <v>-</v>
      </c>
      <c r="AM57" s="38" t="str">
        <f>VLOOKUP(AJ57,'TABEL KONVERSI'!$A$3:$D$7,4)</f>
        <v>-</v>
      </c>
      <c r="AN57" s="38" t="str">
        <f t="shared" si="45"/>
        <v>-</v>
      </c>
      <c r="AO57" s="38" t="str">
        <f>VLOOKUP(AK57,'TABEL KONVERSI'!$A$3:$D$7,4)</f>
        <v>-</v>
      </c>
      <c r="AP57" s="42"/>
      <c r="AQ57" s="37"/>
      <c r="AR57" s="73"/>
      <c r="AS57" s="73"/>
      <c r="AT57" s="38" t="str">
        <f t="shared" si="46"/>
        <v/>
      </c>
      <c r="AU57" s="38" t="str">
        <f t="shared" si="47"/>
        <v/>
      </c>
      <c r="AV57" s="38" t="str">
        <f>IF(AT57&lt;&gt;"",IF(AND(AT57&gt;='TABEL KONVERSI'!$B$3,'ENTRY DATA'!AT57&lt;='TABEL KONVERSI'!$C$3),1,IF(AND(AT57&gt;='TABEL KONVERSI'!$B$4,'ENTRY DATA'!AT57&lt;='TABEL KONVERSI'!$C$4),2,IF(AND(AT57&gt;='TABEL KONVERSI'!$B$5,'ENTRY DATA'!AT57&lt;='TABEL KONVERSI'!$C$5),3,IF(AND(AT57&gt;='TABEL KONVERSI'!$B$6,'ENTRY DATA'!AT57&lt;='TABEL KONVERSI'!$C$6),4,"")))),"-")</f>
        <v>-</v>
      </c>
      <c r="AW57" s="38" t="str">
        <f>IF(AU57&lt;&gt;"",IF(AND(AU57&gt;='TABEL KONVERSI'!$B$3,'ENTRY DATA'!AU57&lt;='TABEL KONVERSI'!$C$3),1,IF(AND(AU57&gt;='TABEL KONVERSI'!$B$4,'ENTRY DATA'!AU57&lt;='TABEL KONVERSI'!$C$4),2,IF(AND(AU57&gt;='TABEL KONVERSI'!$B$5,'ENTRY DATA'!AU57&lt;='TABEL KONVERSI'!$C$5),3,IF(AND(AU57&gt;='TABEL KONVERSI'!$B$6,'ENTRY DATA'!AU57&lt;='TABEL KONVERSI'!$C$6),4,"")))),"-")</f>
        <v>-</v>
      </c>
      <c r="AX57" s="38" t="str">
        <f t="shared" si="48"/>
        <v>-</v>
      </c>
      <c r="AY57" s="38" t="str">
        <f>VLOOKUP(AV57,'TABEL KONVERSI'!$A$3:$D$7,4)</f>
        <v>-</v>
      </c>
      <c r="AZ57" s="38" t="str">
        <f t="shared" si="49"/>
        <v>-</v>
      </c>
      <c r="BA57" s="38" t="str">
        <f>VLOOKUP(AW57,'TABEL KONVERSI'!$A$3:$D$7,4)</f>
        <v>-</v>
      </c>
      <c r="BB57" s="42"/>
      <c r="BC57" s="37"/>
      <c r="BD57" s="73"/>
      <c r="BE57" s="73"/>
      <c r="BF57" s="38" t="str">
        <f t="shared" si="50"/>
        <v/>
      </c>
      <c r="BG57" s="38" t="str">
        <f t="shared" si="51"/>
        <v/>
      </c>
      <c r="BH57" s="38" t="str">
        <f>IF(BF57&lt;&gt;"",IF(AND(BF57&gt;='TABEL KONVERSI'!$B$3,'ENTRY DATA'!BF57&lt;='TABEL KONVERSI'!$C$3),1,IF(AND(BF57&gt;='TABEL KONVERSI'!$B$4,'ENTRY DATA'!BF57&lt;='TABEL KONVERSI'!$C$4),2,IF(AND(BF57&gt;='TABEL KONVERSI'!$B$5,'ENTRY DATA'!BF57&lt;='TABEL KONVERSI'!$C$5),3,IF(AND(BF57&gt;='TABEL KONVERSI'!$B$6,'ENTRY DATA'!BF57&lt;='TABEL KONVERSI'!$C$6),4,"")))),"-")</f>
        <v>-</v>
      </c>
      <c r="BI57" s="38" t="str">
        <f>IF(BG57&lt;&gt;"",IF(AND(BG57&gt;='TABEL KONVERSI'!$B$3,'ENTRY DATA'!BG57&lt;='TABEL KONVERSI'!$C$3),1,IF(AND(BG57&gt;='TABEL KONVERSI'!$B$4,'ENTRY DATA'!BG57&lt;='TABEL KONVERSI'!$C$4),2,IF(AND(BG57&gt;='TABEL KONVERSI'!$B$5,'ENTRY DATA'!BG57&lt;='TABEL KONVERSI'!$C$5),3,IF(AND(BG57&gt;='TABEL KONVERSI'!$B$6,'ENTRY DATA'!BG57&lt;='TABEL KONVERSI'!$C$6),4,"")))),"-")</f>
        <v>-</v>
      </c>
      <c r="BJ57" s="38" t="str">
        <f t="shared" si="52"/>
        <v>-</v>
      </c>
      <c r="BK57" s="38" t="str">
        <f>VLOOKUP(BH57,'TABEL KONVERSI'!$A$3:$D$7,4)</f>
        <v>-</v>
      </c>
      <c r="BL57" s="38" t="str">
        <f t="shared" si="53"/>
        <v>-</v>
      </c>
      <c r="BM57" s="38" t="str">
        <f>VLOOKUP(BI57,'TABEL KONVERSI'!$A$3:$D$7,4)</f>
        <v>-</v>
      </c>
      <c r="BN57" s="42"/>
      <c r="BO57" s="37"/>
      <c r="BP57" s="73"/>
      <c r="BQ57" s="73"/>
      <c r="BR57" s="38" t="str">
        <f t="shared" si="54"/>
        <v/>
      </c>
      <c r="BS57" s="38" t="str">
        <f t="shared" si="55"/>
        <v/>
      </c>
      <c r="BT57" s="38" t="str">
        <f>IF(BR57&lt;&gt;"",IF(AND(BR57&gt;='TABEL KONVERSI'!$B$3,'ENTRY DATA'!BR57&lt;='TABEL KONVERSI'!$C$3),1,IF(AND(BR57&gt;='TABEL KONVERSI'!$B$4,'ENTRY DATA'!BR57&lt;='TABEL KONVERSI'!$C$4),2,IF(AND(BR57&gt;='TABEL KONVERSI'!$B$5,'ENTRY DATA'!BR57&lt;='TABEL KONVERSI'!$C$5),3,IF(AND(BR57&gt;='TABEL KONVERSI'!$B$6,'ENTRY DATA'!BR57&lt;='TABEL KONVERSI'!$C$6),4,"")))),"-")</f>
        <v>-</v>
      </c>
      <c r="BU57" s="38" t="str">
        <f>IF(BS57&lt;&gt;"",IF(AND(BS57&gt;='TABEL KONVERSI'!$B$3,'ENTRY DATA'!BS57&lt;='TABEL KONVERSI'!$C$3),1,IF(AND(BS57&gt;='TABEL KONVERSI'!$B$4,'ENTRY DATA'!BS57&lt;='TABEL KONVERSI'!$C$4),2,IF(AND(BS57&gt;='TABEL KONVERSI'!$B$5,'ENTRY DATA'!BS57&lt;='TABEL KONVERSI'!$C$5),3,IF(AND(BS57&gt;='TABEL KONVERSI'!$B$6,'ENTRY DATA'!BS57&lt;='TABEL KONVERSI'!$C$6),4,"")))),"-")</f>
        <v>-</v>
      </c>
      <c r="BV57" s="38" t="str">
        <f t="shared" si="56"/>
        <v>-</v>
      </c>
      <c r="BW57" s="38" t="str">
        <f>VLOOKUP(BT57,'TABEL KONVERSI'!$A$3:$D$7,4)</f>
        <v>-</v>
      </c>
      <c r="BX57" s="38" t="str">
        <f t="shared" si="57"/>
        <v>-</v>
      </c>
      <c r="BY57" s="38" t="str">
        <f>VLOOKUP(BU57,'TABEL KONVERSI'!$A$3:$D$7,4)</f>
        <v>-</v>
      </c>
      <c r="BZ57" s="42"/>
      <c r="CA57" s="37"/>
      <c r="CB57" s="73"/>
      <c r="CC57" s="73"/>
      <c r="CD57" s="38" t="str">
        <f t="shared" si="58"/>
        <v/>
      </c>
      <c r="CE57" s="38" t="str">
        <f t="shared" si="59"/>
        <v/>
      </c>
      <c r="CF57" s="38" t="str">
        <f>IF(CD57&lt;&gt;"",IF(AND(CD57&gt;='TABEL KONVERSI'!$B$3,'ENTRY DATA'!CD57&lt;='TABEL KONVERSI'!$C$3),1,IF(AND(CD57&gt;='TABEL KONVERSI'!$B$4,'ENTRY DATA'!CD57&lt;='TABEL KONVERSI'!$C$4),2,IF(AND(CD57&gt;='TABEL KONVERSI'!$B$5,'ENTRY DATA'!CD57&lt;='TABEL KONVERSI'!$C$5),3,IF(AND(CD57&gt;='TABEL KONVERSI'!$B$6,'ENTRY DATA'!CD57&lt;='TABEL KONVERSI'!$C$6),4,"")))),"-")</f>
        <v>-</v>
      </c>
      <c r="CG57" s="38" t="str">
        <f>IF(CE57&lt;&gt;"",IF(AND(CE57&gt;='TABEL KONVERSI'!$B$3,'ENTRY DATA'!CE57&lt;='TABEL KONVERSI'!$C$3),1,IF(AND(CE57&gt;='TABEL KONVERSI'!$B$4,'ENTRY DATA'!CE57&lt;='TABEL KONVERSI'!$C$4),2,IF(AND(CE57&gt;='TABEL KONVERSI'!$B$5,'ENTRY DATA'!CE57&lt;='TABEL KONVERSI'!$C$5),3,IF(AND(CE57&gt;='TABEL KONVERSI'!$B$6,'ENTRY DATA'!CE57&lt;='TABEL KONVERSI'!$C$6),4,"")))),"-")</f>
        <v>-</v>
      </c>
      <c r="CH57" s="38" t="str">
        <f t="shared" si="60"/>
        <v>-</v>
      </c>
      <c r="CI57" s="38" t="str">
        <f>VLOOKUP(CF57,'TABEL KONVERSI'!$A$3:$D$7,4)</f>
        <v>-</v>
      </c>
      <c r="CJ57" s="38" t="str">
        <f t="shared" si="61"/>
        <v>-</v>
      </c>
      <c r="CK57" s="38" t="str">
        <f>VLOOKUP(CG57,'TABEL KONVERSI'!$A$3:$D$7,4)</f>
        <v>-</v>
      </c>
      <c r="CL57" s="42"/>
      <c r="CM57" s="37"/>
      <c r="CN57" s="73"/>
      <c r="CO57" s="73"/>
      <c r="CP57" s="38" t="str">
        <f t="shared" si="62"/>
        <v/>
      </c>
      <c r="CQ57" s="38" t="str">
        <f t="shared" si="63"/>
        <v/>
      </c>
      <c r="CR57" s="38" t="str">
        <f>IF(CP57&lt;&gt;"",IF(AND(CP57&gt;='TABEL KONVERSI'!$B$3,'ENTRY DATA'!CP57&lt;='TABEL KONVERSI'!$C$3),1,IF(AND(CP57&gt;='TABEL KONVERSI'!$B$4,'ENTRY DATA'!CP57&lt;='TABEL KONVERSI'!$C$4),2,IF(AND(CP57&gt;='TABEL KONVERSI'!$B$5,'ENTRY DATA'!CP57&lt;='TABEL KONVERSI'!$C$5),3,IF(AND(CP57&gt;='TABEL KONVERSI'!$B$6,'ENTRY DATA'!CP57&lt;='TABEL KONVERSI'!$C$6),4,"")))),"-")</f>
        <v>-</v>
      </c>
      <c r="CS57" s="38" t="str">
        <f>IF(CQ57&lt;&gt;"",IF(AND(CQ57&gt;='TABEL KONVERSI'!$B$3,'ENTRY DATA'!CQ57&lt;='TABEL KONVERSI'!$C$3),1,IF(AND(CQ57&gt;='TABEL KONVERSI'!$B$4,'ENTRY DATA'!CQ57&lt;='TABEL KONVERSI'!$C$4),2,IF(AND(CQ57&gt;='TABEL KONVERSI'!$B$5,'ENTRY DATA'!CQ57&lt;='TABEL KONVERSI'!$C$5),3,IF(AND(CQ57&gt;='TABEL KONVERSI'!$B$6,'ENTRY DATA'!CQ57&lt;='TABEL KONVERSI'!$C$6),4,"")))),"-")</f>
        <v>-</v>
      </c>
      <c r="CT57" s="38" t="str">
        <f t="shared" si="64"/>
        <v>-</v>
      </c>
      <c r="CU57" s="38" t="str">
        <f>VLOOKUP(CR57,'TABEL KONVERSI'!$A$3:$D$7,4)</f>
        <v>-</v>
      </c>
      <c r="CV57" s="38" t="str">
        <f t="shared" si="65"/>
        <v>-</v>
      </c>
      <c r="CW57" s="38" t="str">
        <f>VLOOKUP(CS57,'TABEL KONVERSI'!$A$3:$D$7,4)</f>
        <v>-</v>
      </c>
      <c r="CX57" s="42"/>
      <c r="CY57" s="37"/>
      <c r="CZ57" s="73"/>
      <c r="DA57" s="73"/>
      <c r="DB57" s="38" t="str">
        <f t="shared" si="66"/>
        <v/>
      </c>
      <c r="DC57" s="38" t="str">
        <f t="shared" si="67"/>
        <v/>
      </c>
      <c r="DD57" s="38" t="str">
        <f>IF(DB57&lt;&gt;"",IF(AND(DB57&gt;='TABEL KONVERSI'!$B$3,'ENTRY DATA'!DB57&lt;='TABEL KONVERSI'!$C$3),1,IF(AND(DB57&gt;='TABEL KONVERSI'!$B$4,'ENTRY DATA'!DB57&lt;='TABEL KONVERSI'!$C$4),2,IF(AND(DB57&gt;='TABEL KONVERSI'!$B$5,'ENTRY DATA'!DB57&lt;='TABEL KONVERSI'!$C$5),3,IF(AND(DB57&gt;='TABEL KONVERSI'!$B$6,'ENTRY DATA'!DB57&lt;='TABEL KONVERSI'!$C$6),4,"")))),"-")</f>
        <v>-</v>
      </c>
      <c r="DE57" s="38" t="str">
        <f>IF(DC57&lt;&gt;"",IF(AND(DC57&gt;='TABEL KONVERSI'!$B$3,'ENTRY DATA'!DC57&lt;='TABEL KONVERSI'!$C$3),1,IF(AND(DC57&gt;='TABEL KONVERSI'!$B$4,'ENTRY DATA'!DC57&lt;='TABEL KONVERSI'!$C$4),2,IF(AND(DC57&gt;='TABEL KONVERSI'!$B$5,'ENTRY DATA'!DC57&lt;='TABEL KONVERSI'!$C$5),3,IF(AND(DC57&gt;='TABEL KONVERSI'!$B$6,'ENTRY DATA'!DC57&lt;='TABEL KONVERSI'!$C$6),4,"")))),"-")</f>
        <v>-</v>
      </c>
      <c r="DF57" s="38" t="str">
        <f t="shared" si="68"/>
        <v>-</v>
      </c>
      <c r="DG57" s="38" t="str">
        <f>VLOOKUP(DD57,'TABEL KONVERSI'!$A$3:$D$7,4)</f>
        <v>-</v>
      </c>
      <c r="DH57" s="38" t="str">
        <f t="shared" si="69"/>
        <v>-</v>
      </c>
      <c r="DI57" s="38" t="str">
        <f>VLOOKUP(DE57,'TABEL KONVERSI'!$A$3:$D$7,4)</f>
        <v>-</v>
      </c>
      <c r="DJ57" s="42"/>
      <c r="DK57" s="37"/>
      <c r="DL57" s="73"/>
      <c r="DM57" s="73"/>
      <c r="DN57" s="38" t="str">
        <f t="shared" si="70"/>
        <v/>
      </c>
      <c r="DO57" s="38" t="str">
        <f t="shared" si="71"/>
        <v/>
      </c>
      <c r="DP57" s="38" t="str">
        <f>IF(DN57&lt;&gt;"",IF(AND(DN57&gt;='TABEL KONVERSI'!$B$3,'ENTRY DATA'!DN57&lt;='TABEL KONVERSI'!$C$3),1,IF(AND(DN57&gt;='TABEL KONVERSI'!$B$4,'ENTRY DATA'!DN57&lt;='TABEL KONVERSI'!$C$4),2,IF(AND(DN57&gt;='TABEL KONVERSI'!$B$5,'ENTRY DATA'!DN57&lt;='TABEL KONVERSI'!$C$5),3,IF(AND(DN57&gt;='TABEL KONVERSI'!$B$6,'ENTRY DATA'!DN57&lt;='TABEL KONVERSI'!$C$6),4,"")))),"-")</f>
        <v>-</v>
      </c>
      <c r="DQ57" s="38" t="str">
        <f>IF(DO57&lt;&gt;"",IF(AND(DO57&gt;='TABEL KONVERSI'!$B$3,'ENTRY DATA'!DO57&lt;='TABEL KONVERSI'!$C$3),1,IF(AND(DO57&gt;='TABEL KONVERSI'!$B$4,'ENTRY DATA'!DO57&lt;='TABEL KONVERSI'!$C$4),2,IF(AND(DO57&gt;='TABEL KONVERSI'!$B$5,'ENTRY DATA'!DO57&lt;='TABEL KONVERSI'!$C$5),3,IF(AND(DO57&gt;='TABEL KONVERSI'!$B$6,'ENTRY DATA'!DO57&lt;='TABEL KONVERSI'!$C$6),4,"")))),"-")</f>
        <v>-</v>
      </c>
      <c r="DR57" s="38" t="str">
        <f t="shared" si="72"/>
        <v>-</v>
      </c>
      <c r="DS57" s="38" t="str">
        <f>VLOOKUP(DP57,'TABEL KONVERSI'!$A$3:$D$7,4)</f>
        <v>-</v>
      </c>
      <c r="DT57" s="38" t="str">
        <f t="shared" si="73"/>
        <v>-</v>
      </c>
      <c r="DU57" s="38" t="str">
        <f>VLOOKUP(DQ57,'TABEL KONVERSI'!$A$3:$D$7,4)</f>
        <v>-</v>
      </c>
      <c r="DV57" s="42"/>
      <c r="DW57" s="37"/>
      <c r="DX57" s="73"/>
      <c r="DY57" s="73"/>
      <c r="DZ57" s="38" t="str">
        <f t="shared" si="74"/>
        <v/>
      </c>
      <c r="EA57" s="38" t="str">
        <f t="shared" si="75"/>
        <v/>
      </c>
      <c r="EB57" s="38" t="str">
        <f>IF(DZ57&lt;&gt;"",IF(AND(DZ57&gt;='TABEL KONVERSI'!$B$3,'ENTRY DATA'!DZ57&lt;='TABEL KONVERSI'!$C$3),1,IF(AND(DZ57&gt;='TABEL KONVERSI'!$B$4,'ENTRY DATA'!DZ57&lt;='TABEL KONVERSI'!$C$4),2,IF(AND(DZ57&gt;='TABEL KONVERSI'!$B$5,'ENTRY DATA'!DZ57&lt;='TABEL KONVERSI'!$C$5),3,IF(AND(DZ57&gt;='TABEL KONVERSI'!$B$6,'ENTRY DATA'!DZ57&lt;='TABEL KONVERSI'!$C$6),4,"")))),"-")</f>
        <v>-</v>
      </c>
      <c r="EC57" s="38" t="str">
        <f>IF(EA57&lt;&gt;"",IF(AND(EA57&gt;='TABEL KONVERSI'!$B$3,'ENTRY DATA'!EA57&lt;='TABEL KONVERSI'!$C$3),1,IF(AND(EA57&gt;='TABEL KONVERSI'!$B$4,'ENTRY DATA'!EA57&lt;='TABEL KONVERSI'!$C$4),2,IF(AND(EA57&gt;='TABEL KONVERSI'!$B$5,'ENTRY DATA'!EA57&lt;='TABEL KONVERSI'!$C$5),3,IF(AND(EA57&gt;='TABEL KONVERSI'!$B$6,'ENTRY DATA'!EA57&lt;='TABEL KONVERSI'!$C$6),4,"")))),"-")</f>
        <v>-</v>
      </c>
      <c r="ED57" s="38" t="str">
        <f t="shared" si="76"/>
        <v>-</v>
      </c>
      <c r="EE57" s="38" t="str">
        <f>VLOOKUP(EB57,'TABEL KONVERSI'!$A$3:$D$7,4)</f>
        <v>-</v>
      </c>
      <c r="EF57" s="38" t="str">
        <f t="shared" si="77"/>
        <v>-</v>
      </c>
      <c r="EG57" s="38" t="str">
        <f>VLOOKUP(EC57,'TABEL KONVERSI'!$A$3:$D$7,4)</f>
        <v>-</v>
      </c>
      <c r="EH57" s="42"/>
      <c r="EI57" s="37"/>
      <c r="EJ57" s="73"/>
      <c r="EK57" s="73"/>
      <c r="EL57" s="38" t="str">
        <f t="shared" si="78"/>
        <v/>
      </c>
      <c r="EM57" s="38" t="str">
        <f t="shared" si="79"/>
        <v/>
      </c>
      <c r="EN57" s="38" t="str">
        <f>IF(EL57&lt;&gt;"",IF(AND(EL57&gt;='TABEL KONVERSI'!$B$3,'ENTRY DATA'!EL57&lt;='TABEL KONVERSI'!$C$3),1,IF(AND(EL57&gt;='TABEL KONVERSI'!$B$4,'ENTRY DATA'!EL57&lt;='TABEL KONVERSI'!$C$4),2,IF(AND(EL57&gt;='TABEL KONVERSI'!$B$5,'ENTRY DATA'!EL57&lt;='TABEL KONVERSI'!$C$5),3,IF(AND(EL57&gt;='TABEL KONVERSI'!$B$6,'ENTRY DATA'!EL57&lt;='TABEL KONVERSI'!$C$6),4,"")))),"-")</f>
        <v>-</v>
      </c>
      <c r="EO57" s="38" t="str">
        <f>IF(EM57&lt;&gt;"",IF(AND(EM57&gt;='TABEL KONVERSI'!$B$3,'ENTRY DATA'!EM57&lt;='TABEL KONVERSI'!$C$3),1,IF(AND(EM57&gt;='TABEL KONVERSI'!$B$4,'ENTRY DATA'!EM57&lt;='TABEL KONVERSI'!$C$4),2,IF(AND(EM57&gt;='TABEL KONVERSI'!$B$5,'ENTRY DATA'!EM57&lt;='TABEL KONVERSI'!$C$5),3,IF(AND(EM57&gt;='TABEL KONVERSI'!$B$6,'ENTRY DATA'!EM57&lt;='TABEL KONVERSI'!$C$6),4,"")))),"-")</f>
        <v>-</v>
      </c>
      <c r="EP57" s="38" t="str">
        <f t="shared" si="80"/>
        <v>-</v>
      </c>
      <c r="EQ57" s="38" t="str">
        <f>VLOOKUP(EN57,'TABEL KONVERSI'!$A$3:$D$7,4)</f>
        <v>-</v>
      </c>
      <c r="ER57" s="38" t="str">
        <f t="shared" si="81"/>
        <v>-</v>
      </c>
      <c r="ES57" s="38" t="str">
        <f>VLOOKUP(EO57,'TABEL KONVERSI'!$A$3:$D$7,4)</f>
        <v>-</v>
      </c>
      <c r="ET57" s="42"/>
      <c r="EU57" s="37"/>
      <c r="EV57" s="73"/>
      <c r="EW57" s="73"/>
      <c r="EX57" s="38" t="str">
        <f t="shared" si="82"/>
        <v/>
      </c>
      <c r="EY57" s="38" t="str">
        <f t="shared" si="83"/>
        <v/>
      </c>
      <c r="EZ57" s="38" t="str">
        <f>IF(EX57&lt;&gt;"",IF(AND(EX57&gt;='TABEL KONVERSI'!$B$3,'ENTRY DATA'!EX57&lt;='TABEL KONVERSI'!$C$3),1,IF(AND(EX57&gt;='TABEL KONVERSI'!$B$4,'ENTRY DATA'!EX57&lt;='TABEL KONVERSI'!$C$4),2,IF(AND(EX57&gt;='TABEL KONVERSI'!$B$5,'ENTRY DATA'!EX57&lt;='TABEL KONVERSI'!$C$5),3,IF(AND(EX57&gt;='TABEL KONVERSI'!$B$6,'ENTRY DATA'!EX57&lt;='TABEL KONVERSI'!$C$6),4,"")))),"-")</f>
        <v>-</v>
      </c>
      <c r="FA57" s="38" t="str">
        <f>IF(EY57&lt;&gt;"",IF(AND(EY57&gt;='TABEL KONVERSI'!$B$3,'ENTRY DATA'!EY57&lt;='TABEL KONVERSI'!$C$3),1,IF(AND(EY57&gt;='TABEL KONVERSI'!$B$4,'ENTRY DATA'!EY57&lt;='TABEL KONVERSI'!$C$4),2,IF(AND(EY57&gt;='TABEL KONVERSI'!$B$5,'ENTRY DATA'!EY57&lt;='TABEL KONVERSI'!$C$5),3,IF(AND(EY57&gt;='TABEL KONVERSI'!$B$6,'ENTRY DATA'!EY57&lt;='TABEL KONVERSI'!$C$6),4,"")))),"-")</f>
        <v>-</v>
      </c>
      <c r="FB57" s="38" t="str">
        <f t="shared" si="84"/>
        <v>-</v>
      </c>
      <c r="FC57" s="38" t="str">
        <f>VLOOKUP(EZ57,'TABEL KONVERSI'!$A$3:$D$7,4)</f>
        <v>-</v>
      </c>
      <c r="FD57" s="38" t="str">
        <f t="shared" si="85"/>
        <v>-</v>
      </c>
      <c r="FE57" s="38" t="str">
        <f>VLOOKUP(FA57,'TABEL KONVERSI'!$A$3:$D$7,4)</f>
        <v>-</v>
      </c>
      <c r="FF57" s="42"/>
      <c r="FG57" s="37"/>
      <c r="FH57" s="73"/>
      <c r="FI57" s="73"/>
      <c r="FJ57" s="38" t="str">
        <f t="shared" si="86"/>
        <v/>
      </c>
      <c r="FK57" s="38" t="str">
        <f t="shared" si="87"/>
        <v/>
      </c>
      <c r="FL57" s="38" t="str">
        <f>IF(FJ57&lt;&gt;"",IF(AND(FJ57&gt;='TABEL KONVERSI'!$B$3,'ENTRY DATA'!FJ57&lt;='TABEL KONVERSI'!$C$3),1,IF(AND(FJ57&gt;='TABEL KONVERSI'!$B$4,'ENTRY DATA'!FJ57&lt;='TABEL KONVERSI'!$C$4),2,IF(AND(FJ57&gt;='TABEL KONVERSI'!$B$5,'ENTRY DATA'!FJ57&lt;='TABEL KONVERSI'!$C$5),3,IF(AND(FJ57&gt;='TABEL KONVERSI'!$B$6,'ENTRY DATA'!FJ57&lt;='TABEL KONVERSI'!$C$6),4,"")))),"-")</f>
        <v>-</v>
      </c>
      <c r="FM57" s="38" t="str">
        <f>IF(FK57&lt;&gt;"",IF(AND(FK57&gt;='TABEL KONVERSI'!$B$3,'ENTRY DATA'!FK57&lt;='TABEL KONVERSI'!$C$3),1,IF(AND(FK57&gt;='TABEL KONVERSI'!$B$4,'ENTRY DATA'!FK57&lt;='TABEL KONVERSI'!$C$4),2,IF(AND(FK57&gt;='TABEL KONVERSI'!$B$5,'ENTRY DATA'!FK57&lt;='TABEL KONVERSI'!$C$5),3,IF(AND(FK57&gt;='TABEL KONVERSI'!$B$6,'ENTRY DATA'!FK57&lt;='TABEL KONVERSI'!$C$6),4,"")))),"-")</f>
        <v>-</v>
      </c>
      <c r="FN57" s="38" t="str">
        <f t="shared" si="88"/>
        <v>-</v>
      </c>
      <c r="FO57" s="38" t="str">
        <f>VLOOKUP(FL57,'TABEL KONVERSI'!$A$3:$D$7,4)</f>
        <v>-</v>
      </c>
      <c r="FP57" s="38" t="str">
        <f t="shared" si="89"/>
        <v>-</v>
      </c>
      <c r="FQ57" s="38" t="str">
        <f>VLOOKUP(FM57,'TABEL KONVERSI'!$A$3:$D$7,4)</f>
        <v>-</v>
      </c>
      <c r="FR57" s="42"/>
      <c r="FS57" s="37"/>
      <c r="FT57" s="73"/>
      <c r="FU57" s="73"/>
      <c r="FV57" s="38" t="str">
        <f t="shared" si="90"/>
        <v/>
      </c>
      <c r="FW57" s="38" t="str">
        <f t="shared" si="91"/>
        <v/>
      </c>
      <c r="FX57" s="38" t="str">
        <f>IF(FV57&lt;&gt;"",IF(AND(FV57&gt;='TABEL KONVERSI'!$B$3,'ENTRY DATA'!FV57&lt;='TABEL KONVERSI'!$C$3),1,IF(AND(FV57&gt;='TABEL KONVERSI'!$B$4,'ENTRY DATA'!FV57&lt;='TABEL KONVERSI'!$C$4),2,IF(AND(FV57&gt;='TABEL KONVERSI'!$B$5,'ENTRY DATA'!FV57&lt;='TABEL KONVERSI'!$C$5),3,IF(AND(FV57&gt;='TABEL KONVERSI'!$B$6,'ENTRY DATA'!FV57&lt;='TABEL KONVERSI'!$C$6),4,"")))),"-")</f>
        <v>-</v>
      </c>
      <c r="FY57" s="38" t="str">
        <f>IF(FW57&lt;&gt;"",IF(AND(FW57&gt;='TABEL KONVERSI'!$B$3,'ENTRY DATA'!FW57&lt;='TABEL KONVERSI'!$C$3),1,IF(AND(FW57&gt;='TABEL KONVERSI'!$B$4,'ENTRY DATA'!FW57&lt;='TABEL KONVERSI'!$C$4),2,IF(AND(FW57&gt;='TABEL KONVERSI'!$B$5,'ENTRY DATA'!FW57&lt;='TABEL KONVERSI'!$C$5),3,IF(AND(FW57&gt;='TABEL KONVERSI'!$B$6,'ENTRY DATA'!FW57&lt;='TABEL KONVERSI'!$C$6),4,"")))),"-")</f>
        <v>-</v>
      </c>
      <c r="FZ57" s="38" t="str">
        <f t="shared" si="92"/>
        <v>-</v>
      </c>
      <c r="GA57" s="38" t="str">
        <f>VLOOKUP(FX57,'TABEL KONVERSI'!$A$3:$D$7,4)</f>
        <v>-</v>
      </c>
      <c r="GB57" s="38" t="str">
        <f t="shared" si="93"/>
        <v>-</v>
      </c>
      <c r="GC57" s="38" t="str">
        <f>VLOOKUP(FY57,'TABEL KONVERSI'!$A$3:$D$7,4)</f>
        <v>-</v>
      </c>
      <c r="GD57" s="42"/>
      <c r="GE57" s="37"/>
      <c r="GF57" s="73"/>
      <c r="GG57" s="73"/>
      <c r="GH57" s="38" t="str">
        <f t="shared" si="94"/>
        <v/>
      </c>
      <c r="GI57" s="38" t="str">
        <f t="shared" si="95"/>
        <v/>
      </c>
      <c r="GJ57" s="38" t="str">
        <f>IF(GH57&lt;&gt;"",IF(AND(GH57&gt;='TABEL KONVERSI'!$B$3,'ENTRY DATA'!GH57&lt;='TABEL KONVERSI'!$C$3),1,IF(AND(GH57&gt;='TABEL KONVERSI'!$B$4,'ENTRY DATA'!GH57&lt;='TABEL KONVERSI'!$C$4),2,IF(AND(GH57&gt;='TABEL KONVERSI'!$B$5,'ENTRY DATA'!GH57&lt;='TABEL KONVERSI'!$C$5),3,IF(AND(GH57&gt;='TABEL KONVERSI'!$B$6,'ENTRY DATA'!GH57&lt;='TABEL KONVERSI'!$C$6),4,"")))),"-")</f>
        <v>-</v>
      </c>
      <c r="GK57" s="38" t="str">
        <f>IF(GI57&lt;&gt;"",IF(AND(GI57&gt;='TABEL KONVERSI'!$B$3,'ENTRY DATA'!GI57&lt;='TABEL KONVERSI'!$C$3),1,IF(AND(GI57&gt;='TABEL KONVERSI'!$B$4,'ENTRY DATA'!GI57&lt;='TABEL KONVERSI'!$C$4),2,IF(AND(GI57&gt;='TABEL KONVERSI'!$B$5,'ENTRY DATA'!GI57&lt;='TABEL KONVERSI'!$C$5),3,IF(AND(GI57&gt;='TABEL KONVERSI'!$B$6,'ENTRY DATA'!GI57&lt;='TABEL KONVERSI'!$C$6),4,"")))),"-")</f>
        <v>-</v>
      </c>
      <c r="GL57" s="38" t="str">
        <f t="shared" si="96"/>
        <v>-</v>
      </c>
      <c r="GM57" s="38" t="str">
        <f>VLOOKUP(GJ57,'TABEL KONVERSI'!$A$3:$D$7,4)</f>
        <v>-</v>
      </c>
      <c r="GN57" s="38" t="str">
        <f t="shared" si="97"/>
        <v>-</v>
      </c>
      <c r="GO57" s="38" t="str">
        <f>VLOOKUP(GK57,'TABEL KONVERSI'!$A$3:$D$7,4)</f>
        <v>-</v>
      </c>
      <c r="GP57" s="43">
        <f t="shared" si="108"/>
        <v>0</v>
      </c>
      <c r="GQ57" s="43">
        <f t="shared" si="109"/>
        <v>0</v>
      </c>
      <c r="GR57" s="43">
        <f t="shared" si="110"/>
        <v>0</v>
      </c>
      <c r="GS57" s="43">
        <f t="shared" si="111"/>
        <v>0</v>
      </c>
      <c r="GT57" s="43">
        <f t="shared" si="112"/>
        <v>0</v>
      </c>
      <c r="GU57" s="43">
        <f t="shared" si="113"/>
        <v>0</v>
      </c>
      <c r="GV57" s="43">
        <f t="shared" si="114"/>
        <v>0</v>
      </c>
      <c r="GW57" s="43">
        <f t="shared" si="115"/>
        <v>0</v>
      </c>
      <c r="GX57" s="43">
        <f t="shared" si="116"/>
        <v>0</v>
      </c>
      <c r="GY57" s="43">
        <f t="shared" si="117"/>
        <v>0</v>
      </c>
      <c r="GZ57" s="43">
        <f t="shared" si="118"/>
        <v>0</v>
      </c>
      <c r="HA57" s="43">
        <f t="shared" si="119"/>
        <v>0</v>
      </c>
      <c r="HB57" s="43">
        <f t="shared" si="120"/>
        <v>0</v>
      </c>
      <c r="HC57" s="43">
        <f t="shared" si="121"/>
        <v>0</v>
      </c>
      <c r="HD57" s="43">
        <f t="shared" si="122"/>
        <v>0</v>
      </c>
      <c r="HE57" s="43">
        <f t="shared" si="123"/>
        <v>0</v>
      </c>
      <c r="HF57" s="38">
        <f t="shared" si="98"/>
        <v>0</v>
      </c>
      <c r="HG57" s="38">
        <f t="shared" si="99"/>
        <v>0</v>
      </c>
      <c r="HH57" s="38">
        <f t="shared" si="100"/>
        <v>0</v>
      </c>
      <c r="HI57" s="39">
        <f t="shared" si="101"/>
        <v>0</v>
      </c>
      <c r="HJ57" s="44" t="str">
        <f t="shared" si="102"/>
        <v>-</v>
      </c>
      <c r="HK57" s="45" t="str">
        <f>VLOOKUP(HJ57,'TABEL KONVERSI'!$B$11:$D$15,2,0)</f>
        <v>-</v>
      </c>
      <c r="HL57" s="43">
        <f t="shared" si="124"/>
        <v>0</v>
      </c>
      <c r="HM57" s="43">
        <f t="shared" si="125"/>
        <v>0</v>
      </c>
      <c r="HN57" s="43">
        <f t="shared" si="126"/>
        <v>0</v>
      </c>
      <c r="HO57" s="43">
        <f t="shared" si="127"/>
        <v>0</v>
      </c>
      <c r="HP57" s="43">
        <f t="shared" si="128"/>
        <v>0</v>
      </c>
      <c r="HQ57" s="43">
        <f t="shared" si="129"/>
        <v>0</v>
      </c>
      <c r="HR57" s="43">
        <f t="shared" si="130"/>
        <v>0</v>
      </c>
      <c r="HS57" s="43">
        <f t="shared" si="131"/>
        <v>0</v>
      </c>
      <c r="HT57" s="43">
        <f t="shared" si="132"/>
        <v>0</v>
      </c>
      <c r="HU57" s="43">
        <f t="shared" si="133"/>
        <v>0</v>
      </c>
      <c r="HV57" s="43">
        <f t="shared" si="134"/>
        <v>0</v>
      </c>
      <c r="HW57" s="43">
        <f t="shared" si="135"/>
        <v>0</v>
      </c>
      <c r="HX57" s="43">
        <f t="shared" si="136"/>
        <v>0</v>
      </c>
      <c r="HY57" s="43">
        <f t="shared" si="137"/>
        <v>0</v>
      </c>
      <c r="HZ57" s="43">
        <f t="shared" si="138"/>
        <v>0</v>
      </c>
      <c r="IA57" s="43">
        <f t="shared" si="139"/>
        <v>0</v>
      </c>
      <c r="IB57" s="38">
        <f t="shared" si="103"/>
        <v>0</v>
      </c>
      <c r="IC57" s="38">
        <f t="shared" si="104"/>
        <v>0</v>
      </c>
      <c r="ID57" s="38">
        <f t="shared" si="105"/>
        <v>0</v>
      </c>
      <c r="IE57" s="38">
        <f t="shared" si="106"/>
        <v>0</v>
      </c>
      <c r="IF57" s="46" t="str">
        <f t="shared" si="107"/>
        <v>-</v>
      </c>
      <c r="IG57" s="45" t="str">
        <f>VLOOKUP(IF57,'TABEL KONVERSI'!$B$11:$D$15,3,0)</f>
        <v>-</v>
      </c>
      <c r="IH57" s="40" t="s">
        <v>223</v>
      </c>
      <c r="II57" s="41" t="s">
        <v>106</v>
      </c>
      <c r="IJ57" s="45" t="str">
        <f>IF(II57&lt;&gt;"",VLOOKUP(II57,'TABEL KONVERSI'!$A$19:$B$23,2,0),"")</f>
        <v>Aktif dalam mengikuti kegiatan</v>
      </c>
      <c r="IK57" s="47" t="s">
        <v>58</v>
      </c>
      <c r="IL57" s="50" t="s">
        <v>58</v>
      </c>
      <c r="IM57" s="45" t="str">
        <f>IF(IL57&lt;&gt;"",VLOOKUP(IL57,'TABEL KONVERSI'!$A$19:$B$23,2,0),"")</f>
        <v>-</v>
      </c>
      <c r="IN57" s="49" t="s">
        <v>58</v>
      </c>
      <c r="IO57" s="48" t="s">
        <v>58</v>
      </c>
      <c r="IP57" s="45" t="str">
        <f>IF(IO57&lt;&gt;"",VLOOKUP(IO57,'TABEL KONVERSI'!$A$19:$B$23,2,0),"")</f>
        <v>-</v>
      </c>
      <c r="IQ57" s="49" t="s">
        <v>58</v>
      </c>
      <c r="IR57" s="50" t="s">
        <v>58</v>
      </c>
      <c r="IS57" s="45" t="str">
        <f>IF(IR57&lt;&gt;"",VLOOKUP(IR57,'TABEL KONVERSI'!$A$19:$B$23,2,0),"")</f>
        <v>-</v>
      </c>
      <c r="IT57" s="49" t="s">
        <v>58</v>
      </c>
      <c r="IU57" s="50" t="s">
        <v>58</v>
      </c>
      <c r="IV57" s="45" t="str">
        <f>IF(IU57&lt;&gt;"",VLOOKUP(IU57,'TABEL KONVERSI'!$A$19:$B$23,2,0),"")</f>
        <v>-</v>
      </c>
      <c r="IW57" s="48" t="s">
        <v>58</v>
      </c>
      <c r="IX57" s="48" t="s">
        <v>58</v>
      </c>
      <c r="IY57" s="48" t="s">
        <v>58</v>
      </c>
      <c r="IZ57" s="47" t="s">
        <v>58</v>
      </c>
      <c r="JA57" s="45">
        <f t="shared" si="140"/>
        <v>0</v>
      </c>
      <c r="JB57" s="45">
        <f t="shared" si="141"/>
        <v>1</v>
      </c>
    </row>
    <row r="58" spans="1:262" x14ac:dyDescent="0.25">
      <c r="A58" s="33">
        <v>46</v>
      </c>
      <c r="B58" s="53"/>
      <c r="C58" s="53"/>
      <c r="D58" s="54"/>
      <c r="E58" s="55"/>
      <c r="F58" s="42"/>
      <c r="G58" s="37"/>
      <c r="H58" s="73"/>
      <c r="I58" s="73"/>
      <c r="J58" s="38" t="str">
        <f t="shared" si="34"/>
        <v/>
      </c>
      <c r="K58" s="38" t="str">
        <f t="shared" si="35"/>
        <v/>
      </c>
      <c r="L58" s="38" t="str">
        <f>IF(J58&lt;&gt;"",IF(AND(J58&gt;='TABEL KONVERSI'!$B$3,'ENTRY DATA'!J58&lt;='TABEL KONVERSI'!$C$3),1,IF(AND(J58&gt;='TABEL KONVERSI'!$B$4,'ENTRY DATA'!J58&lt;='TABEL KONVERSI'!$C$4),2,IF(AND(J58&gt;='TABEL KONVERSI'!$B$5,'ENTRY DATA'!J58&lt;='TABEL KONVERSI'!$C$5),3,IF(AND(J58&gt;='TABEL KONVERSI'!$B$6,'ENTRY DATA'!J58&lt;='TABEL KONVERSI'!$C$6),4,"")))),"-")</f>
        <v>-</v>
      </c>
      <c r="M58" s="38" t="str">
        <f>IF(K58&lt;&gt;"",IF(AND(K58&gt;='TABEL KONVERSI'!$B$3,'ENTRY DATA'!K58&lt;='TABEL KONVERSI'!$C$3),1,IF(AND(K58&gt;='TABEL KONVERSI'!$B$4,'ENTRY DATA'!K58&lt;='TABEL KONVERSI'!$C$4),2,IF(AND(K58&gt;='TABEL KONVERSI'!$B$5,'ENTRY DATA'!K58&lt;='TABEL KONVERSI'!$C$5),3,IF(AND(K58&gt;='TABEL KONVERSI'!$B$6,'ENTRY DATA'!K58&lt;='TABEL KONVERSI'!$C$6),4,"")))),"-")</f>
        <v>-</v>
      </c>
      <c r="N58" s="38" t="str">
        <f t="shared" si="36"/>
        <v>-</v>
      </c>
      <c r="O58" s="38" t="str">
        <f>VLOOKUP(L58,'TABEL KONVERSI'!$A$3:$D$7,4)</f>
        <v>-</v>
      </c>
      <c r="P58" s="38" t="str">
        <f t="shared" si="37"/>
        <v>-</v>
      </c>
      <c r="Q58" s="38" t="str">
        <f>VLOOKUP(M58,'TABEL KONVERSI'!$A$3:$D$7,4)</f>
        <v>-</v>
      </c>
      <c r="R58" s="42"/>
      <c r="S58" s="37"/>
      <c r="T58" s="73"/>
      <c r="U58" s="73"/>
      <c r="V58" s="38" t="str">
        <f t="shared" si="38"/>
        <v/>
      </c>
      <c r="W58" s="38" t="str">
        <f t="shared" si="39"/>
        <v/>
      </c>
      <c r="X58" s="38" t="str">
        <f>IF(V58&lt;&gt;"",IF(AND(V58&gt;='TABEL KONVERSI'!$B$3,'ENTRY DATA'!V58&lt;='TABEL KONVERSI'!$C$3),1,IF(AND(V58&gt;='TABEL KONVERSI'!$B$4,'ENTRY DATA'!V58&lt;='TABEL KONVERSI'!$C$4),2,IF(AND(V58&gt;='TABEL KONVERSI'!$B$5,'ENTRY DATA'!V58&lt;='TABEL KONVERSI'!$C$5),3,IF(AND(V58&gt;='TABEL KONVERSI'!$B$6,'ENTRY DATA'!V58&lt;='TABEL KONVERSI'!$C$6),4,"")))),"-")</f>
        <v>-</v>
      </c>
      <c r="Y58" s="38" t="str">
        <f>IF(W58&lt;&gt;"",IF(AND(W58&gt;='TABEL KONVERSI'!$B$3,'ENTRY DATA'!W58&lt;='TABEL KONVERSI'!$C$3),1,IF(AND(W58&gt;='TABEL KONVERSI'!$B$4,'ENTRY DATA'!W58&lt;='TABEL KONVERSI'!$C$4),2,IF(AND(W58&gt;='TABEL KONVERSI'!$B$5,'ENTRY DATA'!W58&lt;='TABEL KONVERSI'!$C$5),3,IF(AND(W58&gt;='TABEL KONVERSI'!$B$6,'ENTRY DATA'!W58&lt;='TABEL KONVERSI'!$C$6),4,"")))),"-")</f>
        <v>-</v>
      </c>
      <c r="Z58" s="38" t="str">
        <f t="shared" si="40"/>
        <v>-</v>
      </c>
      <c r="AA58" s="38" t="str">
        <f>VLOOKUP(X58,'TABEL KONVERSI'!$A$3:$D$7,4)</f>
        <v>-</v>
      </c>
      <c r="AB58" s="38" t="str">
        <f t="shared" si="41"/>
        <v>-</v>
      </c>
      <c r="AC58" s="38" t="str">
        <f>VLOOKUP(Y58,'TABEL KONVERSI'!$A$3:$D$7,4)</f>
        <v>-</v>
      </c>
      <c r="AD58" s="42"/>
      <c r="AE58" s="37"/>
      <c r="AF58" s="73"/>
      <c r="AG58" s="73"/>
      <c r="AH58" s="38" t="str">
        <f t="shared" si="42"/>
        <v/>
      </c>
      <c r="AI58" s="38" t="str">
        <f t="shared" si="43"/>
        <v/>
      </c>
      <c r="AJ58" s="38" t="str">
        <f>IF(AH58&lt;&gt;"",IF(AND(AH58&gt;='TABEL KONVERSI'!$B$3,'ENTRY DATA'!AH58&lt;='TABEL KONVERSI'!$C$3),1,IF(AND(AH58&gt;='TABEL KONVERSI'!$B$4,'ENTRY DATA'!AH58&lt;='TABEL KONVERSI'!$C$4),2,IF(AND(AH58&gt;='TABEL KONVERSI'!$B$5,'ENTRY DATA'!AH58&lt;='TABEL KONVERSI'!$C$5),3,IF(AND(AH58&gt;='TABEL KONVERSI'!$B$6,'ENTRY DATA'!AH58&lt;='TABEL KONVERSI'!$C$6),4,"")))),"-")</f>
        <v>-</v>
      </c>
      <c r="AK58" s="38" t="str">
        <f>IF(AI58&lt;&gt;"",IF(AND(AI58&gt;='TABEL KONVERSI'!$B$3,'ENTRY DATA'!AI58&lt;='TABEL KONVERSI'!$C$3),1,IF(AND(AI58&gt;='TABEL KONVERSI'!$B$4,'ENTRY DATA'!AI58&lt;='TABEL KONVERSI'!$C$4),2,IF(AND(AI58&gt;='TABEL KONVERSI'!$B$5,'ENTRY DATA'!AI58&lt;='TABEL KONVERSI'!$C$5),3,IF(AND(AI58&gt;='TABEL KONVERSI'!$B$6,'ENTRY DATA'!AI58&lt;='TABEL KONVERSI'!$C$6),4,"")))),"-")</f>
        <v>-</v>
      </c>
      <c r="AL58" s="38" t="str">
        <f t="shared" si="44"/>
        <v>-</v>
      </c>
      <c r="AM58" s="38" t="str">
        <f>VLOOKUP(AJ58,'TABEL KONVERSI'!$A$3:$D$7,4)</f>
        <v>-</v>
      </c>
      <c r="AN58" s="38" t="str">
        <f t="shared" si="45"/>
        <v>-</v>
      </c>
      <c r="AO58" s="38" t="str">
        <f>VLOOKUP(AK58,'TABEL KONVERSI'!$A$3:$D$7,4)</f>
        <v>-</v>
      </c>
      <c r="AP58" s="42"/>
      <c r="AQ58" s="37"/>
      <c r="AR58" s="73"/>
      <c r="AS58" s="73"/>
      <c r="AT58" s="38" t="str">
        <f t="shared" si="46"/>
        <v/>
      </c>
      <c r="AU58" s="38" t="str">
        <f t="shared" si="47"/>
        <v/>
      </c>
      <c r="AV58" s="38" t="str">
        <f>IF(AT58&lt;&gt;"",IF(AND(AT58&gt;='TABEL KONVERSI'!$B$3,'ENTRY DATA'!AT58&lt;='TABEL KONVERSI'!$C$3),1,IF(AND(AT58&gt;='TABEL KONVERSI'!$B$4,'ENTRY DATA'!AT58&lt;='TABEL KONVERSI'!$C$4),2,IF(AND(AT58&gt;='TABEL KONVERSI'!$B$5,'ENTRY DATA'!AT58&lt;='TABEL KONVERSI'!$C$5),3,IF(AND(AT58&gt;='TABEL KONVERSI'!$B$6,'ENTRY DATA'!AT58&lt;='TABEL KONVERSI'!$C$6),4,"")))),"-")</f>
        <v>-</v>
      </c>
      <c r="AW58" s="38" t="str">
        <f>IF(AU58&lt;&gt;"",IF(AND(AU58&gt;='TABEL KONVERSI'!$B$3,'ENTRY DATA'!AU58&lt;='TABEL KONVERSI'!$C$3),1,IF(AND(AU58&gt;='TABEL KONVERSI'!$B$4,'ENTRY DATA'!AU58&lt;='TABEL KONVERSI'!$C$4),2,IF(AND(AU58&gt;='TABEL KONVERSI'!$B$5,'ENTRY DATA'!AU58&lt;='TABEL KONVERSI'!$C$5),3,IF(AND(AU58&gt;='TABEL KONVERSI'!$B$6,'ENTRY DATA'!AU58&lt;='TABEL KONVERSI'!$C$6),4,"")))),"-")</f>
        <v>-</v>
      </c>
      <c r="AX58" s="38" t="str">
        <f t="shared" si="48"/>
        <v>-</v>
      </c>
      <c r="AY58" s="38" t="str">
        <f>VLOOKUP(AV58,'TABEL KONVERSI'!$A$3:$D$7,4)</f>
        <v>-</v>
      </c>
      <c r="AZ58" s="38" t="str">
        <f t="shared" si="49"/>
        <v>-</v>
      </c>
      <c r="BA58" s="38" t="str">
        <f>VLOOKUP(AW58,'TABEL KONVERSI'!$A$3:$D$7,4)</f>
        <v>-</v>
      </c>
      <c r="BB58" s="42"/>
      <c r="BC58" s="37"/>
      <c r="BD58" s="73"/>
      <c r="BE58" s="73"/>
      <c r="BF58" s="38" t="str">
        <f t="shared" si="50"/>
        <v/>
      </c>
      <c r="BG58" s="38" t="str">
        <f t="shared" si="51"/>
        <v/>
      </c>
      <c r="BH58" s="38" t="str">
        <f>IF(BF58&lt;&gt;"",IF(AND(BF58&gt;='TABEL KONVERSI'!$B$3,'ENTRY DATA'!BF58&lt;='TABEL KONVERSI'!$C$3),1,IF(AND(BF58&gt;='TABEL KONVERSI'!$B$4,'ENTRY DATA'!BF58&lt;='TABEL KONVERSI'!$C$4),2,IF(AND(BF58&gt;='TABEL KONVERSI'!$B$5,'ENTRY DATA'!BF58&lt;='TABEL KONVERSI'!$C$5),3,IF(AND(BF58&gt;='TABEL KONVERSI'!$B$6,'ENTRY DATA'!BF58&lt;='TABEL KONVERSI'!$C$6),4,"")))),"-")</f>
        <v>-</v>
      </c>
      <c r="BI58" s="38" t="str">
        <f>IF(BG58&lt;&gt;"",IF(AND(BG58&gt;='TABEL KONVERSI'!$B$3,'ENTRY DATA'!BG58&lt;='TABEL KONVERSI'!$C$3),1,IF(AND(BG58&gt;='TABEL KONVERSI'!$B$4,'ENTRY DATA'!BG58&lt;='TABEL KONVERSI'!$C$4),2,IF(AND(BG58&gt;='TABEL KONVERSI'!$B$5,'ENTRY DATA'!BG58&lt;='TABEL KONVERSI'!$C$5),3,IF(AND(BG58&gt;='TABEL KONVERSI'!$B$6,'ENTRY DATA'!BG58&lt;='TABEL KONVERSI'!$C$6),4,"")))),"-")</f>
        <v>-</v>
      </c>
      <c r="BJ58" s="38" t="str">
        <f t="shared" si="52"/>
        <v>-</v>
      </c>
      <c r="BK58" s="38" t="str">
        <f>VLOOKUP(BH58,'TABEL KONVERSI'!$A$3:$D$7,4)</f>
        <v>-</v>
      </c>
      <c r="BL58" s="38" t="str">
        <f t="shared" si="53"/>
        <v>-</v>
      </c>
      <c r="BM58" s="38" t="str">
        <f>VLOOKUP(BI58,'TABEL KONVERSI'!$A$3:$D$7,4)</f>
        <v>-</v>
      </c>
      <c r="BN58" s="42"/>
      <c r="BO58" s="37"/>
      <c r="BP58" s="73"/>
      <c r="BQ58" s="73"/>
      <c r="BR58" s="38" t="str">
        <f t="shared" si="54"/>
        <v/>
      </c>
      <c r="BS58" s="38" t="str">
        <f t="shared" si="55"/>
        <v/>
      </c>
      <c r="BT58" s="38" t="str">
        <f>IF(BR58&lt;&gt;"",IF(AND(BR58&gt;='TABEL KONVERSI'!$B$3,'ENTRY DATA'!BR58&lt;='TABEL KONVERSI'!$C$3),1,IF(AND(BR58&gt;='TABEL KONVERSI'!$B$4,'ENTRY DATA'!BR58&lt;='TABEL KONVERSI'!$C$4),2,IF(AND(BR58&gt;='TABEL KONVERSI'!$B$5,'ENTRY DATA'!BR58&lt;='TABEL KONVERSI'!$C$5),3,IF(AND(BR58&gt;='TABEL KONVERSI'!$B$6,'ENTRY DATA'!BR58&lt;='TABEL KONVERSI'!$C$6),4,"")))),"-")</f>
        <v>-</v>
      </c>
      <c r="BU58" s="38" t="str">
        <f>IF(BS58&lt;&gt;"",IF(AND(BS58&gt;='TABEL KONVERSI'!$B$3,'ENTRY DATA'!BS58&lt;='TABEL KONVERSI'!$C$3),1,IF(AND(BS58&gt;='TABEL KONVERSI'!$B$4,'ENTRY DATA'!BS58&lt;='TABEL KONVERSI'!$C$4),2,IF(AND(BS58&gt;='TABEL KONVERSI'!$B$5,'ENTRY DATA'!BS58&lt;='TABEL KONVERSI'!$C$5),3,IF(AND(BS58&gt;='TABEL KONVERSI'!$B$6,'ENTRY DATA'!BS58&lt;='TABEL KONVERSI'!$C$6),4,"")))),"-")</f>
        <v>-</v>
      </c>
      <c r="BV58" s="38" t="str">
        <f t="shared" si="56"/>
        <v>-</v>
      </c>
      <c r="BW58" s="38" t="str">
        <f>VLOOKUP(BT58,'TABEL KONVERSI'!$A$3:$D$7,4)</f>
        <v>-</v>
      </c>
      <c r="BX58" s="38" t="str">
        <f t="shared" si="57"/>
        <v>-</v>
      </c>
      <c r="BY58" s="38" t="str">
        <f>VLOOKUP(BU58,'TABEL KONVERSI'!$A$3:$D$7,4)</f>
        <v>-</v>
      </c>
      <c r="BZ58" s="42"/>
      <c r="CA58" s="37"/>
      <c r="CB58" s="73"/>
      <c r="CC58" s="73"/>
      <c r="CD58" s="38" t="str">
        <f t="shared" si="58"/>
        <v/>
      </c>
      <c r="CE58" s="38" t="str">
        <f t="shared" si="59"/>
        <v/>
      </c>
      <c r="CF58" s="38" t="str">
        <f>IF(CD58&lt;&gt;"",IF(AND(CD58&gt;='TABEL KONVERSI'!$B$3,'ENTRY DATA'!CD58&lt;='TABEL KONVERSI'!$C$3),1,IF(AND(CD58&gt;='TABEL KONVERSI'!$B$4,'ENTRY DATA'!CD58&lt;='TABEL KONVERSI'!$C$4),2,IF(AND(CD58&gt;='TABEL KONVERSI'!$B$5,'ENTRY DATA'!CD58&lt;='TABEL KONVERSI'!$C$5),3,IF(AND(CD58&gt;='TABEL KONVERSI'!$B$6,'ENTRY DATA'!CD58&lt;='TABEL KONVERSI'!$C$6),4,"")))),"-")</f>
        <v>-</v>
      </c>
      <c r="CG58" s="38" t="str">
        <f>IF(CE58&lt;&gt;"",IF(AND(CE58&gt;='TABEL KONVERSI'!$B$3,'ENTRY DATA'!CE58&lt;='TABEL KONVERSI'!$C$3),1,IF(AND(CE58&gt;='TABEL KONVERSI'!$B$4,'ENTRY DATA'!CE58&lt;='TABEL KONVERSI'!$C$4),2,IF(AND(CE58&gt;='TABEL KONVERSI'!$B$5,'ENTRY DATA'!CE58&lt;='TABEL KONVERSI'!$C$5),3,IF(AND(CE58&gt;='TABEL KONVERSI'!$B$6,'ENTRY DATA'!CE58&lt;='TABEL KONVERSI'!$C$6),4,"")))),"-")</f>
        <v>-</v>
      </c>
      <c r="CH58" s="38" t="str">
        <f t="shared" si="60"/>
        <v>-</v>
      </c>
      <c r="CI58" s="38" t="str">
        <f>VLOOKUP(CF58,'TABEL KONVERSI'!$A$3:$D$7,4)</f>
        <v>-</v>
      </c>
      <c r="CJ58" s="38" t="str">
        <f t="shared" si="61"/>
        <v>-</v>
      </c>
      <c r="CK58" s="38" t="str">
        <f>VLOOKUP(CG58,'TABEL KONVERSI'!$A$3:$D$7,4)</f>
        <v>-</v>
      </c>
      <c r="CL58" s="42"/>
      <c r="CM58" s="37"/>
      <c r="CN58" s="73"/>
      <c r="CO58" s="73"/>
      <c r="CP58" s="38" t="str">
        <f t="shared" si="62"/>
        <v/>
      </c>
      <c r="CQ58" s="38" t="str">
        <f t="shared" si="63"/>
        <v/>
      </c>
      <c r="CR58" s="38" t="str">
        <f>IF(CP58&lt;&gt;"",IF(AND(CP58&gt;='TABEL KONVERSI'!$B$3,'ENTRY DATA'!CP58&lt;='TABEL KONVERSI'!$C$3),1,IF(AND(CP58&gt;='TABEL KONVERSI'!$B$4,'ENTRY DATA'!CP58&lt;='TABEL KONVERSI'!$C$4),2,IF(AND(CP58&gt;='TABEL KONVERSI'!$B$5,'ENTRY DATA'!CP58&lt;='TABEL KONVERSI'!$C$5),3,IF(AND(CP58&gt;='TABEL KONVERSI'!$B$6,'ENTRY DATA'!CP58&lt;='TABEL KONVERSI'!$C$6),4,"")))),"-")</f>
        <v>-</v>
      </c>
      <c r="CS58" s="38" t="str">
        <f>IF(CQ58&lt;&gt;"",IF(AND(CQ58&gt;='TABEL KONVERSI'!$B$3,'ENTRY DATA'!CQ58&lt;='TABEL KONVERSI'!$C$3),1,IF(AND(CQ58&gt;='TABEL KONVERSI'!$B$4,'ENTRY DATA'!CQ58&lt;='TABEL KONVERSI'!$C$4),2,IF(AND(CQ58&gt;='TABEL KONVERSI'!$B$5,'ENTRY DATA'!CQ58&lt;='TABEL KONVERSI'!$C$5),3,IF(AND(CQ58&gt;='TABEL KONVERSI'!$B$6,'ENTRY DATA'!CQ58&lt;='TABEL KONVERSI'!$C$6),4,"")))),"-")</f>
        <v>-</v>
      </c>
      <c r="CT58" s="38" t="str">
        <f t="shared" si="64"/>
        <v>-</v>
      </c>
      <c r="CU58" s="38" t="str">
        <f>VLOOKUP(CR58,'TABEL KONVERSI'!$A$3:$D$7,4)</f>
        <v>-</v>
      </c>
      <c r="CV58" s="38" t="str">
        <f t="shared" si="65"/>
        <v>-</v>
      </c>
      <c r="CW58" s="38" t="str">
        <f>VLOOKUP(CS58,'TABEL KONVERSI'!$A$3:$D$7,4)</f>
        <v>-</v>
      </c>
      <c r="CX58" s="42"/>
      <c r="CY58" s="37"/>
      <c r="CZ58" s="73"/>
      <c r="DA58" s="73"/>
      <c r="DB58" s="38" t="str">
        <f t="shared" si="66"/>
        <v/>
      </c>
      <c r="DC58" s="38" t="str">
        <f t="shared" si="67"/>
        <v/>
      </c>
      <c r="DD58" s="38" t="str">
        <f>IF(DB58&lt;&gt;"",IF(AND(DB58&gt;='TABEL KONVERSI'!$B$3,'ENTRY DATA'!DB58&lt;='TABEL KONVERSI'!$C$3),1,IF(AND(DB58&gt;='TABEL KONVERSI'!$B$4,'ENTRY DATA'!DB58&lt;='TABEL KONVERSI'!$C$4),2,IF(AND(DB58&gt;='TABEL KONVERSI'!$B$5,'ENTRY DATA'!DB58&lt;='TABEL KONVERSI'!$C$5),3,IF(AND(DB58&gt;='TABEL KONVERSI'!$B$6,'ENTRY DATA'!DB58&lt;='TABEL KONVERSI'!$C$6),4,"")))),"-")</f>
        <v>-</v>
      </c>
      <c r="DE58" s="38" t="str">
        <f>IF(DC58&lt;&gt;"",IF(AND(DC58&gt;='TABEL KONVERSI'!$B$3,'ENTRY DATA'!DC58&lt;='TABEL KONVERSI'!$C$3),1,IF(AND(DC58&gt;='TABEL KONVERSI'!$B$4,'ENTRY DATA'!DC58&lt;='TABEL KONVERSI'!$C$4),2,IF(AND(DC58&gt;='TABEL KONVERSI'!$B$5,'ENTRY DATA'!DC58&lt;='TABEL KONVERSI'!$C$5),3,IF(AND(DC58&gt;='TABEL KONVERSI'!$B$6,'ENTRY DATA'!DC58&lt;='TABEL KONVERSI'!$C$6),4,"")))),"-")</f>
        <v>-</v>
      </c>
      <c r="DF58" s="38" t="str">
        <f t="shared" si="68"/>
        <v>-</v>
      </c>
      <c r="DG58" s="38" t="str">
        <f>VLOOKUP(DD58,'TABEL KONVERSI'!$A$3:$D$7,4)</f>
        <v>-</v>
      </c>
      <c r="DH58" s="38" t="str">
        <f t="shared" si="69"/>
        <v>-</v>
      </c>
      <c r="DI58" s="38" t="str">
        <f>VLOOKUP(DE58,'TABEL KONVERSI'!$A$3:$D$7,4)</f>
        <v>-</v>
      </c>
      <c r="DJ58" s="42"/>
      <c r="DK58" s="37"/>
      <c r="DL58" s="73"/>
      <c r="DM58" s="73"/>
      <c r="DN58" s="38" t="str">
        <f t="shared" si="70"/>
        <v/>
      </c>
      <c r="DO58" s="38" t="str">
        <f t="shared" si="71"/>
        <v/>
      </c>
      <c r="DP58" s="38" t="str">
        <f>IF(DN58&lt;&gt;"",IF(AND(DN58&gt;='TABEL KONVERSI'!$B$3,'ENTRY DATA'!DN58&lt;='TABEL KONVERSI'!$C$3),1,IF(AND(DN58&gt;='TABEL KONVERSI'!$B$4,'ENTRY DATA'!DN58&lt;='TABEL KONVERSI'!$C$4),2,IF(AND(DN58&gt;='TABEL KONVERSI'!$B$5,'ENTRY DATA'!DN58&lt;='TABEL KONVERSI'!$C$5),3,IF(AND(DN58&gt;='TABEL KONVERSI'!$B$6,'ENTRY DATA'!DN58&lt;='TABEL KONVERSI'!$C$6),4,"")))),"-")</f>
        <v>-</v>
      </c>
      <c r="DQ58" s="38" t="str">
        <f>IF(DO58&lt;&gt;"",IF(AND(DO58&gt;='TABEL KONVERSI'!$B$3,'ENTRY DATA'!DO58&lt;='TABEL KONVERSI'!$C$3),1,IF(AND(DO58&gt;='TABEL KONVERSI'!$B$4,'ENTRY DATA'!DO58&lt;='TABEL KONVERSI'!$C$4),2,IF(AND(DO58&gt;='TABEL KONVERSI'!$B$5,'ENTRY DATA'!DO58&lt;='TABEL KONVERSI'!$C$5),3,IF(AND(DO58&gt;='TABEL KONVERSI'!$B$6,'ENTRY DATA'!DO58&lt;='TABEL KONVERSI'!$C$6),4,"")))),"-")</f>
        <v>-</v>
      </c>
      <c r="DR58" s="38" t="str">
        <f t="shared" si="72"/>
        <v>-</v>
      </c>
      <c r="DS58" s="38" t="str">
        <f>VLOOKUP(DP58,'TABEL KONVERSI'!$A$3:$D$7,4)</f>
        <v>-</v>
      </c>
      <c r="DT58" s="38" t="str">
        <f t="shared" si="73"/>
        <v>-</v>
      </c>
      <c r="DU58" s="38" t="str">
        <f>VLOOKUP(DQ58,'TABEL KONVERSI'!$A$3:$D$7,4)</f>
        <v>-</v>
      </c>
      <c r="DV58" s="42"/>
      <c r="DW58" s="37"/>
      <c r="DX58" s="73"/>
      <c r="DY58" s="73"/>
      <c r="DZ58" s="38" t="str">
        <f t="shared" si="74"/>
        <v/>
      </c>
      <c r="EA58" s="38" t="str">
        <f t="shared" si="75"/>
        <v/>
      </c>
      <c r="EB58" s="38" t="str">
        <f>IF(DZ58&lt;&gt;"",IF(AND(DZ58&gt;='TABEL KONVERSI'!$B$3,'ENTRY DATA'!DZ58&lt;='TABEL KONVERSI'!$C$3),1,IF(AND(DZ58&gt;='TABEL KONVERSI'!$B$4,'ENTRY DATA'!DZ58&lt;='TABEL KONVERSI'!$C$4),2,IF(AND(DZ58&gt;='TABEL KONVERSI'!$B$5,'ENTRY DATA'!DZ58&lt;='TABEL KONVERSI'!$C$5),3,IF(AND(DZ58&gt;='TABEL KONVERSI'!$B$6,'ENTRY DATA'!DZ58&lt;='TABEL KONVERSI'!$C$6),4,"")))),"-")</f>
        <v>-</v>
      </c>
      <c r="EC58" s="38" t="str">
        <f>IF(EA58&lt;&gt;"",IF(AND(EA58&gt;='TABEL KONVERSI'!$B$3,'ENTRY DATA'!EA58&lt;='TABEL KONVERSI'!$C$3),1,IF(AND(EA58&gt;='TABEL KONVERSI'!$B$4,'ENTRY DATA'!EA58&lt;='TABEL KONVERSI'!$C$4),2,IF(AND(EA58&gt;='TABEL KONVERSI'!$B$5,'ENTRY DATA'!EA58&lt;='TABEL KONVERSI'!$C$5),3,IF(AND(EA58&gt;='TABEL KONVERSI'!$B$6,'ENTRY DATA'!EA58&lt;='TABEL KONVERSI'!$C$6),4,"")))),"-")</f>
        <v>-</v>
      </c>
      <c r="ED58" s="38" t="str">
        <f t="shared" si="76"/>
        <v>-</v>
      </c>
      <c r="EE58" s="38" t="str">
        <f>VLOOKUP(EB58,'TABEL KONVERSI'!$A$3:$D$7,4)</f>
        <v>-</v>
      </c>
      <c r="EF58" s="38" t="str">
        <f t="shared" si="77"/>
        <v>-</v>
      </c>
      <c r="EG58" s="38" t="str">
        <f>VLOOKUP(EC58,'TABEL KONVERSI'!$A$3:$D$7,4)</f>
        <v>-</v>
      </c>
      <c r="EH58" s="42"/>
      <c r="EI58" s="37"/>
      <c r="EJ58" s="73"/>
      <c r="EK58" s="73"/>
      <c r="EL58" s="38" t="str">
        <f t="shared" si="78"/>
        <v/>
      </c>
      <c r="EM58" s="38" t="str">
        <f t="shared" si="79"/>
        <v/>
      </c>
      <c r="EN58" s="38" t="str">
        <f>IF(EL58&lt;&gt;"",IF(AND(EL58&gt;='TABEL KONVERSI'!$B$3,'ENTRY DATA'!EL58&lt;='TABEL KONVERSI'!$C$3),1,IF(AND(EL58&gt;='TABEL KONVERSI'!$B$4,'ENTRY DATA'!EL58&lt;='TABEL KONVERSI'!$C$4),2,IF(AND(EL58&gt;='TABEL KONVERSI'!$B$5,'ENTRY DATA'!EL58&lt;='TABEL KONVERSI'!$C$5),3,IF(AND(EL58&gt;='TABEL KONVERSI'!$B$6,'ENTRY DATA'!EL58&lt;='TABEL KONVERSI'!$C$6),4,"")))),"-")</f>
        <v>-</v>
      </c>
      <c r="EO58" s="38" t="str">
        <f>IF(EM58&lt;&gt;"",IF(AND(EM58&gt;='TABEL KONVERSI'!$B$3,'ENTRY DATA'!EM58&lt;='TABEL KONVERSI'!$C$3),1,IF(AND(EM58&gt;='TABEL KONVERSI'!$B$4,'ENTRY DATA'!EM58&lt;='TABEL KONVERSI'!$C$4),2,IF(AND(EM58&gt;='TABEL KONVERSI'!$B$5,'ENTRY DATA'!EM58&lt;='TABEL KONVERSI'!$C$5),3,IF(AND(EM58&gt;='TABEL KONVERSI'!$B$6,'ENTRY DATA'!EM58&lt;='TABEL KONVERSI'!$C$6),4,"")))),"-")</f>
        <v>-</v>
      </c>
      <c r="EP58" s="38" t="str">
        <f t="shared" si="80"/>
        <v>-</v>
      </c>
      <c r="EQ58" s="38" t="str">
        <f>VLOOKUP(EN58,'TABEL KONVERSI'!$A$3:$D$7,4)</f>
        <v>-</v>
      </c>
      <c r="ER58" s="38" t="str">
        <f t="shared" si="81"/>
        <v>-</v>
      </c>
      <c r="ES58" s="38" t="str">
        <f>VLOOKUP(EO58,'TABEL KONVERSI'!$A$3:$D$7,4)</f>
        <v>-</v>
      </c>
      <c r="ET58" s="42"/>
      <c r="EU58" s="37"/>
      <c r="EV58" s="73"/>
      <c r="EW58" s="73"/>
      <c r="EX58" s="38" t="str">
        <f t="shared" si="82"/>
        <v/>
      </c>
      <c r="EY58" s="38" t="str">
        <f t="shared" si="83"/>
        <v/>
      </c>
      <c r="EZ58" s="38" t="str">
        <f>IF(EX58&lt;&gt;"",IF(AND(EX58&gt;='TABEL KONVERSI'!$B$3,'ENTRY DATA'!EX58&lt;='TABEL KONVERSI'!$C$3),1,IF(AND(EX58&gt;='TABEL KONVERSI'!$B$4,'ENTRY DATA'!EX58&lt;='TABEL KONVERSI'!$C$4),2,IF(AND(EX58&gt;='TABEL KONVERSI'!$B$5,'ENTRY DATA'!EX58&lt;='TABEL KONVERSI'!$C$5),3,IF(AND(EX58&gt;='TABEL KONVERSI'!$B$6,'ENTRY DATA'!EX58&lt;='TABEL KONVERSI'!$C$6),4,"")))),"-")</f>
        <v>-</v>
      </c>
      <c r="FA58" s="38" t="str">
        <f>IF(EY58&lt;&gt;"",IF(AND(EY58&gt;='TABEL KONVERSI'!$B$3,'ENTRY DATA'!EY58&lt;='TABEL KONVERSI'!$C$3),1,IF(AND(EY58&gt;='TABEL KONVERSI'!$B$4,'ENTRY DATA'!EY58&lt;='TABEL KONVERSI'!$C$4),2,IF(AND(EY58&gt;='TABEL KONVERSI'!$B$5,'ENTRY DATA'!EY58&lt;='TABEL KONVERSI'!$C$5),3,IF(AND(EY58&gt;='TABEL KONVERSI'!$B$6,'ENTRY DATA'!EY58&lt;='TABEL KONVERSI'!$C$6),4,"")))),"-")</f>
        <v>-</v>
      </c>
      <c r="FB58" s="38" t="str">
        <f t="shared" si="84"/>
        <v>-</v>
      </c>
      <c r="FC58" s="38" t="str">
        <f>VLOOKUP(EZ58,'TABEL KONVERSI'!$A$3:$D$7,4)</f>
        <v>-</v>
      </c>
      <c r="FD58" s="38" t="str">
        <f t="shared" si="85"/>
        <v>-</v>
      </c>
      <c r="FE58" s="38" t="str">
        <f>VLOOKUP(FA58,'TABEL KONVERSI'!$A$3:$D$7,4)</f>
        <v>-</v>
      </c>
      <c r="FF58" s="42"/>
      <c r="FG58" s="37"/>
      <c r="FH58" s="73"/>
      <c r="FI58" s="73"/>
      <c r="FJ58" s="38" t="str">
        <f t="shared" si="86"/>
        <v/>
      </c>
      <c r="FK58" s="38" t="str">
        <f t="shared" si="87"/>
        <v/>
      </c>
      <c r="FL58" s="38" t="str">
        <f>IF(FJ58&lt;&gt;"",IF(AND(FJ58&gt;='TABEL KONVERSI'!$B$3,'ENTRY DATA'!FJ58&lt;='TABEL KONVERSI'!$C$3),1,IF(AND(FJ58&gt;='TABEL KONVERSI'!$B$4,'ENTRY DATA'!FJ58&lt;='TABEL KONVERSI'!$C$4),2,IF(AND(FJ58&gt;='TABEL KONVERSI'!$B$5,'ENTRY DATA'!FJ58&lt;='TABEL KONVERSI'!$C$5),3,IF(AND(FJ58&gt;='TABEL KONVERSI'!$B$6,'ENTRY DATA'!FJ58&lt;='TABEL KONVERSI'!$C$6),4,"")))),"-")</f>
        <v>-</v>
      </c>
      <c r="FM58" s="38" t="str">
        <f>IF(FK58&lt;&gt;"",IF(AND(FK58&gt;='TABEL KONVERSI'!$B$3,'ENTRY DATA'!FK58&lt;='TABEL KONVERSI'!$C$3),1,IF(AND(FK58&gt;='TABEL KONVERSI'!$B$4,'ENTRY DATA'!FK58&lt;='TABEL KONVERSI'!$C$4),2,IF(AND(FK58&gt;='TABEL KONVERSI'!$B$5,'ENTRY DATA'!FK58&lt;='TABEL KONVERSI'!$C$5),3,IF(AND(FK58&gt;='TABEL KONVERSI'!$B$6,'ENTRY DATA'!FK58&lt;='TABEL KONVERSI'!$C$6),4,"")))),"-")</f>
        <v>-</v>
      </c>
      <c r="FN58" s="38" t="str">
        <f t="shared" si="88"/>
        <v>-</v>
      </c>
      <c r="FO58" s="38" t="str">
        <f>VLOOKUP(FL58,'TABEL KONVERSI'!$A$3:$D$7,4)</f>
        <v>-</v>
      </c>
      <c r="FP58" s="38" t="str">
        <f t="shared" si="89"/>
        <v>-</v>
      </c>
      <c r="FQ58" s="38" t="str">
        <f>VLOOKUP(FM58,'TABEL KONVERSI'!$A$3:$D$7,4)</f>
        <v>-</v>
      </c>
      <c r="FR58" s="42"/>
      <c r="FS58" s="37"/>
      <c r="FT58" s="73"/>
      <c r="FU58" s="73"/>
      <c r="FV58" s="38" t="str">
        <f t="shared" si="90"/>
        <v/>
      </c>
      <c r="FW58" s="38" t="str">
        <f t="shared" si="91"/>
        <v/>
      </c>
      <c r="FX58" s="38" t="str">
        <f>IF(FV58&lt;&gt;"",IF(AND(FV58&gt;='TABEL KONVERSI'!$B$3,'ENTRY DATA'!FV58&lt;='TABEL KONVERSI'!$C$3),1,IF(AND(FV58&gt;='TABEL KONVERSI'!$B$4,'ENTRY DATA'!FV58&lt;='TABEL KONVERSI'!$C$4),2,IF(AND(FV58&gt;='TABEL KONVERSI'!$B$5,'ENTRY DATA'!FV58&lt;='TABEL KONVERSI'!$C$5),3,IF(AND(FV58&gt;='TABEL KONVERSI'!$B$6,'ENTRY DATA'!FV58&lt;='TABEL KONVERSI'!$C$6),4,"")))),"-")</f>
        <v>-</v>
      </c>
      <c r="FY58" s="38" t="str">
        <f>IF(FW58&lt;&gt;"",IF(AND(FW58&gt;='TABEL KONVERSI'!$B$3,'ENTRY DATA'!FW58&lt;='TABEL KONVERSI'!$C$3),1,IF(AND(FW58&gt;='TABEL KONVERSI'!$B$4,'ENTRY DATA'!FW58&lt;='TABEL KONVERSI'!$C$4),2,IF(AND(FW58&gt;='TABEL KONVERSI'!$B$5,'ENTRY DATA'!FW58&lt;='TABEL KONVERSI'!$C$5),3,IF(AND(FW58&gt;='TABEL KONVERSI'!$B$6,'ENTRY DATA'!FW58&lt;='TABEL KONVERSI'!$C$6),4,"")))),"-")</f>
        <v>-</v>
      </c>
      <c r="FZ58" s="38" t="str">
        <f t="shared" si="92"/>
        <v>-</v>
      </c>
      <c r="GA58" s="38" t="str">
        <f>VLOOKUP(FX58,'TABEL KONVERSI'!$A$3:$D$7,4)</f>
        <v>-</v>
      </c>
      <c r="GB58" s="38" t="str">
        <f t="shared" si="93"/>
        <v>-</v>
      </c>
      <c r="GC58" s="38" t="str">
        <f>VLOOKUP(FY58,'TABEL KONVERSI'!$A$3:$D$7,4)</f>
        <v>-</v>
      </c>
      <c r="GD58" s="42"/>
      <c r="GE58" s="37"/>
      <c r="GF58" s="73"/>
      <c r="GG58" s="73"/>
      <c r="GH58" s="38" t="str">
        <f t="shared" si="94"/>
        <v/>
      </c>
      <c r="GI58" s="38" t="str">
        <f t="shared" si="95"/>
        <v/>
      </c>
      <c r="GJ58" s="38" t="str">
        <f>IF(GH58&lt;&gt;"",IF(AND(GH58&gt;='TABEL KONVERSI'!$B$3,'ENTRY DATA'!GH58&lt;='TABEL KONVERSI'!$C$3),1,IF(AND(GH58&gt;='TABEL KONVERSI'!$B$4,'ENTRY DATA'!GH58&lt;='TABEL KONVERSI'!$C$4),2,IF(AND(GH58&gt;='TABEL KONVERSI'!$B$5,'ENTRY DATA'!GH58&lt;='TABEL KONVERSI'!$C$5),3,IF(AND(GH58&gt;='TABEL KONVERSI'!$B$6,'ENTRY DATA'!GH58&lt;='TABEL KONVERSI'!$C$6),4,"")))),"-")</f>
        <v>-</v>
      </c>
      <c r="GK58" s="38" t="str">
        <f>IF(GI58&lt;&gt;"",IF(AND(GI58&gt;='TABEL KONVERSI'!$B$3,'ENTRY DATA'!GI58&lt;='TABEL KONVERSI'!$C$3),1,IF(AND(GI58&gt;='TABEL KONVERSI'!$B$4,'ENTRY DATA'!GI58&lt;='TABEL KONVERSI'!$C$4),2,IF(AND(GI58&gt;='TABEL KONVERSI'!$B$5,'ENTRY DATA'!GI58&lt;='TABEL KONVERSI'!$C$5),3,IF(AND(GI58&gt;='TABEL KONVERSI'!$B$6,'ENTRY DATA'!GI58&lt;='TABEL KONVERSI'!$C$6),4,"")))),"-")</f>
        <v>-</v>
      </c>
      <c r="GL58" s="38" t="str">
        <f t="shared" si="96"/>
        <v>-</v>
      </c>
      <c r="GM58" s="38" t="str">
        <f>VLOOKUP(GJ58,'TABEL KONVERSI'!$A$3:$D$7,4)</f>
        <v>-</v>
      </c>
      <c r="GN58" s="38" t="str">
        <f t="shared" si="97"/>
        <v>-</v>
      </c>
      <c r="GO58" s="38" t="str">
        <f>VLOOKUP(GK58,'TABEL KONVERSI'!$A$3:$D$7,4)</f>
        <v>-</v>
      </c>
      <c r="GP58" s="43">
        <f t="shared" si="108"/>
        <v>0</v>
      </c>
      <c r="GQ58" s="43">
        <f t="shared" si="109"/>
        <v>0</v>
      </c>
      <c r="GR58" s="43">
        <f t="shared" si="110"/>
        <v>0</v>
      </c>
      <c r="GS58" s="43">
        <f t="shared" si="111"/>
        <v>0</v>
      </c>
      <c r="GT58" s="43">
        <f t="shared" si="112"/>
        <v>0</v>
      </c>
      <c r="GU58" s="43">
        <f t="shared" si="113"/>
        <v>0</v>
      </c>
      <c r="GV58" s="43">
        <f t="shared" si="114"/>
        <v>0</v>
      </c>
      <c r="GW58" s="43">
        <f t="shared" si="115"/>
        <v>0</v>
      </c>
      <c r="GX58" s="43">
        <f t="shared" si="116"/>
        <v>0</v>
      </c>
      <c r="GY58" s="43">
        <f t="shared" si="117"/>
        <v>0</v>
      </c>
      <c r="GZ58" s="43">
        <f t="shared" si="118"/>
        <v>0</v>
      </c>
      <c r="HA58" s="43">
        <f t="shared" si="119"/>
        <v>0</v>
      </c>
      <c r="HB58" s="43">
        <f t="shared" si="120"/>
        <v>0</v>
      </c>
      <c r="HC58" s="43">
        <f t="shared" si="121"/>
        <v>0</v>
      </c>
      <c r="HD58" s="43">
        <f t="shared" si="122"/>
        <v>0</v>
      </c>
      <c r="HE58" s="43">
        <f t="shared" si="123"/>
        <v>0</v>
      </c>
      <c r="HF58" s="38">
        <f t="shared" si="98"/>
        <v>0</v>
      </c>
      <c r="HG58" s="38">
        <f t="shared" si="99"/>
        <v>0</v>
      </c>
      <c r="HH58" s="38">
        <f t="shared" si="100"/>
        <v>0</v>
      </c>
      <c r="HI58" s="39">
        <f t="shared" si="101"/>
        <v>0</v>
      </c>
      <c r="HJ58" s="44" t="str">
        <f t="shared" si="102"/>
        <v>-</v>
      </c>
      <c r="HK58" s="45" t="str">
        <f>VLOOKUP(HJ58,'TABEL KONVERSI'!$B$11:$D$15,2,0)</f>
        <v>-</v>
      </c>
      <c r="HL58" s="43">
        <f t="shared" si="124"/>
        <v>0</v>
      </c>
      <c r="HM58" s="43">
        <f t="shared" si="125"/>
        <v>0</v>
      </c>
      <c r="HN58" s="43">
        <f t="shared" si="126"/>
        <v>0</v>
      </c>
      <c r="HO58" s="43">
        <f t="shared" si="127"/>
        <v>0</v>
      </c>
      <c r="HP58" s="43">
        <f t="shared" si="128"/>
        <v>0</v>
      </c>
      <c r="HQ58" s="43">
        <f t="shared" si="129"/>
        <v>0</v>
      </c>
      <c r="HR58" s="43">
        <f t="shared" si="130"/>
        <v>0</v>
      </c>
      <c r="HS58" s="43">
        <f t="shared" si="131"/>
        <v>0</v>
      </c>
      <c r="HT58" s="43">
        <f t="shared" si="132"/>
        <v>0</v>
      </c>
      <c r="HU58" s="43">
        <f t="shared" si="133"/>
        <v>0</v>
      </c>
      <c r="HV58" s="43">
        <f t="shared" si="134"/>
        <v>0</v>
      </c>
      <c r="HW58" s="43">
        <f t="shared" si="135"/>
        <v>0</v>
      </c>
      <c r="HX58" s="43">
        <f t="shared" si="136"/>
        <v>0</v>
      </c>
      <c r="HY58" s="43">
        <f t="shared" si="137"/>
        <v>0</v>
      </c>
      <c r="HZ58" s="43">
        <f t="shared" si="138"/>
        <v>0</v>
      </c>
      <c r="IA58" s="43">
        <f t="shared" si="139"/>
        <v>0</v>
      </c>
      <c r="IB58" s="38">
        <f t="shared" si="103"/>
        <v>0</v>
      </c>
      <c r="IC58" s="38">
        <f t="shared" si="104"/>
        <v>0</v>
      </c>
      <c r="ID58" s="38">
        <f t="shared" si="105"/>
        <v>0</v>
      </c>
      <c r="IE58" s="38">
        <f t="shared" si="106"/>
        <v>0</v>
      </c>
      <c r="IF58" s="46" t="str">
        <f t="shared" si="107"/>
        <v>-</v>
      </c>
      <c r="IG58" s="45" t="str">
        <f>VLOOKUP(IF58,'TABEL KONVERSI'!$B$11:$D$15,3,0)</f>
        <v>-</v>
      </c>
      <c r="IH58" s="40" t="s">
        <v>223</v>
      </c>
      <c r="II58" s="41" t="s">
        <v>106</v>
      </c>
      <c r="IJ58" s="45" t="str">
        <f>IF(II58&lt;&gt;"",VLOOKUP(II58,'TABEL KONVERSI'!$A$19:$B$23,2,0),"")</f>
        <v>Aktif dalam mengikuti kegiatan</v>
      </c>
      <c r="IK58" s="47" t="s">
        <v>58</v>
      </c>
      <c r="IL58" s="50" t="s">
        <v>58</v>
      </c>
      <c r="IM58" s="45" t="str">
        <f>IF(IL58&lt;&gt;"",VLOOKUP(IL58,'TABEL KONVERSI'!$A$19:$B$23,2,0),"")</f>
        <v>-</v>
      </c>
      <c r="IN58" s="49" t="s">
        <v>58</v>
      </c>
      <c r="IO58" s="48" t="s">
        <v>58</v>
      </c>
      <c r="IP58" s="45" t="str">
        <f>IF(IO58&lt;&gt;"",VLOOKUP(IO58,'TABEL KONVERSI'!$A$19:$B$23,2,0),"")</f>
        <v>-</v>
      </c>
      <c r="IQ58" s="49" t="s">
        <v>58</v>
      </c>
      <c r="IR58" s="50" t="s">
        <v>58</v>
      </c>
      <c r="IS58" s="45" t="str">
        <f>IF(IR58&lt;&gt;"",VLOOKUP(IR58,'TABEL KONVERSI'!$A$19:$B$23,2,0),"")</f>
        <v>-</v>
      </c>
      <c r="IT58" s="49" t="s">
        <v>58</v>
      </c>
      <c r="IU58" s="50" t="s">
        <v>58</v>
      </c>
      <c r="IV58" s="45" t="str">
        <f>IF(IU58&lt;&gt;"",VLOOKUP(IU58,'TABEL KONVERSI'!$A$19:$B$23,2,0),"")</f>
        <v>-</v>
      </c>
      <c r="IW58" s="48" t="s">
        <v>58</v>
      </c>
      <c r="IX58" s="48" t="s">
        <v>58</v>
      </c>
      <c r="IY58" s="48" t="s">
        <v>58</v>
      </c>
      <c r="IZ58" s="47" t="s">
        <v>58</v>
      </c>
      <c r="JA58" s="45">
        <f t="shared" si="140"/>
        <v>0</v>
      </c>
      <c r="JB58" s="45">
        <f t="shared" si="141"/>
        <v>1</v>
      </c>
    </row>
    <row r="59" spans="1:262" x14ac:dyDescent="0.25">
      <c r="A59" s="33">
        <v>47</v>
      </c>
      <c r="B59" s="53"/>
      <c r="C59" s="53"/>
      <c r="D59" s="54"/>
      <c r="E59" s="55"/>
      <c r="F59" s="42"/>
      <c r="G59" s="37"/>
      <c r="H59" s="73"/>
      <c r="I59" s="73"/>
      <c r="J59" s="38" t="str">
        <f t="shared" si="34"/>
        <v/>
      </c>
      <c r="K59" s="38" t="str">
        <f t="shared" si="35"/>
        <v/>
      </c>
      <c r="L59" s="38" t="str">
        <f>IF(J59&lt;&gt;"",IF(AND(J59&gt;='TABEL KONVERSI'!$B$3,'ENTRY DATA'!J59&lt;='TABEL KONVERSI'!$C$3),1,IF(AND(J59&gt;='TABEL KONVERSI'!$B$4,'ENTRY DATA'!J59&lt;='TABEL KONVERSI'!$C$4),2,IF(AND(J59&gt;='TABEL KONVERSI'!$B$5,'ENTRY DATA'!J59&lt;='TABEL KONVERSI'!$C$5),3,IF(AND(J59&gt;='TABEL KONVERSI'!$B$6,'ENTRY DATA'!J59&lt;='TABEL KONVERSI'!$C$6),4,"")))),"-")</f>
        <v>-</v>
      </c>
      <c r="M59" s="38" t="str">
        <f>IF(K59&lt;&gt;"",IF(AND(K59&gt;='TABEL KONVERSI'!$B$3,'ENTRY DATA'!K59&lt;='TABEL KONVERSI'!$C$3),1,IF(AND(K59&gt;='TABEL KONVERSI'!$B$4,'ENTRY DATA'!K59&lt;='TABEL KONVERSI'!$C$4),2,IF(AND(K59&gt;='TABEL KONVERSI'!$B$5,'ENTRY DATA'!K59&lt;='TABEL KONVERSI'!$C$5),3,IF(AND(K59&gt;='TABEL KONVERSI'!$B$6,'ENTRY DATA'!K59&lt;='TABEL KONVERSI'!$C$6),4,"")))),"-")</f>
        <v>-</v>
      </c>
      <c r="N59" s="38" t="str">
        <f t="shared" si="36"/>
        <v>-</v>
      </c>
      <c r="O59" s="38" t="str">
        <f>VLOOKUP(L59,'TABEL KONVERSI'!$A$3:$D$7,4)</f>
        <v>-</v>
      </c>
      <c r="P59" s="38" t="str">
        <f t="shared" si="37"/>
        <v>-</v>
      </c>
      <c r="Q59" s="38" t="str">
        <f>VLOOKUP(M59,'TABEL KONVERSI'!$A$3:$D$7,4)</f>
        <v>-</v>
      </c>
      <c r="R59" s="42"/>
      <c r="S59" s="37"/>
      <c r="T59" s="73"/>
      <c r="U59" s="73"/>
      <c r="V59" s="38" t="str">
        <f t="shared" si="38"/>
        <v/>
      </c>
      <c r="W59" s="38" t="str">
        <f t="shared" si="39"/>
        <v/>
      </c>
      <c r="X59" s="38" t="str">
        <f>IF(V59&lt;&gt;"",IF(AND(V59&gt;='TABEL KONVERSI'!$B$3,'ENTRY DATA'!V59&lt;='TABEL KONVERSI'!$C$3),1,IF(AND(V59&gt;='TABEL KONVERSI'!$B$4,'ENTRY DATA'!V59&lt;='TABEL KONVERSI'!$C$4),2,IF(AND(V59&gt;='TABEL KONVERSI'!$B$5,'ENTRY DATA'!V59&lt;='TABEL KONVERSI'!$C$5),3,IF(AND(V59&gt;='TABEL KONVERSI'!$B$6,'ENTRY DATA'!V59&lt;='TABEL KONVERSI'!$C$6),4,"")))),"-")</f>
        <v>-</v>
      </c>
      <c r="Y59" s="38" t="str">
        <f>IF(W59&lt;&gt;"",IF(AND(W59&gt;='TABEL KONVERSI'!$B$3,'ENTRY DATA'!W59&lt;='TABEL KONVERSI'!$C$3),1,IF(AND(W59&gt;='TABEL KONVERSI'!$B$4,'ENTRY DATA'!W59&lt;='TABEL KONVERSI'!$C$4),2,IF(AND(W59&gt;='TABEL KONVERSI'!$B$5,'ENTRY DATA'!W59&lt;='TABEL KONVERSI'!$C$5),3,IF(AND(W59&gt;='TABEL KONVERSI'!$B$6,'ENTRY DATA'!W59&lt;='TABEL KONVERSI'!$C$6),4,"")))),"-")</f>
        <v>-</v>
      </c>
      <c r="Z59" s="38" t="str">
        <f t="shared" si="40"/>
        <v>-</v>
      </c>
      <c r="AA59" s="38" t="str">
        <f>VLOOKUP(X59,'TABEL KONVERSI'!$A$3:$D$7,4)</f>
        <v>-</v>
      </c>
      <c r="AB59" s="38" t="str">
        <f t="shared" si="41"/>
        <v>-</v>
      </c>
      <c r="AC59" s="38" t="str">
        <f>VLOOKUP(Y59,'TABEL KONVERSI'!$A$3:$D$7,4)</f>
        <v>-</v>
      </c>
      <c r="AD59" s="42"/>
      <c r="AE59" s="37"/>
      <c r="AF59" s="73"/>
      <c r="AG59" s="73"/>
      <c r="AH59" s="38" t="str">
        <f t="shared" si="42"/>
        <v/>
      </c>
      <c r="AI59" s="38" t="str">
        <f t="shared" si="43"/>
        <v/>
      </c>
      <c r="AJ59" s="38" t="str">
        <f>IF(AH59&lt;&gt;"",IF(AND(AH59&gt;='TABEL KONVERSI'!$B$3,'ENTRY DATA'!AH59&lt;='TABEL KONVERSI'!$C$3),1,IF(AND(AH59&gt;='TABEL KONVERSI'!$B$4,'ENTRY DATA'!AH59&lt;='TABEL KONVERSI'!$C$4),2,IF(AND(AH59&gt;='TABEL KONVERSI'!$B$5,'ENTRY DATA'!AH59&lt;='TABEL KONVERSI'!$C$5),3,IF(AND(AH59&gt;='TABEL KONVERSI'!$B$6,'ENTRY DATA'!AH59&lt;='TABEL KONVERSI'!$C$6),4,"")))),"-")</f>
        <v>-</v>
      </c>
      <c r="AK59" s="38" t="str">
        <f>IF(AI59&lt;&gt;"",IF(AND(AI59&gt;='TABEL KONVERSI'!$B$3,'ENTRY DATA'!AI59&lt;='TABEL KONVERSI'!$C$3),1,IF(AND(AI59&gt;='TABEL KONVERSI'!$B$4,'ENTRY DATA'!AI59&lt;='TABEL KONVERSI'!$C$4),2,IF(AND(AI59&gt;='TABEL KONVERSI'!$B$5,'ENTRY DATA'!AI59&lt;='TABEL KONVERSI'!$C$5),3,IF(AND(AI59&gt;='TABEL KONVERSI'!$B$6,'ENTRY DATA'!AI59&lt;='TABEL KONVERSI'!$C$6),4,"")))),"-")</f>
        <v>-</v>
      </c>
      <c r="AL59" s="38" t="str">
        <f t="shared" si="44"/>
        <v>-</v>
      </c>
      <c r="AM59" s="38" t="str">
        <f>VLOOKUP(AJ59,'TABEL KONVERSI'!$A$3:$D$7,4)</f>
        <v>-</v>
      </c>
      <c r="AN59" s="38" t="str">
        <f t="shared" si="45"/>
        <v>-</v>
      </c>
      <c r="AO59" s="38" t="str">
        <f>VLOOKUP(AK59,'TABEL KONVERSI'!$A$3:$D$7,4)</f>
        <v>-</v>
      </c>
      <c r="AP59" s="42"/>
      <c r="AQ59" s="37"/>
      <c r="AR59" s="73"/>
      <c r="AS59" s="73"/>
      <c r="AT59" s="38" t="str">
        <f t="shared" si="46"/>
        <v/>
      </c>
      <c r="AU59" s="38" t="str">
        <f t="shared" si="47"/>
        <v/>
      </c>
      <c r="AV59" s="38" t="str">
        <f>IF(AT59&lt;&gt;"",IF(AND(AT59&gt;='TABEL KONVERSI'!$B$3,'ENTRY DATA'!AT59&lt;='TABEL KONVERSI'!$C$3),1,IF(AND(AT59&gt;='TABEL KONVERSI'!$B$4,'ENTRY DATA'!AT59&lt;='TABEL KONVERSI'!$C$4),2,IF(AND(AT59&gt;='TABEL KONVERSI'!$B$5,'ENTRY DATA'!AT59&lt;='TABEL KONVERSI'!$C$5),3,IF(AND(AT59&gt;='TABEL KONVERSI'!$B$6,'ENTRY DATA'!AT59&lt;='TABEL KONVERSI'!$C$6),4,"")))),"-")</f>
        <v>-</v>
      </c>
      <c r="AW59" s="38" t="str">
        <f>IF(AU59&lt;&gt;"",IF(AND(AU59&gt;='TABEL KONVERSI'!$B$3,'ENTRY DATA'!AU59&lt;='TABEL KONVERSI'!$C$3),1,IF(AND(AU59&gt;='TABEL KONVERSI'!$B$4,'ENTRY DATA'!AU59&lt;='TABEL KONVERSI'!$C$4),2,IF(AND(AU59&gt;='TABEL KONVERSI'!$B$5,'ENTRY DATA'!AU59&lt;='TABEL KONVERSI'!$C$5),3,IF(AND(AU59&gt;='TABEL KONVERSI'!$B$6,'ENTRY DATA'!AU59&lt;='TABEL KONVERSI'!$C$6),4,"")))),"-")</f>
        <v>-</v>
      </c>
      <c r="AX59" s="38" t="str">
        <f t="shared" si="48"/>
        <v>-</v>
      </c>
      <c r="AY59" s="38" t="str">
        <f>VLOOKUP(AV59,'TABEL KONVERSI'!$A$3:$D$7,4)</f>
        <v>-</v>
      </c>
      <c r="AZ59" s="38" t="str">
        <f t="shared" si="49"/>
        <v>-</v>
      </c>
      <c r="BA59" s="38" t="str">
        <f>VLOOKUP(AW59,'TABEL KONVERSI'!$A$3:$D$7,4)</f>
        <v>-</v>
      </c>
      <c r="BB59" s="42"/>
      <c r="BC59" s="37"/>
      <c r="BD59" s="73"/>
      <c r="BE59" s="73"/>
      <c r="BF59" s="38" t="str">
        <f t="shared" si="50"/>
        <v/>
      </c>
      <c r="BG59" s="38" t="str">
        <f t="shared" si="51"/>
        <v/>
      </c>
      <c r="BH59" s="38" t="str">
        <f>IF(BF59&lt;&gt;"",IF(AND(BF59&gt;='TABEL KONVERSI'!$B$3,'ENTRY DATA'!BF59&lt;='TABEL KONVERSI'!$C$3),1,IF(AND(BF59&gt;='TABEL KONVERSI'!$B$4,'ENTRY DATA'!BF59&lt;='TABEL KONVERSI'!$C$4),2,IF(AND(BF59&gt;='TABEL KONVERSI'!$B$5,'ENTRY DATA'!BF59&lt;='TABEL KONVERSI'!$C$5),3,IF(AND(BF59&gt;='TABEL KONVERSI'!$B$6,'ENTRY DATA'!BF59&lt;='TABEL KONVERSI'!$C$6),4,"")))),"-")</f>
        <v>-</v>
      </c>
      <c r="BI59" s="38" t="str">
        <f>IF(BG59&lt;&gt;"",IF(AND(BG59&gt;='TABEL KONVERSI'!$B$3,'ENTRY DATA'!BG59&lt;='TABEL KONVERSI'!$C$3),1,IF(AND(BG59&gt;='TABEL KONVERSI'!$B$4,'ENTRY DATA'!BG59&lt;='TABEL KONVERSI'!$C$4),2,IF(AND(BG59&gt;='TABEL KONVERSI'!$B$5,'ENTRY DATA'!BG59&lt;='TABEL KONVERSI'!$C$5),3,IF(AND(BG59&gt;='TABEL KONVERSI'!$B$6,'ENTRY DATA'!BG59&lt;='TABEL KONVERSI'!$C$6),4,"")))),"-")</f>
        <v>-</v>
      </c>
      <c r="BJ59" s="38" t="str">
        <f t="shared" si="52"/>
        <v>-</v>
      </c>
      <c r="BK59" s="38" t="str">
        <f>VLOOKUP(BH59,'TABEL KONVERSI'!$A$3:$D$7,4)</f>
        <v>-</v>
      </c>
      <c r="BL59" s="38" t="str">
        <f t="shared" si="53"/>
        <v>-</v>
      </c>
      <c r="BM59" s="38" t="str">
        <f>VLOOKUP(BI59,'TABEL KONVERSI'!$A$3:$D$7,4)</f>
        <v>-</v>
      </c>
      <c r="BN59" s="42"/>
      <c r="BO59" s="37"/>
      <c r="BP59" s="73"/>
      <c r="BQ59" s="73"/>
      <c r="BR59" s="38" t="str">
        <f t="shared" si="54"/>
        <v/>
      </c>
      <c r="BS59" s="38" t="str">
        <f t="shared" si="55"/>
        <v/>
      </c>
      <c r="BT59" s="38" t="str">
        <f>IF(BR59&lt;&gt;"",IF(AND(BR59&gt;='TABEL KONVERSI'!$B$3,'ENTRY DATA'!BR59&lt;='TABEL KONVERSI'!$C$3),1,IF(AND(BR59&gt;='TABEL KONVERSI'!$B$4,'ENTRY DATA'!BR59&lt;='TABEL KONVERSI'!$C$4),2,IF(AND(BR59&gt;='TABEL KONVERSI'!$B$5,'ENTRY DATA'!BR59&lt;='TABEL KONVERSI'!$C$5),3,IF(AND(BR59&gt;='TABEL KONVERSI'!$B$6,'ENTRY DATA'!BR59&lt;='TABEL KONVERSI'!$C$6),4,"")))),"-")</f>
        <v>-</v>
      </c>
      <c r="BU59" s="38" t="str">
        <f>IF(BS59&lt;&gt;"",IF(AND(BS59&gt;='TABEL KONVERSI'!$B$3,'ENTRY DATA'!BS59&lt;='TABEL KONVERSI'!$C$3),1,IF(AND(BS59&gt;='TABEL KONVERSI'!$B$4,'ENTRY DATA'!BS59&lt;='TABEL KONVERSI'!$C$4),2,IF(AND(BS59&gt;='TABEL KONVERSI'!$B$5,'ENTRY DATA'!BS59&lt;='TABEL KONVERSI'!$C$5),3,IF(AND(BS59&gt;='TABEL KONVERSI'!$B$6,'ENTRY DATA'!BS59&lt;='TABEL KONVERSI'!$C$6),4,"")))),"-")</f>
        <v>-</v>
      </c>
      <c r="BV59" s="38" t="str">
        <f t="shared" si="56"/>
        <v>-</v>
      </c>
      <c r="BW59" s="38" t="str">
        <f>VLOOKUP(BT59,'TABEL KONVERSI'!$A$3:$D$7,4)</f>
        <v>-</v>
      </c>
      <c r="BX59" s="38" t="str">
        <f t="shared" si="57"/>
        <v>-</v>
      </c>
      <c r="BY59" s="38" t="str">
        <f>VLOOKUP(BU59,'TABEL KONVERSI'!$A$3:$D$7,4)</f>
        <v>-</v>
      </c>
      <c r="BZ59" s="42"/>
      <c r="CA59" s="37"/>
      <c r="CB59" s="73"/>
      <c r="CC59" s="73"/>
      <c r="CD59" s="38" t="str">
        <f t="shared" si="58"/>
        <v/>
      </c>
      <c r="CE59" s="38" t="str">
        <f t="shared" si="59"/>
        <v/>
      </c>
      <c r="CF59" s="38" t="str">
        <f>IF(CD59&lt;&gt;"",IF(AND(CD59&gt;='TABEL KONVERSI'!$B$3,'ENTRY DATA'!CD59&lt;='TABEL KONVERSI'!$C$3),1,IF(AND(CD59&gt;='TABEL KONVERSI'!$B$4,'ENTRY DATA'!CD59&lt;='TABEL KONVERSI'!$C$4),2,IF(AND(CD59&gt;='TABEL KONVERSI'!$B$5,'ENTRY DATA'!CD59&lt;='TABEL KONVERSI'!$C$5),3,IF(AND(CD59&gt;='TABEL KONVERSI'!$B$6,'ENTRY DATA'!CD59&lt;='TABEL KONVERSI'!$C$6),4,"")))),"-")</f>
        <v>-</v>
      </c>
      <c r="CG59" s="38" t="str">
        <f>IF(CE59&lt;&gt;"",IF(AND(CE59&gt;='TABEL KONVERSI'!$B$3,'ENTRY DATA'!CE59&lt;='TABEL KONVERSI'!$C$3),1,IF(AND(CE59&gt;='TABEL KONVERSI'!$B$4,'ENTRY DATA'!CE59&lt;='TABEL KONVERSI'!$C$4),2,IF(AND(CE59&gt;='TABEL KONVERSI'!$B$5,'ENTRY DATA'!CE59&lt;='TABEL KONVERSI'!$C$5),3,IF(AND(CE59&gt;='TABEL KONVERSI'!$B$6,'ENTRY DATA'!CE59&lt;='TABEL KONVERSI'!$C$6),4,"")))),"-")</f>
        <v>-</v>
      </c>
      <c r="CH59" s="38" t="str">
        <f t="shared" si="60"/>
        <v>-</v>
      </c>
      <c r="CI59" s="38" t="str">
        <f>VLOOKUP(CF59,'TABEL KONVERSI'!$A$3:$D$7,4)</f>
        <v>-</v>
      </c>
      <c r="CJ59" s="38" t="str">
        <f t="shared" si="61"/>
        <v>-</v>
      </c>
      <c r="CK59" s="38" t="str">
        <f>VLOOKUP(CG59,'TABEL KONVERSI'!$A$3:$D$7,4)</f>
        <v>-</v>
      </c>
      <c r="CL59" s="42"/>
      <c r="CM59" s="37"/>
      <c r="CN59" s="73"/>
      <c r="CO59" s="73"/>
      <c r="CP59" s="38" t="str">
        <f t="shared" si="62"/>
        <v/>
      </c>
      <c r="CQ59" s="38" t="str">
        <f t="shared" si="63"/>
        <v/>
      </c>
      <c r="CR59" s="38" t="str">
        <f>IF(CP59&lt;&gt;"",IF(AND(CP59&gt;='TABEL KONVERSI'!$B$3,'ENTRY DATA'!CP59&lt;='TABEL KONVERSI'!$C$3),1,IF(AND(CP59&gt;='TABEL KONVERSI'!$B$4,'ENTRY DATA'!CP59&lt;='TABEL KONVERSI'!$C$4),2,IF(AND(CP59&gt;='TABEL KONVERSI'!$B$5,'ENTRY DATA'!CP59&lt;='TABEL KONVERSI'!$C$5),3,IF(AND(CP59&gt;='TABEL KONVERSI'!$B$6,'ENTRY DATA'!CP59&lt;='TABEL KONVERSI'!$C$6),4,"")))),"-")</f>
        <v>-</v>
      </c>
      <c r="CS59" s="38" t="str">
        <f>IF(CQ59&lt;&gt;"",IF(AND(CQ59&gt;='TABEL KONVERSI'!$B$3,'ENTRY DATA'!CQ59&lt;='TABEL KONVERSI'!$C$3),1,IF(AND(CQ59&gt;='TABEL KONVERSI'!$B$4,'ENTRY DATA'!CQ59&lt;='TABEL KONVERSI'!$C$4),2,IF(AND(CQ59&gt;='TABEL KONVERSI'!$B$5,'ENTRY DATA'!CQ59&lt;='TABEL KONVERSI'!$C$5),3,IF(AND(CQ59&gt;='TABEL KONVERSI'!$B$6,'ENTRY DATA'!CQ59&lt;='TABEL KONVERSI'!$C$6),4,"")))),"-")</f>
        <v>-</v>
      </c>
      <c r="CT59" s="38" t="str">
        <f t="shared" si="64"/>
        <v>-</v>
      </c>
      <c r="CU59" s="38" t="str">
        <f>VLOOKUP(CR59,'TABEL KONVERSI'!$A$3:$D$7,4)</f>
        <v>-</v>
      </c>
      <c r="CV59" s="38" t="str">
        <f t="shared" si="65"/>
        <v>-</v>
      </c>
      <c r="CW59" s="38" t="str">
        <f>VLOOKUP(CS59,'TABEL KONVERSI'!$A$3:$D$7,4)</f>
        <v>-</v>
      </c>
      <c r="CX59" s="42"/>
      <c r="CY59" s="37"/>
      <c r="CZ59" s="73"/>
      <c r="DA59" s="73"/>
      <c r="DB59" s="38" t="str">
        <f t="shared" si="66"/>
        <v/>
      </c>
      <c r="DC59" s="38" t="str">
        <f t="shared" si="67"/>
        <v/>
      </c>
      <c r="DD59" s="38" t="str">
        <f>IF(DB59&lt;&gt;"",IF(AND(DB59&gt;='TABEL KONVERSI'!$B$3,'ENTRY DATA'!DB59&lt;='TABEL KONVERSI'!$C$3),1,IF(AND(DB59&gt;='TABEL KONVERSI'!$B$4,'ENTRY DATA'!DB59&lt;='TABEL KONVERSI'!$C$4),2,IF(AND(DB59&gt;='TABEL KONVERSI'!$B$5,'ENTRY DATA'!DB59&lt;='TABEL KONVERSI'!$C$5),3,IF(AND(DB59&gt;='TABEL KONVERSI'!$B$6,'ENTRY DATA'!DB59&lt;='TABEL KONVERSI'!$C$6),4,"")))),"-")</f>
        <v>-</v>
      </c>
      <c r="DE59" s="38" t="str">
        <f>IF(DC59&lt;&gt;"",IF(AND(DC59&gt;='TABEL KONVERSI'!$B$3,'ENTRY DATA'!DC59&lt;='TABEL KONVERSI'!$C$3),1,IF(AND(DC59&gt;='TABEL KONVERSI'!$B$4,'ENTRY DATA'!DC59&lt;='TABEL KONVERSI'!$C$4),2,IF(AND(DC59&gt;='TABEL KONVERSI'!$B$5,'ENTRY DATA'!DC59&lt;='TABEL KONVERSI'!$C$5),3,IF(AND(DC59&gt;='TABEL KONVERSI'!$B$6,'ENTRY DATA'!DC59&lt;='TABEL KONVERSI'!$C$6),4,"")))),"-")</f>
        <v>-</v>
      </c>
      <c r="DF59" s="38" t="str">
        <f t="shared" si="68"/>
        <v>-</v>
      </c>
      <c r="DG59" s="38" t="str">
        <f>VLOOKUP(DD59,'TABEL KONVERSI'!$A$3:$D$7,4)</f>
        <v>-</v>
      </c>
      <c r="DH59" s="38" t="str">
        <f t="shared" si="69"/>
        <v>-</v>
      </c>
      <c r="DI59" s="38" t="str">
        <f>VLOOKUP(DE59,'TABEL KONVERSI'!$A$3:$D$7,4)</f>
        <v>-</v>
      </c>
      <c r="DJ59" s="42"/>
      <c r="DK59" s="37"/>
      <c r="DL59" s="73"/>
      <c r="DM59" s="73"/>
      <c r="DN59" s="38" t="str">
        <f t="shared" si="70"/>
        <v/>
      </c>
      <c r="DO59" s="38" t="str">
        <f t="shared" si="71"/>
        <v/>
      </c>
      <c r="DP59" s="38" t="str">
        <f>IF(DN59&lt;&gt;"",IF(AND(DN59&gt;='TABEL KONVERSI'!$B$3,'ENTRY DATA'!DN59&lt;='TABEL KONVERSI'!$C$3),1,IF(AND(DN59&gt;='TABEL KONVERSI'!$B$4,'ENTRY DATA'!DN59&lt;='TABEL KONVERSI'!$C$4),2,IF(AND(DN59&gt;='TABEL KONVERSI'!$B$5,'ENTRY DATA'!DN59&lt;='TABEL KONVERSI'!$C$5),3,IF(AND(DN59&gt;='TABEL KONVERSI'!$B$6,'ENTRY DATA'!DN59&lt;='TABEL KONVERSI'!$C$6),4,"")))),"-")</f>
        <v>-</v>
      </c>
      <c r="DQ59" s="38" t="str">
        <f>IF(DO59&lt;&gt;"",IF(AND(DO59&gt;='TABEL KONVERSI'!$B$3,'ENTRY DATA'!DO59&lt;='TABEL KONVERSI'!$C$3),1,IF(AND(DO59&gt;='TABEL KONVERSI'!$B$4,'ENTRY DATA'!DO59&lt;='TABEL KONVERSI'!$C$4),2,IF(AND(DO59&gt;='TABEL KONVERSI'!$B$5,'ENTRY DATA'!DO59&lt;='TABEL KONVERSI'!$C$5),3,IF(AND(DO59&gt;='TABEL KONVERSI'!$B$6,'ENTRY DATA'!DO59&lt;='TABEL KONVERSI'!$C$6),4,"")))),"-")</f>
        <v>-</v>
      </c>
      <c r="DR59" s="38" t="str">
        <f t="shared" si="72"/>
        <v>-</v>
      </c>
      <c r="DS59" s="38" t="str">
        <f>VLOOKUP(DP59,'TABEL KONVERSI'!$A$3:$D$7,4)</f>
        <v>-</v>
      </c>
      <c r="DT59" s="38" t="str">
        <f t="shared" si="73"/>
        <v>-</v>
      </c>
      <c r="DU59" s="38" t="str">
        <f>VLOOKUP(DQ59,'TABEL KONVERSI'!$A$3:$D$7,4)</f>
        <v>-</v>
      </c>
      <c r="DV59" s="42"/>
      <c r="DW59" s="37"/>
      <c r="DX59" s="73"/>
      <c r="DY59" s="73"/>
      <c r="DZ59" s="38" t="str">
        <f t="shared" si="74"/>
        <v/>
      </c>
      <c r="EA59" s="38" t="str">
        <f t="shared" si="75"/>
        <v/>
      </c>
      <c r="EB59" s="38" t="str">
        <f>IF(DZ59&lt;&gt;"",IF(AND(DZ59&gt;='TABEL KONVERSI'!$B$3,'ENTRY DATA'!DZ59&lt;='TABEL KONVERSI'!$C$3),1,IF(AND(DZ59&gt;='TABEL KONVERSI'!$B$4,'ENTRY DATA'!DZ59&lt;='TABEL KONVERSI'!$C$4),2,IF(AND(DZ59&gt;='TABEL KONVERSI'!$B$5,'ENTRY DATA'!DZ59&lt;='TABEL KONVERSI'!$C$5),3,IF(AND(DZ59&gt;='TABEL KONVERSI'!$B$6,'ENTRY DATA'!DZ59&lt;='TABEL KONVERSI'!$C$6),4,"")))),"-")</f>
        <v>-</v>
      </c>
      <c r="EC59" s="38" t="str">
        <f>IF(EA59&lt;&gt;"",IF(AND(EA59&gt;='TABEL KONVERSI'!$B$3,'ENTRY DATA'!EA59&lt;='TABEL KONVERSI'!$C$3),1,IF(AND(EA59&gt;='TABEL KONVERSI'!$B$4,'ENTRY DATA'!EA59&lt;='TABEL KONVERSI'!$C$4),2,IF(AND(EA59&gt;='TABEL KONVERSI'!$B$5,'ENTRY DATA'!EA59&lt;='TABEL KONVERSI'!$C$5),3,IF(AND(EA59&gt;='TABEL KONVERSI'!$B$6,'ENTRY DATA'!EA59&lt;='TABEL KONVERSI'!$C$6),4,"")))),"-")</f>
        <v>-</v>
      </c>
      <c r="ED59" s="38" t="str">
        <f t="shared" si="76"/>
        <v>-</v>
      </c>
      <c r="EE59" s="38" t="str">
        <f>VLOOKUP(EB59,'TABEL KONVERSI'!$A$3:$D$7,4)</f>
        <v>-</v>
      </c>
      <c r="EF59" s="38" t="str">
        <f t="shared" si="77"/>
        <v>-</v>
      </c>
      <c r="EG59" s="38" t="str">
        <f>VLOOKUP(EC59,'TABEL KONVERSI'!$A$3:$D$7,4)</f>
        <v>-</v>
      </c>
      <c r="EH59" s="42"/>
      <c r="EI59" s="37"/>
      <c r="EJ59" s="73"/>
      <c r="EK59" s="73"/>
      <c r="EL59" s="38" t="str">
        <f t="shared" si="78"/>
        <v/>
      </c>
      <c r="EM59" s="38" t="str">
        <f t="shared" si="79"/>
        <v/>
      </c>
      <c r="EN59" s="38" t="str">
        <f>IF(EL59&lt;&gt;"",IF(AND(EL59&gt;='TABEL KONVERSI'!$B$3,'ENTRY DATA'!EL59&lt;='TABEL KONVERSI'!$C$3),1,IF(AND(EL59&gt;='TABEL KONVERSI'!$B$4,'ENTRY DATA'!EL59&lt;='TABEL KONVERSI'!$C$4),2,IF(AND(EL59&gt;='TABEL KONVERSI'!$B$5,'ENTRY DATA'!EL59&lt;='TABEL KONVERSI'!$C$5),3,IF(AND(EL59&gt;='TABEL KONVERSI'!$B$6,'ENTRY DATA'!EL59&lt;='TABEL KONVERSI'!$C$6),4,"")))),"-")</f>
        <v>-</v>
      </c>
      <c r="EO59" s="38" t="str">
        <f>IF(EM59&lt;&gt;"",IF(AND(EM59&gt;='TABEL KONVERSI'!$B$3,'ENTRY DATA'!EM59&lt;='TABEL KONVERSI'!$C$3),1,IF(AND(EM59&gt;='TABEL KONVERSI'!$B$4,'ENTRY DATA'!EM59&lt;='TABEL KONVERSI'!$C$4),2,IF(AND(EM59&gt;='TABEL KONVERSI'!$B$5,'ENTRY DATA'!EM59&lt;='TABEL KONVERSI'!$C$5),3,IF(AND(EM59&gt;='TABEL KONVERSI'!$B$6,'ENTRY DATA'!EM59&lt;='TABEL KONVERSI'!$C$6),4,"")))),"-")</f>
        <v>-</v>
      </c>
      <c r="EP59" s="38" t="str">
        <f t="shared" si="80"/>
        <v>-</v>
      </c>
      <c r="EQ59" s="38" t="str">
        <f>VLOOKUP(EN59,'TABEL KONVERSI'!$A$3:$D$7,4)</f>
        <v>-</v>
      </c>
      <c r="ER59" s="38" t="str">
        <f t="shared" si="81"/>
        <v>-</v>
      </c>
      <c r="ES59" s="38" t="str">
        <f>VLOOKUP(EO59,'TABEL KONVERSI'!$A$3:$D$7,4)</f>
        <v>-</v>
      </c>
      <c r="ET59" s="42"/>
      <c r="EU59" s="37"/>
      <c r="EV59" s="73"/>
      <c r="EW59" s="73"/>
      <c r="EX59" s="38" t="str">
        <f t="shared" si="82"/>
        <v/>
      </c>
      <c r="EY59" s="38" t="str">
        <f t="shared" si="83"/>
        <v/>
      </c>
      <c r="EZ59" s="38" t="str">
        <f>IF(EX59&lt;&gt;"",IF(AND(EX59&gt;='TABEL KONVERSI'!$B$3,'ENTRY DATA'!EX59&lt;='TABEL KONVERSI'!$C$3),1,IF(AND(EX59&gt;='TABEL KONVERSI'!$B$4,'ENTRY DATA'!EX59&lt;='TABEL KONVERSI'!$C$4),2,IF(AND(EX59&gt;='TABEL KONVERSI'!$B$5,'ENTRY DATA'!EX59&lt;='TABEL KONVERSI'!$C$5),3,IF(AND(EX59&gt;='TABEL KONVERSI'!$B$6,'ENTRY DATA'!EX59&lt;='TABEL KONVERSI'!$C$6),4,"")))),"-")</f>
        <v>-</v>
      </c>
      <c r="FA59" s="38" t="str">
        <f>IF(EY59&lt;&gt;"",IF(AND(EY59&gt;='TABEL KONVERSI'!$B$3,'ENTRY DATA'!EY59&lt;='TABEL KONVERSI'!$C$3),1,IF(AND(EY59&gt;='TABEL KONVERSI'!$B$4,'ENTRY DATA'!EY59&lt;='TABEL KONVERSI'!$C$4),2,IF(AND(EY59&gt;='TABEL KONVERSI'!$B$5,'ENTRY DATA'!EY59&lt;='TABEL KONVERSI'!$C$5),3,IF(AND(EY59&gt;='TABEL KONVERSI'!$B$6,'ENTRY DATA'!EY59&lt;='TABEL KONVERSI'!$C$6),4,"")))),"-")</f>
        <v>-</v>
      </c>
      <c r="FB59" s="38" t="str">
        <f t="shared" si="84"/>
        <v>-</v>
      </c>
      <c r="FC59" s="38" t="str">
        <f>VLOOKUP(EZ59,'TABEL KONVERSI'!$A$3:$D$7,4)</f>
        <v>-</v>
      </c>
      <c r="FD59" s="38" t="str">
        <f t="shared" si="85"/>
        <v>-</v>
      </c>
      <c r="FE59" s="38" t="str">
        <f>VLOOKUP(FA59,'TABEL KONVERSI'!$A$3:$D$7,4)</f>
        <v>-</v>
      </c>
      <c r="FF59" s="42"/>
      <c r="FG59" s="37"/>
      <c r="FH59" s="73"/>
      <c r="FI59" s="73"/>
      <c r="FJ59" s="38" t="str">
        <f t="shared" si="86"/>
        <v/>
      </c>
      <c r="FK59" s="38" t="str">
        <f t="shared" si="87"/>
        <v/>
      </c>
      <c r="FL59" s="38" t="str">
        <f>IF(FJ59&lt;&gt;"",IF(AND(FJ59&gt;='TABEL KONVERSI'!$B$3,'ENTRY DATA'!FJ59&lt;='TABEL KONVERSI'!$C$3),1,IF(AND(FJ59&gt;='TABEL KONVERSI'!$B$4,'ENTRY DATA'!FJ59&lt;='TABEL KONVERSI'!$C$4),2,IF(AND(FJ59&gt;='TABEL KONVERSI'!$B$5,'ENTRY DATA'!FJ59&lt;='TABEL KONVERSI'!$C$5),3,IF(AND(FJ59&gt;='TABEL KONVERSI'!$B$6,'ENTRY DATA'!FJ59&lt;='TABEL KONVERSI'!$C$6),4,"")))),"-")</f>
        <v>-</v>
      </c>
      <c r="FM59" s="38" t="str">
        <f>IF(FK59&lt;&gt;"",IF(AND(FK59&gt;='TABEL KONVERSI'!$B$3,'ENTRY DATA'!FK59&lt;='TABEL KONVERSI'!$C$3),1,IF(AND(FK59&gt;='TABEL KONVERSI'!$B$4,'ENTRY DATA'!FK59&lt;='TABEL KONVERSI'!$C$4),2,IF(AND(FK59&gt;='TABEL KONVERSI'!$B$5,'ENTRY DATA'!FK59&lt;='TABEL KONVERSI'!$C$5),3,IF(AND(FK59&gt;='TABEL KONVERSI'!$B$6,'ENTRY DATA'!FK59&lt;='TABEL KONVERSI'!$C$6),4,"")))),"-")</f>
        <v>-</v>
      </c>
      <c r="FN59" s="38" t="str">
        <f t="shared" si="88"/>
        <v>-</v>
      </c>
      <c r="FO59" s="38" t="str">
        <f>VLOOKUP(FL59,'TABEL KONVERSI'!$A$3:$D$7,4)</f>
        <v>-</v>
      </c>
      <c r="FP59" s="38" t="str">
        <f t="shared" si="89"/>
        <v>-</v>
      </c>
      <c r="FQ59" s="38" t="str">
        <f>VLOOKUP(FM59,'TABEL KONVERSI'!$A$3:$D$7,4)</f>
        <v>-</v>
      </c>
      <c r="FR59" s="42"/>
      <c r="FS59" s="37"/>
      <c r="FT59" s="73"/>
      <c r="FU59" s="73"/>
      <c r="FV59" s="38" t="str">
        <f t="shared" si="90"/>
        <v/>
      </c>
      <c r="FW59" s="38" t="str">
        <f t="shared" si="91"/>
        <v/>
      </c>
      <c r="FX59" s="38" t="str">
        <f>IF(FV59&lt;&gt;"",IF(AND(FV59&gt;='TABEL KONVERSI'!$B$3,'ENTRY DATA'!FV59&lt;='TABEL KONVERSI'!$C$3),1,IF(AND(FV59&gt;='TABEL KONVERSI'!$B$4,'ENTRY DATA'!FV59&lt;='TABEL KONVERSI'!$C$4),2,IF(AND(FV59&gt;='TABEL KONVERSI'!$B$5,'ENTRY DATA'!FV59&lt;='TABEL KONVERSI'!$C$5),3,IF(AND(FV59&gt;='TABEL KONVERSI'!$B$6,'ENTRY DATA'!FV59&lt;='TABEL KONVERSI'!$C$6),4,"")))),"-")</f>
        <v>-</v>
      </c>
      <c r="FY59" s="38" t="str">
        <f>IF(FW59&lt;&gt;"",IF(AND(FW59&gt;='TABEL KONVERSI'!$B$3,'ENTRY DATA'!FW59&lt;='TABEL KONVERSI'!$C$3),1,IF(AND(FW59&gt;='TABEL KONVERSI'!$B$4,'ENTRY DATA'!FW59&lt;='TABEL KONVERSI'!$C$4),2,IF(AND(FW59&gt;='TABEL KONVERSI'!$B$5,'ENTRY DATA'!FW59&lt;='TABEL KONVERSI'!$C$5),3,IF(AND(FW59&gt;='TABEL KONVERSI'!$B$6,'ENTRY DATA'!FW59&lt;='TABEL KONVERSI'!$C$6),4,"")))),"-")</f>
        <v>-</v>
      </c>
      <c r="FZ59" s="38" t="str">
        <f t="shared" si="92"/>
        <v>-</v>
      </c>
      <c r="GA59" s="38" t="str">
        <f>VLOOKUP(FX59,'TABEL KONVERSI'!$A$3:$D$7,4)</f>
        <v>-</v>
      </c>
      <c r="GB59" s="38" t="str">
        <f t="shared" si="93"/>
        <v>-</v>
      </c>
      <c r="GC59" s="38" t="str">
        <f>VLOOKUP(FY59,'TABEL KONVERSI'!$A$3:$D$7,4)</f>
        <v>-</v>
      </c>
      <c r="GD59" s="42"/>
      <c r="GE59" s="37"/>
      <c r="GF59" s="73"/>
      <c r="GG59" s="73"/>
      <c r="GH59" s="38" t="str">
        <f t="shared" si="94"/>
        <v/>
      </c>
      <c r="GI59" s="38" t="str">
        <f t="shared" si="95"/>
        <v/>
      </c>
      <c r="GJ59" s="38" t="str">
        <f>IF(GH59&lt;&gt;"",IF(AND(GH59&gt;='TABEL KONVERSI'!$B$3,'ENTRY DATA'!GH59&lt;='TABEL KONVERSI'!$C$3),1,IF(AND(GH59&gt;='TABEL KONVERSI'!$B$4,'ENTRY DATA'!GH59&lt;='TABEL KONVERSI'!$C$4),2,IF(AND(GH59&gt;='TABEL KONVERSI'!$B$5,'ENTRY DATA'!GH59&lt;='TABEL KONVERSI'!$C$5),3,IF(AND(GH59&gt;='TABEL KONVERSI'!$B$6,'ENTRY DATA'!GH59&lt;='TABEL KONVERSI'!$C$6),4,"")))),"-")</f>
        <v>-</v>
      </c>
      <c r="GK59" s="38" t="str">
        <f>IF(GI59&lt;&gt;"",IF(AND(GI59&gt;='TABEL KONVERSI'!$B$3,'ENTRY DATA'!GI59&lt;='TABEL KONVERSI'!$C$3),1,IF(AND(GI59&gt;='TABEL KONVERSI'!$B$4,'ENTRY DATA'!GI59&lt;='TABEL KONVERSI'!$C$4),2,IF(AND(GI59&gt;='TABEL KONVERSI'!$B$5,'ENTRY DATA'!GI59&lt;='TABEL KONVERSI'!$C$5),3,IF(AND(GI59&gt;='TABEL KONVERSI'!$B$6,'ENTRY DATA'!GI59&lt;='TABEL KONVERSI'!$C$6),4,"")))),"-")</f>
        <v>-</v>
      </c>
      <c r="GL59" s="38" t="str">
        <f t="shared" si="96"/>
        <v>-</v>
      </c>
      <c r="GM59" s="38" t="str">
        <f>VLOOKUP(GJ59,'TABEL KONVERSI'!$A$3:$D$7,4)</f>
        <v>-</v>
      </c>
      <c r="GN59" s="38" t="str">
        <f t="shared" si="97"/>
        <v>-</v>
      </c>
      <c r="GO59" s="38" t="str">
        <f>VLOOKUP(GK59,'TABEL KONVERSI'!$A$3:$D$7,4)</f>
        <v>-</v>
      </c>
      <c r="GP59" s="43">
        <f t="shared" si="108"/>
        <v>0</v>
      </c>
      <c r="GQ59" s="43">
        <f t="shared" si="109"/>
        <v>0</v>
      </c>
      <c r="GR59" s="43">
        <f t="shared" si="110"/>
        <v>0</v>
      </c>
      <c r="GS59" s="43">
        <f t="shared" si="111"/>
        <v>0</v>
      </c>
      <c r="GT59" s="43">
        <f t="shared" si="112"/>
        <v>0</v>
      </c>
      <c r="GU59" s="43">
        <f t="shared" si="113"/>
        <v>0</v>
      </c>
      <c r="GV59" s="43">
        <f t="shared" si="114"/>
        <v>0</v>
      </c>
      <c r="GW59" s="43">
        <f t="shared" si="115"/>
        <v>0</v>
      </c>
      <c r="GX59" s="43">
        <f t="shared" si="116"/>
        <v>0</v>
      </c>
      <c r="GY59" s="43">
        <f t="shared" si="117"/>
        <v>0</v>
      </c>
      <c r="GZ59" s="43">
        <f t="shared" si="118"/>
        <v>0</v>
      </c>
      <c r="HA59" s="43">
        <f t="shared" si="119"/>
        <v>0</v>
      </c>
      <c r="HB59" s="43">
        <f t="shared" si="120"/>
        <v>0</v>
      </c>
      <c r="HC59" s="43">
        <f t="shared" si="121"/>
        <v>0</v>
      </c>
      <c r="HD59" s="43">
        <f t="shared" si="122"/>
        <v>0</v>
      </c>
      <c r="HE59" s="43">
        <f t="shared" si="123"/>
        <v>0</v>
      </c>
      <c r="HF59" s="38">
        <f t="shared" si="98"/>
        <v>0</v>
      </c>
      <c r="HG59" s="38">
        <f t="shared" si="99"/>
        <v>0</v>
      </c>
      <c r="HH59" s="38">
        <f t="shared" si="100"/>
        <v>0</v>
      </c>
      <c r="HI59" s="39">
        <f t="shared" si="101"/>
        <v>0</v>
      </c>
      <c r="HJ59" s="44" t="str">
        <f t="shared" si="102"/>
        <v>-</v>
      </c>
      <c r="HK59" s="45" t="str">
        <f>VLOOKUP(HJ59,'TABEL KONVERSI'!$B$11:$D$15,2,0)</f>
        <v>-</v>
      </c>
      <c r="HL59" s="43">
        <f t="shared" si="124"/>
        <v>0</v>
      </c>
      <c r="HM59" s="43">
        <f t="shared" si="125"/>
        <v>0</v>
      </c>
      <c r="HN59" s="43">
        <f t="shared" si="126"/>
        <v>0</v>
      </c>
      <c r="HO59" s="43">
        <f t="shared" si="127"/>
        <v>0</v>
      </c>
      <c r="HP59" s="43">
        <f t="shared" si="128"/>
        <v>0</v>
      </c>
      <c r="HQ59" s="43">
        <f t="shared" si="129"/>
        <v>0</v>
      </c>
      <c r="HR59" s="43">
        <f t="shared" si="130"/>
        <v>0</v>
      </c>
      <c r="HS59" s="43">
        <f t="shared" si="131"/>
        <v>0</v>
      </c>
      <c r="HT59" s="43">
        <f t="shared" si="132"/>
        <v>0</v>
      </c>
      <c r="HU59" s="43">
        <f t="shared" si="133"/>
        <v>0</v>
      </c>
      <c r="HV59" s="43">
        <f t="shared" si="134"/>
        <v>0</v>
      </c>
      <c r="HW59" s="43">
        <f t="shared" si="135"/>
        <v>0</v>
      </c>
      <c r="HX59" s="43">
        <f t="shared" si="136"/>
        <v>0</v>
      </c>
      <c r="HY59" s="43">
        <f t="shared" si="137"/>
        <v>0</v>
      </c>
      <c r="HZ59" s="43">
        <f t="shared" si="138"/>
        <v>0</v>
      </c>
      <c r="IA59" s="43">
        <f t="shared" si="139"/>
        <v>0</v>
      </c>
      <c r="IB59" s="38">
        <f t="shared" si="103"/>
        <v>0</v>
      </c>
      <c r="IC59" s="38">
        <f t="shared" si="104"/>
        <v>0</v>
      </c>
      <c r="ID59" s="38">
        <f t="shared" si="105"/>
        <v>0</v>
      </c>
      <c r="IE59" s="38">
        <f t="shared" si="106"/>
        <v>0</v>
      </c>
      <c r="IF59" s="46" t="str">
        <f t="shared" si="107"/>
        <v>-</v>
      </c>
      <c r="IG59" s="45" t="str">
        <f>VLOOKUP(IF59,'TABEL KONVERSI'!$B$11:$D$15,3,0)</f>
        <v>-</v>
      </c>
      <c r="IH59" s="40" t="s">
        <v>223</v>
      </c>
      <c r="II59" s="41" t="s">
        <v>106</v>
      </c>
      <c r="IJ59" s="45" t="str">
        <f>IF(II59&lt;&gt;"",VLOOKUP(II59,'TABEL KONVERSI'!$A$19:$B$23,2,0),"")</f>
        <v>Aktif dalam mengikuti kegiatan</v>
      </c>
      <c r="IK59" s="47" t="s">
        <v>58</v>
      </c>
      <c r="IL59" s="50" t="s">
        <v>58</v>
      </c>
      <c r="IM59" s="45" t="str">
        <f>IF(IL59&lt;&gt;"",VLOOKUP(IL59,'TABEL KONVERSI'!$A$19:$B$23,2,0),"")</f>
        <v>-</v>
      </c>
      <c r="IN59" s="49" t="s">
        <v>58</v>
      </c>
      <c r="IO59" s="48" t="s">
        <v>58</v>
      </c>
      <c r="IP59" s="45" t="str">
        <f>IF(IO59&lt;&gt;"",VLOOKUP(IO59,'TABEL KONVERSI'!$A$19:$B$23,2,0),"")</f>
        <v>-</v>
      </c>
      <c r="IQ59" s="49" t="s">
        <v>58</v>
      </c>
      <c r="IR59" s="50" t="s">
        <v>58</v>
      </c>
      <c r="IS59" s="45" t="str">
        <f>IF(IR59&lt;&gt;"",VLOOKUP(IR59,'TABEL KONVERSI'!$A$19:$B$23,2,0),"")</f>
        <v>-</v>
      </c>
      <c r="IT59" s="49" t="s">
        <v>58</v>
      </c>
      <c r="IU59" s="50" t="s">
        <v>58</v>
      </c>
      <c r="IV59" s="45" t="str">
        <f>IF(IU59&lt;&gt;"",VLOOKUP(IU59,'TABEL KONVERSI'!$A$19:$B$23,2,0),"")</f>
        <v>-</v>
      </c>
      <c r="IW59" s="48" t="s">
        <v>58</v>
      </c>
      <c r="IX59" s="48" t="s">
        <v>58</v>
      </c>
      <c r="IY59" s="48" t="s">
        <v>58</v>
      </c>
      <c r="IZ59" s="47" t="s">
        <v>58</v>
      </c>
      <c r="JA59" s="45">
        <f t="shared" si="140"/>
        <v>0</v>
      </c>
      <c r="JB59" s="45">
        <f t="shared" si="141"/>
        <v>1</v>
      </c>
    </row>
    <row r="60" spans="1:262" x14ac:dyDescent="0.25">
      <c r="A60" s="33">
        <v>48</v>
      </c>
      <c r="B60" s="53"/>
      <c r="C60" s="53"/>
      <c r="D60" s="54"/>
      <c r="E60" s="55"/>
      <c r="F60" s="42"/>
      <c r="G60" s="37"/>
      <c r="H60" s="73"/>
      <c r="I60" s="73"/>
      <c r="J60" s="38" t="str">
        <f t="shared" si="34"/>
        <v/>
      </c>
      <c r="K60" s="38" t="str">
        <f t="shared" si="35"/>
        <v/>
      </c>
      <c r="L60" s="38" t="str">
        <f>IF(J60&lt;&gt;"",IF(AND(J60&gt;='TABEL KONVERSI'!$B$3,'ENTRY DATA'!J60&lt;='TABEL KONVERSI'!$C$3),1,IF(AND(J60&gt;='TABEL KONVERSI'!$B$4,'ENTRY DATA'!J60&lt;='TABEL KONVERSI'!$C$4),2,IF(AND(J60&gt;='TABEL KONVERSI'!$B$5,'ENTRY DATA'!J60&lt;='TABEL KONVERSI'!$C$5),3,IF(AND(J60&gt;='TABEL KONVERSI'!$B$6,'ENTRY DATA'!J60&lt;='TABEL KONVERSI'!$C$6),4,"")))),"-")</f>
        <v>-</v>
      </c>
      <c r="M60" s="38" t="str">
        <f>IF(K60&lt;&gt;"",IF(AND(K60&gt;='TABEL KONVERSI'!$B$3,'ENTRY DATA'!K60&lt;='TABEL KONVERSI'!$C$3),1,IF(AND(K60&gt;='TABEL KONVERSI'!$B$4,'ENTRY DATA'!K60&lt;='TABEL KONVERSI'!$C$4),2,IF(AND(K60&gt;='TABEL KONVERSI'!$B$5,'ENTRY DATA'!K60&lt;='TABEL KONVERSI'!$C$5),3,IF(AND(K60&gt;='TABEL KONVERSI'!$B$6,'ENTRY DATA'!K60&lt;='TABEL KONVERSI'!$C$6),4,"")))),"-")</f>
        <v>-</v>
      </c>
      <c r="N60" s="38" t="str">
        <f t="shared" si="36"/>
        <v>-</v>
      </c>
      <c r="O60" s="38" t="str">
        <f>VLOOKUP(L60,'TABEL KONVERSI'!$A$3:$D$7,4)</f>
        <v>-</v>
      </c>
      <c r="P60" s="38" t="str">
        <f t="shared" si="37"/>
        <v>-</v>
      </c>
      <c r="Q60" s="38" t="str">
        <f>VLOOKUP(M60,'TABEL KONVERSI'!$A$3:$D$7,4)</f>
        <v>-</v>
      </c>
      <c r="R60" s="42"/>
      <c r="S60" s="37"/>
      <c r="T60" s="73"/>
      <c r="U60" s="73"/>
      <c r="V60" s="38" t="str">
        <f t="shared" si="38"/>
        <v/>
      </c>
      <c r="W60" s="38" t="str">
        <f t="shared" si="39"/>
        <v/>
      </c>
      <c r="X60" s="38" t="str">
        <f>IF(V60&lt;&gt;"",IF(AND(V60&gt;='TABEL KONVERSI'!$B$3,'ENTRY DATA'!V60&lt;='TABEL KONVERSI'!$C$3),1,IF(AND(V60&gt;='TABEL KONVERSI'!$B$4,'ENTRY DATA'!V60&lt;='TABEL KONVERSI'!$C$4),2,IF(AND(V60&gt;='TABEL KONVERSI'!$B$5,'ENTRY DATA'!V60&lt;='TABEL KONVERSI'!$C$5),3,IF(AND(V60&gt;='TABEL KONVERSI'!$B$6,'ENTRY DATA'!V60&lt;='TABEL KONVERSI'!$C$6),4,"")))),"-")</f>
        <v>-</v>
      </c>
      <c r="Y60" s="38" t="str">
        <f>IF(W60&lt;&gt;"",IF(AND(W60&gt;='TABEL KONVERSI'!$B$3,'ENTRY DATA'!W60&lt;='TABEL KONVERSI'!$C$3),1,IF(AND(W60&gt;='TABEL KONVERSI'!$B$4,'ENTRY DATA'!W60&lt;='TABEL KONVERSI'!$C$4),2,IF(AND(W60&gt;='TABEL KONVERSI'!$B$5,'ENTRY DATA'!W60&lt;='TABEL KONVERSI'!$C$5),3,IF(AND(W60&gt;='TABEL KONVERSI'!$B$6,'ENTRY DATA'!W60&lt;='TABEL KONVERSI'!$C$6),4,"")))),"-")</f>
        <v>-</v>
      </c>
      <c r="Z60" s="38" t="str">
        <f t="shared" si="40"/>
        <v>-</v>
      </c>
      <c r="AA60" s="38" t="str">
        <f>VLOOKUP(X60,'TABEL KONVERSI'!$A$3:$D$7,4)</f>
        <v>-</v>
      </c>
      <c r="AB60" s="38" t="str">
        <f t="shared" si="41"/>
        <v>-</v>
      </c>
      <c r="AC60" s="38" t="str">
        <f>VLOOKUP(Y60,'TABEL KONVERSI'!$A$3:$D$7,4)</f>
        <v>-</v>
      </c>
      <c r="AD60" s="42"/>
      <c r="AE60" s="37"/>
      <c r="AF60" s="73"/>
      <c r="AG60" s="73"/>
      <c r="AH60" s="38" t="str">
        <f t="shared" si="42"/>
        <v/>
      </c>
      <c r="AI60" s="38" t="str">
        <f t="shared" si="43"/>
        <v/>
      </c>
      <c r="AJ60" s="38" t="str">
        <f>IF(AH60&lt;&gt;"",IF(AND(AH60&gt;='TABEL KONVERSI'!$B$3,'ENTRY DATA'!AH60&lt;='TABEL KONVERSI'!$C$3),1,IF(AND(AH60&gt;='TABEL KONVERSI'!$B$4,'ENTRY DATA'!AH60&lt;='TABEL KONVERSI'!$C$4),2,IF(AND(AH60&gt;='TABEL KONVERSI'!$B$5,'ENTRY DATA'!AH60&lt;='TABEL KONVERSI'!$C$5),3,IF(AND(AH60&gt;='TABEL KONVERSI'!$B$6,'ENTRY DATA'!AH60&lt;='TABEL KONVERSI'!$C$6),4,"")))),"-")</f>
        <v>-</v>
      </c>
      <c r="AK60" s="38" t="str">
        <f>IF(AI60&lt;&gt;"",IF(AND(AI60&gt;='TABEL KONVERSI'!$B$3,'ENTRY DATA'!AI60&lt;='TABEL KONVERSI'!$C$3),1,IF(AND(AI60&gt;='TABEL KONVERSI'!$B$4,'ENTRY DATA'!AI60&lt;='TABEL KONVERSI'!$C$4),2,IF(AND(AI60&gt;='TABEL KONVERSI'!$B$5,'ENTRY DATA'!AI60&lt;='TABEL KONVERSI'!$C$5),3,IF(AND(AI60&gt;='TABEL KONVERSI'!$B$6,'ENTRY DATA'!AI60&lt;='TABEL KONVERSI'!$C$6),4,"")))),"-")</f>
        <v>-</v>
      </c>
      <c r="AL60" s="38" t="str">
        <f t="shared" si="44"/>
        <v>-</v>
      </c>
      <c r="AM60" s="38" t="str">
        <f>VLOOKUP(AJ60,'TABEL KONVERSI'!$A$3:$D$7,4)</f>
        <v>-</v>
      </c>
      <c r="AN60" s="38" t="str">
        <f t="shared" si="45"/>
        <v>-</v>
      </c>
      <c r="AO60" s="38" t="str">
        <f>VLOOKUP(AK60,'TABEL KONVERSI'!$A$3:$D$7,4)</f>
        <v>-</v>
      </c>
      <c r="AP60" s="42"/>
      <c r="AQ60" s="37"/>
      <c r="AR60" s="73"/>
      <c r="AS60" s="73"/>
      <c r="AT60" s="38" t="str">
        <f t="shared" si="46"/>
        <v/>
      </c>
      <c r="AU60" s="38" t="str">
        <f t="shared" si="47"/>
        <v/>
      </c>
      <c r="AV60" s="38" t="str">
        <f>IF(AT60&lt;&gt;"",IF(AND(AT60&gt;='TABEL KONVERSI'!$B$3,'ENTRY DATA'!AT60&lt;='TABEL KONVERSI'!$C$3),1,IF(AND(AT60&gt;='TABEL KONVERSI'!$B$4,'ENTRY DATA'!AT60&lt;='TABEL KONVERSI'!$C$4),2,IF(AND(AT60&gt;='TABEL KONVERSI'!$B$5,'ENTRY DATA'!AT60&lt;='TABEL KONVERSI'!$C$5),3,IF(AND(AT60&gt;='TABEL KONVERSI'!$B$6,'ENTRY DATA'!AT60&lt;='TABEL KONVERSI'!$C$6),4,"")))),"-")</f>
        <v>-</v>
      </c>
      <c r="AW60" s="38" t="str">
        <f>IF(AU60&lt;&gt;"",IF(AND(AU60&gt;='TABEL KONVERSI'!$B$3,'ENTRY DATA'!AU60&lt;='TABEL KONVERSI'!$C$3),1,IF(AND(AU60&gt;='TABEL KONVERSI'!$B$4,'ENTRY DATA'!AU60&lt;='TABEL KONVERSI'!$C$4),2,IF(AND(AU60&gt;='TABEL KONVERSI'!$B$5,'ENTRY DATA'!AU60&lt;='TABEL KONVERSI'!$C$5),3,IF(AND(AU60&gt;='TABEL KONVERSI'!$B$6,'ENTRY DATA'!AU60&lt;='TABEL KONVERSI'!$C$6),4,"")))),"-")</f>
        <v>-</v>
      </c>
      <c r="AX60" s="38" t="str">
        <f t="shared" si="48"/>
        <v>-</v>
      </c>
      <c r="AY60" s="38" t="str">
        <f>VLOOKUP(AV60,'TABEL KONVERSI'!$A$3:$D$7,4)</f>
        <v>-</v>
      </c>
      <c r="AZ60" s="38" t="str">
        <f t="shared" si="49"/>
        <v>-</v>
      </c>
      <c r="BA60" s="38" t="str">
        <f>VLOOKUP(AW60,'TABEL KONVERSI'!$A$3:$D$7,4)</f>
        <v>-</v>
      </c>
      <c r="BB60" s="42"/>
      <c r="BC60" s="37"/>
      <c r="BD60" s="73"/>
      <c r="BE60" s="73"/>
      <c r="BF60" s="38" t="str">
        <f t="shared" si="50"/>
        <v/>
      </c>
      <c r="BG60" s="38" t="str">
        <f t="shared" si="51"/>
        <v/>
      </c>
      <c r="BH60" s="38" t="str">
        <f>IF(BF60&lt;&gt;"",IF(AND(BF60&gt;='TABEL KONVERSI'!$B$3,'ENTRY DATA'!BF60&lt;='TABEL KONVERSI'!$C$3),1,IF(AND(BF60&gt;='TABEL KONVERSI'!$B$4,'ENTRY DATA'!BF60&lt;='TABEL KONVERSI'!$C$4),2,IF(AND(BF60&gt;='TABEL KONVERSI'!$B$5,'ENTRY DATA'!BF60&lt;='TABEL KONVERSI'!$C$5),3,IF(AND(BF60&gt;='TABEL KONVERSI'!$B$6,'ENTRY DATA'!BF60&lt;='TABEL KONVERSI'!$C$6),4,"")))),"-")</f>
        <v>-</v>
      </c>
      <c r="BI60" s="38" t="str">
        <f>IF(BG60&lt;&gt;"",IF(AND(BG60&gt;='TABEL KONVERSI'!$B$3,'ENTRY DATA'!BG60&lt;='TABEL KONVERSI'!$C$3),1,IF(AND(BG60&gt;='TABEL KONVERSI'!$B$4,'ENTRY DATA'!BG60&lt;='TABEL KONVERSI'!$C$4),2,IF(AND(BG60&gt;='TABEL KONVERSI'!$B$5,'ENTRY DATA'!BG60&lt;='TABEL KONVERSI'!$C$5),3,IF(AND(BG60&gt;='TABEL KONVERSI'!$B$6,'ENTRY DATA'!BG60&lt;='TABEL KONVERSI'!$C$6),4,"")))),"-")</f>
        <v>-</v>
      </c>
      <c r="BJ60" s="38" t="str">
        <f t="shared" si="52"/>
        <v>-</v>
      </c>
      <c r="BK60" s="38" t="str">
        <f>VLOOKUP(BH60,'TABEL KONVERSI'!$A$3:$D$7,4)</f>
        <v>-</v>
      </c>
      <c r="BL60" s="38" t="str">
        <f t="shared" si="53"/>
        <v>-</v>
      </c>
      <c r="BM60" s="38" t="str">
        <f>VLOOKUP(BI60,'TABEL KONVERSI'!$A$3:$D$7,4)</f>
        <v>-</v>
      </c>
      <c r="BN60" s="42"/>
      <c r="BO60" s="37"/>
      <c r="BP60" s="73"/>
      <c r="BQ60" s="73"/>
      <c r="BR60" s="38" t="str">
        <f t="shared" si="54"/>
        <v/>
      </c>
      <c r="BS60" s="38" t="str">
        <f t="shared" si="55"/>
        <v/>
      </c>
      <c r="BT60" s="38" t="str">
        <f>IF(BR60&lt;&gt;"",IF(AND(BR60&gt;='TABEL KONVERSI'!$B$3,'ENTRY DATA'!BR60&lt;='TABEL KONVERSI'!$C$3),1,IF(AND(BR60&gt;='TABEL KONVERSI'!$B$4,'ENTRY DATA'!BR60&lt;='TABEL KONVERSI'!$C$4),2,IF(AND(BR60&gt;='TABEL KONVERSI'!$B$5,'ENTRY DATA'!BR60&lt;='TABEL KONVERSI'!$C$5),3,IF(AND(BR60&gt;='TABEL KONVERSI'!$B$6,'ENTRY DATA'!BR60&lt;='TABEL KONVERSI'!$C$6),4,"")))),"-")</f>
        <v>-</v>
      </c>
      <c r="BU60" s="38" t="str">
        <f>IF(BS60&lt;&gt;"",IF(AND(BS60&gt;='TABEL KONVERSI'!$B$3,'ENTRY DATA'!BS60&lt;='TABEL KONVERSI'!$C$3),1,IF(AND(BS60&gt;='TABEL KONVERSI'!$B$4,'ENTRY DATA'!BS60&lt;='TABEL KONVERSI'!$C$4),2,IF(AND(BS60&gt;='TABEL KONVERSI'!$B$5,'ENTRY DATA'!BS60&lt;='TABEL KONVERSI'!$C$5),3,IF(AND(BS60&gt;='TABEL KONVERSI'!$B$6,'ENTRY DATA'!BS60&lt;='TABEL KONVERSI'!$C$6),4,"")))),"-")</f>
        <v>-</v>
      </c>
      <c r="BV60" s="38" t="str">
        <f t="shared" si="56"/>
        <v>-</v>
      </c>
      <c r="BW60" s="38" t="str">
        <f>VLOOKUP(BT60,'TABEL KONVERSI'!$A$3:$D$7,4)</f>
        <v>-</v>
      </c>
      <c r="BX60" s="38" t="str">
        <f t="shared" si="57"/>
        <v>-</v>
      </c>
      <c r="BY60" s="38" t="str">
        <f>VLOOKUP(BU60,'TABEL KONVERSI'!$A$3:$D$7,4)</f>
        <v>-</v>
      </c>
      <c r="BZ60" s="42"/>
      <c r="CA60" s="37"/>
      <c r="CB60" s="73"/>
      <c r="CC60" s="73"/>
      <c r="CD60" s="38" t="str">
        <f t="shared" si="58"/>
        <v/>
      </c>
      <c r="CE60" s="38" t="str">
        <f t="shared" si="59"/>
        <v/>
      </c>
      <c r="CF60" s="38" t="str">
        <f>IF(CD60&lt;&gt;"",IF(AND(CD60&gt;='TABEL KONVERSI'!$B$3,'ENTRY DATA'!CD60&lt;='TABEL KONVERSI'!$C$3),1,IF(AND(CD60&gt;='TABEL KONVERSI'!$B$4,'ENTRY DATA'!CD60&lt;='TABEL KONVERSI'!$C$4),2,IF(AND(CD60&gt;='TABEL KONVERSI'!$B$5,'ENTRY DATA'!CD60&lt;='TABEL KONVERSI'!$C$5),3,IF(AND(CD60&gt;='TABEL KONVERSI'!$B$6,'ENTRY DATA'!CD60&lt;='TABEL KONVERSI'!$C$6),4,"")))),"-")</f>
        <v>-</v>
      </c>
      <c r="CG60" s="38" t="str">
        <f>IF(CE60&lt;&gt;"",IF(AND(CE60&gt;='TABEL KONVERSI'!$B$3,'ENTRY DATA'!CE60&lt;='TABEL KONVERSI'!$C$3),1,IF(AND(CE60&gt;='TABEL KONVERSI'!$B$4,'ENTRY DATA'!CE60&lt;='TABEL KONVERSI'!$C$4),2,IF(AND(CE60&gt;='TABEL KONVERSI'!$B$5,'ENTRY DATA'!CE60&lt;='TABEL KONVERSI'!$C$5),3,IF(AND(CE60&gt;='TABEL KONVERSI'!$B$6,'ENTRY DATA'!CE60&lt;='TABEL KONVERSI'!$C$6),4,"")))),"-")</f>
        <v>-</v>
      </c>
      <c r="CH60" s="38" t="str">
        <f t="shared" si="60"/>
        <v>-</v>
      </c>
      <c r="CI60" s="38" t="str">
        <f>VLOOKUP(CF60,'TABEL KONVERSI'!$A$3:$D$7,4)</f>
        <v>-</v>
      </c>
      <c r="CJ60" s="38" t="str">
        <f t="shared" si="61"/>
        <v>-</v>
      </c>
      <c r="CK60" s="38" t="str">
        <f>VLOOKUP(CG60,'TABEL KONVERSI'!$A$3:$D$7,4)</f>
        <v>-</v>
      </c>
      <c r="CL60" s="42"/>
      <c r="CM60" s="37"/>
      <c r="CN60" s="73"/>
      <c r="CO60" s="73"/>
      <c r="CP60" s="38" t="str">
        <f t="shared" si="62"/>
        <v/>
      </c>
      <c r="CQ60" s="38" t="str">
        <f t="shared" si="63"/>
        <v/>
      </c>
      <c r="CR60" s="38" t="str">
        <f>IF(CP60&lt;&gt;"",IF(AND(CP60&gt;='TABEL KONVERSI'!$B$3,'ENTRY DATA'!CP60&lt;='TABEL KONVERSI'!$C$3),1,IF(AND(CP60&gt;='TABEL KONVERSI'!$B$4,'ENTRY DATA'!CP60&lt;='TABEL KONVERSI'!$C$4),2,IF(AND(CP60&gt;='TABEL KONVERSI'!$B$5,'ENTRY DATA'!CP60&lt;='TABEL KONVERSI'!$C$5),3,IF(AND(CP60&gt;='TABEL KONVERSI'!$B$6,'ENTRY DATA'!CP60&lt;='TABEL KONVERSI'!$C$6),4,"")))),"-")</f>
        <v>-</v>
      </c>
      <c r="CS60" s="38" t="str">
        <f>IF(CQ60&lt;&gt;"",IF(AND(CQ60&gt;='TABEL KONVERSI'!$B$3,'ENTRY DATA'!CQ60&lt;='TABEL KONVERSI'!$C$3),1,IF(AND(CQ60&gt;='TABEL KONVERSI'!$B$4,'ENTRY DATA'!CQ60&lt;='TABEL KONVERSI'!$C$4),2,IF(AND(CQ60&gt;='TABEL KONVERSI'!$B$5,'ENTRY DATA'!CQ60&lt;='TABEL KONVERSI'!$C$5),3,IF(AND(CQ60&gt;='TABEL KONVERSI'!$B$6,'ENTRY DATA'!CQ60&lt;='TABEL KONVERSI'!$C$6),4,"")))),"-")</f>
        <v>-</v>
      </c>
      <c r="CT60" s="38" t="str">
        <f t="shared" si="64"/>
        <v>-</v>
      </c>
      <c r="CU60" s="38" t="str">
        <f>VLOOKUP(CR60,'TABEL KONVERSI'!$A$3:$D$7,4)</f>
        <v>-</v>
      </c>
      <c r="CV60" s="38" t="str">
        <f t="shared" si="65"/>
        <v>-</v>
      </c>
      <c r="CW60" s="38" t="str">
        <f>VLOOKUP(CS60,'TABEL KONVERSI'!$A$3:$D$7,4)</f>
        <v>-</v>
      </c>
      <c r="CX60" s="42"/>
      <c r="CY60" s="37"/>
      <c r="CZ60" s="73"/>
      <c r="DA60" s="73"/>
      <c r="DB60" s="38" t="str">
        <f t="shared" si="66"/>
        <v/>
      </c>
      <c r="DC60" s="38" t="str">
        <f t="shared" si="67"/>
        <v/>
      </c>
      <c r="DD60" s="38" t="str">
        <f>IF(DB60&lt;&gt;"",IF(AND(DB60&gt;='TABEL KONVERSI'!$B$3,'ENTRY DATA'!DB60&lt;='TABEL KONVERSI'!$C$3),1,IF(AND(DB60&gt;='TABEL KONVERSI'!$B$4,'ENTRY DATA'!DB60&lt;='TABEL KONVERSI'!$C$4),2,IF(AND(DB60&gt;='TABEL KONVERSI'!$B$5,'ENTRY DATA'!DB60&lt;='TABEL KONVERSI'!$C$5),3,IF(AND(DB60&gt;='TABEL KONVERSI'!$B$6,'ENTRY DATA'!DB60&lt;='TABEL KONVERSI'!$C$6),4,"")))),"-")</f>
        <v>-</v>
      </c>
      <c r="DE60" s="38" t="str">
        <f>IF(DC60&lt;&gt;"",IF(AND(DC60&gt;='TABEL KONVERSI'!$B$3,'ENTRY DATA'!DC60&lt;='TABEL KONVERSI'!$C$3),1,IF(AND(DC60&gt;='TABEL KONVERSI'!$B$4,'ENTRY DATA'!DC60&lt;='TABEL KONVERSI'!$C$4),2,IF(AND(DC60&gt;='TABEL KONVERSI'!$B$5,'ENTRY DATA'!DC60&lt;='TABEL KONVERSI'!$C$5),3,IF(AND(DC60&gt;='TABEL KONVERSI'!$B$6,'ENTRY DATA'!DC60&lt;='TABEL KONVERSI'!$C$6),4,"")))),"-")</f>
        <v>-</v>
      </c>
      <c r="DF60" s="38" t="str">
        <f t="shared" si="68"/>
        <v>-</v>
      </c>
      <c r="DG60" s="38" t="str">
        <f>VLOOKUP(DD60,'TABEL KONVERSI'!$A$3:$D$7,4)</f>
        <v>-</v>
      </c>
      <c r="DH60" s="38" t="str">
        <f t="shared" si="69"/>
        <v>-</v>
      </c>
      <c r="DI60" s="38" t="str">
        <f>VLOOKUP(DE60,'TABEL KONVERSI'!$A$3:$D$7,4)</f>
        <v>-</v>
      </c>
      <c r="DJ60" s="42"/>
      <c r="DK60" s="37"/>
      <c r="DL60" s="73"/>
      <c r="DM60" s="73"/>
      <c r="DN60" s="38" t="str">
        <f t="shared" si="70"/>
        <v/>
      </c>
      <c r="DO60" s="38" t="str">
        <f t="shared" si="71"/>
        <v/>
      </c>
      <c r="DP60" s="38" t="str">
        <f>IF(DN60&lt;&gt;"",IF(AND(DN60&gt;='TABEL KONVERSI'!$B$3,'ENTRY DATA'!DN60&lt;='TABEL KONVERSI'!$C$3),1,IF(AND(DN60&gt;='TABEL KONVERSI'!$B$4,'ENTRY DATA'!DN60&lt;='TABEL KONVERSI'!$C$4),2,IF(AND(DN60&gt;='TABEL KONVERSI'!$B$5,'ENTRY DATA'!DN60&lt;='TABEL KONVERSI'!$C$5),3,IF(AND(DN60&gt;='TABEL KONVERSI'!$B$6,'ENTRY DATA'!DN60&lt;='TABEL KONVERSI'!$C$6),4,"")))),"-")</f>
        <v>-</v>
      </c>
      <c r="DQ60" s="38" t="str">
        <f>IF(DO60&lt;&gt;"",IF(AND(DO60&gt;='TABEL KONVERSI'!$B$3,'ENTRY DATA'!DO60&lt;='TABEL KONVERSI'!$C$3),1,IF(AND(DO60&gt;='TABEL KONVERSI'!$B$4,'ENTRY DATA'!DO60&lt;='TABEL KONVERSI'!$C$4),2,IF(AND(DO60&gt;='TABEL KONVERSI'!$B$5,'ENTRY DATA'!DO60&lt;='TABEL KONVERSI'!$C$5),3,IF(AND(DO60&gt;='TABEL KONVERSI'!$B$6,'ENTRY DATA'!DO60&lt;='TABEL KONVERSI'!$C$6),4,"")))),"-")</f>
        <v>-</v>
      </c>
      <c r="DR60" s="38" t="str">
        <f t="shared" si="72"/>
        <v>-</v>
      </c>
      <c r="DS60" s="38" t="str">
        <f>VLOOKUP(DP60,'TABEL KONVERSI'!$A$3:$D$7,4)</f>
        <v>-</v>
      </c>
      <c r="DT60" s="38" t="str">
        <f t="shared" si="73"/>
        <v>-</v>
      </c>
      <c r="DU60" s="38" t="str">
        <f>VLOOKUP(DQ60,'TABEL KONVERSI'!$A$3:$D$7,4)</f>
        <v>-</v>
      </c>
      <c r="DV60" s="42"/>
      <c r="DW60" s="37"/>
      <c r="DX60" s="73"/>
      <c r="DY60" s="73"/>
      <c r="DZ60" s="38" t="str">
        <f t="shared" si="74"/>
        <v/>
      </c>
      <c r="EA60" s="38" t="str">
        <f t="shared" si="75"/>
        <v/>
      </c>
      <c r="EB60" s="38" t="str">
        <f>IF(DZ60&lt;&gt;"",IF(AND(DZ60&gt;='TABEL KONVERSI'!$B$3,'ENTRY DATA'!DZ60&lt;='TABEL KONVERSI'!$C$3),1,IF(AND(DZ60&gt;='TABEL KONVERSI'!$B$4,'ENTRY DATA'!DZ60&lt;='TABEL KONVERSI'!$C$4),2,IF(AND(DZ60&gt;='TABEL KONVERSI'!$B$5,'ENTRY DATA'!DZ60&lt;='TABEL KONVERSI'!$C$5),3,IF(AND(DZ60&gt;='TABEL KONVERSI'!$B$6,'ENTRY DATA'!DZ60&lt;='TABEL KONVERSI'!$C$6),4,"")))),"-")</f>
        <v>-</v>
      </c>
      <c r="EC60" s="38" t="str">
        <f>IF(EA60&lt;&gt;"",IF(AND(EA60&gt;='TABEL KONVERSI'!$B$3,'ENTRY DATA'!EA60&lt;='TABEL KONVERSI'!$C$3),1,IF(AND(EA60&gt;='TABEL KONVERSI'!$B$4,'ENTRY DATA'!EA60&lt;='TABEL KONVERSI'!$C$4),2,IF(AND(EA60&gt;='TABEL KONVERSI'!$B$5,'ENTRY DATA'!EA60&lt;='TABEL KONVERSI'!$C$5),3,IF(AND(EA60&gt;='TABEL KONVERSI'!$B$6,'ENTRY DATA'!EA60&lt;='TABEL KONVERSI'!$C$6),4,"")))),"-")</f>
        <v>-</v>
      </c>
      <c r="ED60" s="38" t="str">
        <f t="shared" si="76"/>
        <v>-</v>
      </c>
      <c r="EE60" s="38" t="str">
        <f>VLOOKUP(EB60,'TABEL KONVERSI'!$A$3:$D$7,4)</f>
        <v>-</v>
      </c>
      <c r="EF60" s="38" t="str">
        <f t="shared" si="77"/>
        <v>-</v>
      </c>
      <c r="EG60" s="38" t="str">
        <f>VLOOKUP(EC60,'TABEL KONVERSI'!$A$3:$D$7,4)</f>
        <v>-</v>
      </c>
      <c r="EH60" s="42"/>
      <c r="EI60" s="37"/>
      <c r="EJ60" s="73"/>
      <c r="EK60" s="73"/>
      <c r="EL60" s="38" t="str">
        <f t="shared" si="78"/>
        <v/>
      </c>
      <c r="EM60" s="38" t="str">
        <f t="shared" si="79"/>
        <v/>
      </c>
      <c r="EN60" s="38" t="str">
        <f>IF(EL60&lt;&gt;"",IF(AND(EL60&gt;='TABEL KONVERSI'!$B$3,'ENTRY DATA'!EL60&lt;='TABEL KONVERSI'!$C$3),1,IF(AND(EL60&gt;='TABEL KONVERSI'!$B$4,'ENTRY DATA'!EL60&lt;='TABEL KONVERSI'!$C$4),2,IF(AND(EL60&gt;='TABEL KONVERSI'!$B$5,'ENTRY DATA'!EL60&lt;='TABEL KONVERSI'!$C$5),3,IF(AND(EL60&gt;='TABEL KONVERSI'!$B$6,'ENTRY DATA'!EL60&lt;='TABEL KONVERSI'!$C$6),4,"")))),"-")</f>
        <v>-</v>
      </c>
      <c r="EO60" s="38" t="str">
        <f>IF(EM60&lt;&gt;"",IF(AND(EM60&gt;='TABEL KONVERSI'!$B$3,'ENTRY DATA'!EM60&lt;='TABEL KONVERSI'!$C$3),1,IF(AND(EM60&gt;='TABEL KONVERSI'!$B$4,'ENTRY DATA'!EM60&lt;='TABEL KONVERSI'!$C$4),2,IF(AND(EM60&gt;='TABEL KONVERSI'!$B$5,'ENTRY DATA'!EM60&lt;='TABEL KONVERSI'!$C$5),3,IF(AND(EM60&gt;='TABEL KONVERSI'!$B$6,'ENTRY DATA'!EM60&lt;='TABEL KONVERSI'!$C$6),4,"")))),"-")</f>
        <v>-</v>
      </c>
      <c r="EP60" s="38" t="str">
        <f t="shared" si="80"/>
        <v>-</v>
      </c>
      <c r="EQ60" s="38" t="str">
        <f>VLOOKUP(EN60,'TABEL KONVERSI'!$A$3:$D$7,4)</f>
        <v>-</v>
      </c>
      <c r="ER60" s="38" t="str">
        <f t="shared" si="81"/>
        <v>-</v>
      </c>
      <c r="ES60" s="38" t="str">
        <f>VLOOKUP(EO60,'TABEL KONVERSI'!$A$3:$D$7,4)</f>
        <v>-</v>
      </c>
      <c r="ET60" s="42"/>
      <c r="EU60" s="37"/>
      <c r="EV60" s="73"/>
      <c r="EW60" s="73"/>
      <c r="EX60" s="38" t="str">
        <f t="shared" si="82"/>
        <v/>
      </c>
      <c r="EY60" s="38" t="str">
        <f t="shared" si="83"/>
        <v/>
      </c>
      <c r="EZ60" s="38" t="str">
        <f>IF(EX60&lt;&gt;"",IF(AND(EX60&gt;='TABEL KONVERSI'!$B$3,'ENTRY DATA'!EX60&lt;='TABEL KONVERSI'!$C$3),1,IF(AND(EX60&gt;='TABEL KONVERSI'!$B$4,'ENTRY DATA'!EX60&lt;='TABEL KONVERSI'!$C$4),2,IF(AND(EX60&gt;='TABEL KONVERSI'!$B$5,'ENTRY DATA'!EX60&lt;='TABEL KONVERSI'!$C$5),3,IF(AND(EX60&gt;='TABEL KONVERSI'!$B$6,'ENTRY DATA'!EX60&lt;='TABEL KONVERSI'!$C$6),4,"")))),"-")</f>
        <v>-</v>
      </c>
      <c r="FA60" s="38" t="str">
        <f>IF(EY60&lt;&gt;"",IF(AND(EY60&gt;='TABEL KONVERSI'!$B$3,'ENTRY DATA'!EY60&lt;='TABEL KONVERSI'!$C$3),1,IF(AND(EY60&gt;='TABEL KONVERSI'!$B$4,'ENTRY DATA'!EY60&lt;='TABEL KONVERSI'!$C$4),2,IF(AND(EY60&gt;='TABEL KONVERSI'!$B$5,'ENTRY DATA'!EY60&lt;='TABEL KONVERSI'!$C$5),3,IF(AND(EY60&gt;='TABEL KONVERSI'!$B$6,'ENTRY DATA'!EY60&lt;='TABEL KONVERSI'!$C$6),4,"")))),"-")</f>
        <v>-</v>
      </c>
      <c r="FB60" s="38" t="str">
        <f t="shared" si="84"/>
        <v>-</v>
      </c>
      <c r="FC60" s="38" t="str">
        <f>VLOOKUP(EZ60,'TABEL KONVERSI'!$A$3:$D$7,4)</f>
        <v>-</v>
      </c>
      <c r="FD60" s="38" t="str">
        <f t="shared" si="85"/>
        <v>-</v>
      </c>
      <c r="FE60" s="38" t="str">
        <f>VLOOKUP(FA60,'TABEL KONVERSI'!$A$3:$D$7,4)</f>
        <v>-</v>
      </c>
      <c r="FF60" s="42"/>
      <c r="FG60" s="37"/>
      <c r="FH60" s="73"/>
      <c r="FI60" s="73"/>
      <c r="FJ60" s="38" t="str">
        <f t="shared" si="86"/>
        <v/>
      </c>
      <c r="FK60" s="38" t="str">
        <f t="shared" si="87"/>
        <v/>
      </c>
      <c r="FL60" s="38" t="str">
        <f>IF(FJ60&lt;&gt;"",IF(AND(FJ60&gt;='TABEL KONVERSI'!$B$3,'ENTRY DATA'!FJ60&lt;='TABEL KONVERSI'!$C$3),1,IF(AND(FJ60&gt;='TABEL KONVERSI'!$B$4,'ENTRY DATA'!FJ60&lt;='TABEL KONVERSI'!$C$4),2,IF(AND(FJ60&gt;='TABEL KONVERSI'!$B$5,'ENTRY DATA'!FJ60&lt;='TABEL KONVERSI'!$C$5),3,IF(AND(FJ60&gt;='TABEL KONVERSI'!$B$6,'ENTRY DATA'!FJ60&lt;='TABEL KONVERSI'!$C$6),4,"")))),"-")</f>
        <v>-</v>
      </c>
      <c r="FM60" s="38" t="str">
        <f>IF(FK60&lt;&gt;"",IF(AND(FK60&gt;='TABEL KONVERSI'!$B$3,'ENTRY DATA'!FK60&lt;='TABEL KONVERSI'!$C$3),1,IF(AND(FK60&gt;='TABEL KONVERSI'!$B$4,'ENTRY DATA'!FK60&lt;='TABEL KONVERSI'!$C$4),2,IF(AND(FK60&gt;='TABEL KONVERSI'!$B$5,'ENTRY DATA'!FK60&lt;='TABEL KONVERSI'!$C$5),3,IF(AND(FK60&gt;='TABEL KONVERSI'!$B$6,'ENTRY DATA'!FK60&lt;='TABEL KONVERSI'!$C$6),4,"")))),"-")</f>
        <v>-</v>
      </c>
      <c r="FN60" s="38" t="str">
        <f t="shared" si="88"/>
        <v>-</v>
      </c>
      <c r="FO60" s="38" t="str">
        <f>VLOOKUP(FL60,'TABEL KONVERSI'!$A$3:$D$7,4)</f>
        <v>-</v>
      </c>
      <c r="FP60" s="38" t="str">
        <f t="shared" si="89"/>
        <v>-</v>
      </c>
      <c r="FQ60" s="38" t="str">
        <f>VLOOKUP(FM60,'TABEL KONVERSI'!$A$3:$D$7,4)</f>
        <v>-</v>
      </c>
      <c r="FR60" s="42"/>
      <c r="FS60" s="37"/>
      <c r="FT60" s="73"/>
      <c r="FU60" s="73"/>
      <c r="FV60" s="38" t="str">
        <f t="shared" si="90"/>
        <v/>
      </c>
      <c r="FW60" s="38" t="str">
        <f t="shared" si="91"/>
        <v/>
      </c>
      <c r="FX60" s="38" t="str">
        <f>IF(FV60&lt;&gt;"",IF(AND(FV60&gt;='TABEL KONVERSI'!$B$3,'ENTRY DATA'!FV60&lt;='TABEL KONVERSI'!$C$3),1,IF(AND(FV60&gt;='TABEL KONVERSI'!$B$4,'ENTRY DATA'!FV60&lt;='TABEL KONVERSI'!$C$4),2,IF(AND(FV60&gt;='TABEL KONVERSI'!$B$5,'ENTRY DATA'!FV60&lt;='TABEL KONVERSI'!$C$5),3,IF(AND(FV60&gt;='TABEL KONVERSI'!$B$6,'ENTRY DATA'!FV60&lt;='TABEL KONVERSI'!$C$6),4,"")))),"-")</f>
        <v>-</v>
      </c>
      <c r="FY60" s="38" t="str">
        <f>IF(FW60&lt;&gt;"",IF(AND(FW60&gt;='TABEL KONVERSI'!$B$3,'ENTRY DATA'!FW60&lt;='TABEL KONVERSI'!$C$3),1,IF(AND(FW60&gt;='TABEL KONVERSI'!$B$4,'ENTRY DATA'!FW60&lt;='TABEL KONVERSI'!$C$4),2,IF(AND(FW60&gt;='TABEL KONVERSI'!$B$5,'ENTRY DATA'!FW60&lt;='TABEL KONVERSI'!$C$5),3,IF(AND(FW60&gt;='TABEL KONVERSI'!$B$6,'ENTRY DATA'!FW60&lt;='TABEL KONVERSI'!$C$6),4,"")))),"-")</f>
        <v>-</v>
      </c>
      <c r="FZ60" s="38" t="str">
        <f t="shared" si="92"/>
        <v>-</v>
      </c>
      <c r="GA60" s="38" t="str">
        <f>VLOOKUP(FX60,'TABEL KONVERSI'!$A$3:$D$7,4)</f>
        <v>-</v>
      </c>
      <c r="GB60" s="38" t="str">
        <f t="shared" si="93"/>
        <v>-</v>
      </c>
      <c r="GC60" s="38" t="str">
        <f>VLOOKUP(FY60,'TABEL KONVERSI'!$A$3:$D$7,4)</f>
        <v>-</v>
      </c>
      <c r="GD60" s="42"/>
      <c r="GE60" s="37"/>
      <c r="GF60" s="73"/>
      <c r="GG60" s="73"/>
      <c r="GH60" s="38" t="str">
        <f t="shared" si="94"/>
        <v/>
      </c>
      <c r="GI60" s="38" t="str">
        <f t="shared" si="95"/>
        <v/>
      </c>
      <c r="GJ60" s="38" t="str">
        <f>IF(GH60&lt;&gt;"",IF(AND(GH60&gt;='TABEL KONVERSI'!$B$3,'ENTRY DATA'!GH60&lt;='TABEL KONVERSI'!$C$3),1,IF(AND(GH60&gt;='TABEL KONVERSI'!$B$4,'ENTRY DATA'!GH60&lt;='TABEL KONVERSI'!$C$4),2,IF(AND(GH60&gt;='TABEL KONVERSI'!$B$5,'ENTRY DATA'!GH60&lt;='TABEL KONVERSI'!$C$5),3,IF(AND(GH60&gt;='TABEL KONVERSI'!$B$6,'ENTRY DATA'!GH60&lt;='TABEL KONVERSI'!$C$6),4,"")))),"-")</f>
        <v>-</v>
      </c>
      <c r="GK60" s="38" t="str">
        <f>IF(GI60&lt;&gt;"",IF(AND(GI60&gt;='TABEL KONVERSI'!$B$3,'ENTRY DATA'!GI60&lt;='TABEL KONVERSI'!$C$3),1,IF(AND(GI60&gt;='TABEL KONVERSI'!$B$4,'ENTRY DATA'!GI60&lt;='TABEL KONVERSI'!$C$4),2,IF(AND(GI60&gt;='TABEL KONVERSI'!$B$5,'ENTRY DATA'!GI60&lt;='TABEL KONVERSI'!$C$5),3,IF(AND(GI60&gt;='TABEL KONVERSI'!$B$6,'ENTRY DATA'!GI60&lt;='TABEL KONVERSI'!$C$6),4,"")))),"-")</f>
        <v>-</v>
      </c>
      <c r="GL60" s="38" t="str">
        <f t="shared" si="96"/>
        <v>-</v>
      </c>
      <c r="GM60" s="38" t="str">
        <f>VLOOKUP(GJ60,'TABEL KONVERSI'!$A$3:$D$7,4)</f>
        <v>-</v>
      </c>
      <c r="GN60" s="38" t="str">
        <f t="shared" si="97"/>
        <v>-</v>
      </c>
      <c r="GO60" s="38" t="str">
        <f>VLOOKUP(GK60,'TABEL KONVERSI'!$A$3:$D$7,4)</f>
        <v>-</v>
      </c>
      <c r="GP60" s="43">
        <f t="shared" si="108"/>
        <v>0</v>
      </c>
      <c r="GQ60" s="43">
        <f t="shared" si="109"/>
        <v>0</v>
      </c>
      <c r="GR60" s="43">
        <f t="shared" si="110"/>
        <v>0</v>
      </c>
      <c r="GS60" s="43">
        <f t="shared" si="111"/>
        <v>0</v>
      </c>
      <c r="GT60" s="43">
        <f t="shared" si="112"/>
        <v>0</v>
      </c>
      <c r="GU60" s="43">
        <f t="shared" si="113"/>
        <v>0</v>
      </c>
      <c r="GV60" s="43">
        <f t="shared" si="114"/>
        <v>0</v>
      </c>
      <c r="GW60" s="43">
        <f t="shared" si="115"/>
        <v>0</v>
      </c>
      <c r="GX60" s="43">
        <f t="shared" si="116"/>
        <v>0</v>
      </c>
      <c r="GY60" s="43">
        <f t="shared" si="117"/>
        <v>0</v>
      </c>
      <c r="GZ60" s="43">
        <f t="shared" si="118"/>
        <v>0</v>
      </c>
      <c r="HA60" s="43">
        <f t="shared" si="119"/>
        <v>0</v>
      </c>
      <c r="HB60" s="43">
        <f t="shared" si="120"/>
        <v>0</v>
      </c>
      <c r="HC60" s="43">
        <f t="shared" si="121"/>
        <v>0</v>
      </c>
      <c r="HD60" s="43">
        <f t="shared" si="122"/>
        <v>0</v>
      </c>
      <c r="HE60" s="43">
        <f t="shared" si="123"/>
        <v>0</v>
      </c>
      <c r="HF60" s="38">
        <f t="shared" si="98"/>
        <v>0</v>
      </c>
      <c r="HG60" s="38">
        <f t="shared" si="99"/>
        <v>0</v>
      </c>
      <c r="HH60" s="38">
        <f t="shared" si="100"/>
        <v>0</v>
      </c>
      <c r="HI60" s="39">
        <f t="shared" si="101"/>
        <v>0</v>
      </c>
      <c r="HJ60" s="44" t="str">
        <f t="shared" si="102"/>
        <v>-</v>
      </c>
      <c r="HK60" s="45" t="str">
        <f>VLOOKUP(HJ60,'TABEL KONVERSI'!$B$11:$D$15,2,0)</f>
        <v>-</v>
      </c>
      <c r="HL60" s="43">
        <f t="shared" si="124"/>
        <v>0</v>
      </c>
      <c r="HM60" s="43">
        <f t="shared" si="125"/>
        <v>0</v>
      </c>
      <c r="HN60" s="43">
        <f t="shared" si="126"/>
        <v>0</v>
      </c>
      <c r="HO60" s="43">
        <f t="shared" si="127"/>
        <v>0</v>
      </c>
      <c r="HP60" s="43">
        <f t="shared" si="128"/>
        <v>0</v>
      </c>
      <c r="HQ60" s="43">
        <f t="shared" si="129"/>
        <v>0</v>
      </c>
      <c r="HR60" s="43">
        <f t="shared" si="130"/>
        <v>0</v>
      </c>
      <c r="HS60" s="43">
        <f t="shared" si="131"/>
        <v>0</v>
      </c>
      <c r="HT60" s="43">
        <f t="shared" si="132"/>
        <v>0</v>
      </c>
      <c r="HU60" s="43">
        <f t="shared" si="133"/>
        <v>0</v>
      </c>
      <c r="HV60" s="43">
        <f t="shared" si="134"/>
        <v>0</v>
      </c>
      <c r="HW60" s="43">
        <f t="shared" si="135"/>
        <v>0</v>
      </c>
      <c r="HX60" s="43">
        <f t="shared" si="136"/>
        <v>0</v>
      </c>
      <c r="HY60" s="43">
        <f t="shared" si="137"/>
        <v>0</v>
      </c>
      <c r="HZ60" s="43">
        <f t="shared" si="138"/>
        <v>0</v>
      </c>
      <c r="IA60" s="43">
        <f t="shared" si="139"/>
        <v>0</v>
      </c>
      <c r="IB60" s="38">
        <f t="shared" si="103"/>
        <v>0</v>
      </c>
      <c r="IC60" s="38">
        <f t="shared" si="104"/>
        <v>0</v>
      </c>
      <c r="ID60" s="38">
        <f t="shared" si="105"/>
        <v>0</v>
      </c>
      <c r="IE60" s="38">
        <f t="shared" si="106"/>
        <v>0</v>
      </c>
      <c r="IF60" s="46" t="str">
        <f t="shared" si="107"/>
        <v>-</v>
      </c>
      <c r="IG60" s="45" t="str">
        <f>VLOOKUP(IF60,'TABEL KONVERSI'!$B$11:$D$15,3,0)</f>
        <v>-</v>
      </c>
      <c r="IH60" s="40" t="s">
        <v>223</v>
      </c>
      <c r="II60" s="41" t="s">
        <v>106</v>
      </c>
      <c r="IJ60" s="45" t="str">
        <f>IF(II60&lt;&gt;"",VLOOKUP(II60,'TABEL KONVERSI'!$A$19:$B$23,2,0),"")</f>
        <v>Aktif dalam mengikuti kegiatan</v>
      </c>
      <c r="IK60" s="47" t="s">
        <v>58</v>
      </c>
      <c r="IL60" s="50" t="s">
        <v>58</v>
      </c>
      <c r="IM60" s="45" t="str">
        <f>IF(IL60&lt;&gt;"",VLOOKUP(IL60,'TABEL KONVERSI'!$A$19:$B$23,2,0),"")</f>
        <v>-</v>
      </c>
      <c r="IN60" s="49" t="s">
        <v>58</v>
      </c>
      <c r="IO60" s="48" t="s">
        <v>58</v>
      </c>
      <c r="IP60" s="45" t="str">
        <f>IF(IO60&lt;&gt;"",VLOOKUP(IO60,'TABEL KONVERSI'!$A$19:$B$23,2,0),"")</f>
        <v>-</v>
      </c>
      <c r="IQ60" s="49" t="s">
        <v>58</v>
      </c>
      <c r="IR60" s="50" t="s">
        <v>58</v>
      </c>
      <c r="IS60" s="45" t="str">
        <f>IF(IR60&lt;&gt;"",VLOOKUP(IR60,'TABEL KONVERSI'!$A$19:$B$23,2,0),"")</f>
        <v>-</v>
      </c>
      <c r="IT60" s="49" t="s">
        <v>58</v>
      </c>
      <c r="IU60" s="50" t="s">
        <v>58</v>
      </c>
      <c r="IV60" s="45" t="str">
        <f>IF(IU60&lt;&gt;"",VLOOKUP(IU60,'TABEL KONVERSI'!$A$19:$B$23,2,0),"")</f>
        <v>-</v>
      </c>
      <c r="IW60" s="48" t="s">
        <v>58</v>
      </c>
      <c r="IX60" s="48" t="s">
        <v>58</v>
      </c>
      <c r="IY60" s="48" t="s">
        <v>58</v>
      </c>
      <c r="IZ60" s="47" t="s">
        <v>58</v>
      </c>
      <c r="JA60" s="45">
        <f t="shared" si="140"/>
        <v>0</v>
      </c>
      <c r="JB60" s="45">
        <f t="shared" si="141"/>
        <v>1</v>
      </c>
    </row>
    <row r="61" spans="1:262" x14ac:dyDescent="0.25">
      <c r="A61" s="33">
        <v>49</v>
      </c>
      <c r="B61" s="53"/>
      <c r="C61" s="53"/>
      <c r="D61" s="54"/>
      <c r="E61" s="55"/>
      <c r="F61" s="42"/>
      <c r="G61" s="37"/>
      <c r="H61" s="73"/>
      <c r="I61" s="73"/>
      <c r="J61" s="38" t="str">
        <f t="shared" si="34"/>
        <v/>
      </c>
      <c r="K61" s="38" t="str">
        <f t="shared" si="35"/>
        <v/>
      </c>
      <c r="L61" s="38" t="str">
        <f>IF(J61&lt;&gt;"",IF(AND(J61&gt;='TABEL KONVERSI'!$B$3,'ENTRY DATA'!J61&lt;='TABEL KONVERSI'!$C$3),1,IF(AND(J61&gt;='TABEL KONVERSI'!$B$4,'ENTRY DATA'!J61&lt;='TABEL KONVERSI'!$C$4),2,IF(AND(J61&gt;='TABEL KONVERSI'!$B$5,'ENTRY DATA'!J61&lt;='TABEL KONVERSI'!$C$5),3,IF(AND(J61&gt;='TABEL KONVERSI'!$B$6,'ENTRY DATA'!J61&lt;='TABEL KONVERSI'!$C$6),4,"")))),"-")</f>
        <v>-</v>
      </c>
      <c r="M61" s="38" t="str">
        <f>IF(K61&lt;&gt;"",IF(AND(K61&gt;='TABEL KONVERSI'!$B$3,'ENTRY DATA'!K61&lt;='TABEL KONVERSI'!$C$3),1,IF(AND(K61&gt;='TABEL KONVERSI'!$B$4,'ENTRY DATA'!K61&lt;='TABEL KONVERSI'!$C$4),2,IF(AND(K61&gt;='TABEL KONVERSI'!$B$5,'ENTRY DATA'!K61&lt;='TABEL KONVERSI'!$C$5),3,IF(AND(K61&gt;='TABEL KONVERSI'!$B$6,'ENTRY DATA'!K61&lt;='TABEL KONVERSI'!$C$6),4,"")))),"-")</f>
        <v>-</v>
      </c>
      <c r="N61" s="38" t="str">
        <f t="shared" si="36"/>
        <v>-</v>
      </c>
      <c r="O61" s="38" t="str">
        <f>VLOOKUP(L61,'TABEL KONVERSI'!$A$3:$D$7,4)</f>
        <v>-</v>
      </c>
      <c r="P61" s="38" t="str">
        <f t="shared" si="37"/>
        <v>-</v>
      </c>
      <c r="Q61" s="38" t="str">
        <f>VLOOKUP(M61,'TABEL KONVERSI'!$A$3:$D$7,4)</f>
        <v>-</v>
      </c>
      <c r="R61" s="42"/>
      <c r="S61" s="37"/>
      <c r="T61" s="73"/>
      <c r="U61" s="73"/>
      <c r="V61" s="38" t="str">
        <f t="shared" si="38"/>
        <v/>
      </c>
      <c r="W61" s="38" t="str">
        <f t="shared" si="39"/>
        <v/>
      </c>
      <c r="X61" s="38" t="str">
        <f>IF(V61&lt;&gt;"",IF(AND(V61&gt;='TABEL KONVERSI'!$B$3,'ENTRY DATA'!V61&lt;='TABEL KONVERSI'!$C$3),1,IF(AND(V61&gt;='TABEL KONVERSI'!$B$4,'ENTRY DATA'!V61&lt;='TABEL KONVERSI'!$C$4),2,IF(AND(V61&gt;='TABEL KONVERSI'!$B$5,'ENTRY DATA'!V61&lt;='TABEL KONVERSI'!$C$5),3,IF(AND(V61&gt;='TABEL KONVERSI'!$B$6,'ENTRY DATA'!V61&lt;='TABEL KONVERSI'!$C$6),4,"")))),"-")</f>
        <v>-</v>
      </c>
      <c r="Y61" s="38" t="str">
        <f>IF(W61&lt;&gt;"",IF(AND(W61&gt;='TABEL KONVERSI'!$B$3,'ENTRY DATA'!W61&lt;='TABEL KONVERSI'!$C$3),1,IF(AND(W61&gt;='TABEL KONVERSI'!$B$4,'ENTRY DATA'!W61&lt;='TABEL KONVERSI'!$C$4),2,IF(AND(W61&gt;='TABEL KONVERSI'!$B$5,'ENTRY DATA'!W61&lt;='TABEL KONVERSI'!$C$5),3,IF(AND(W61&gt;='TABEL KONVERSI'!$B$6,'ENTRY DATA'!W61&lt;='TABEL KONVERSI'!$C$6),4,"")))),"-")</f>
        <v>-</v>
      </c>
      <c r="Z61" s="38" t="str">
        <f t="shared" si="40"/>
        <v>-</v>
      </c>
      <c r="AA61" s="38" t="str">
        <f>VLOOKUP(X61,'TABEL KONVERSI'!$A$3:$D$7,4)</f>
        <v>-</v>
      </c>
      <c r="AB61" s="38" t="str">
        <f t="shared" si="41"/>
        <v>-</v>
      </c>
      <c r="AC61" s="38" t="str">
        <f>VLOOKUP(Y61,'TABEL KONVERSI'!$A$3:$D$7,4)</f>
        <v>-</v>
      </c>
      <c r="AD61" s="42"/>
      <c r="AE61" s="37"/>
      <c r="AF61" s="73"/>
      <c r="AG61" s="73"/>
      <c r="AH61" s="38" t="str">
        <f t="shared" si="42"/>
        <v/>
      </c>
      <c r="AI61" s="38" t="str">
        <f t="shared" si="43"/>
        <v/>
      </c>
      <c r="AJ61" s="38" t="str">
        <f>IF(AH61&lt;&gt;"",IF(AND(AH61&gt;='TABEL KONVERSI'!$B$3,'ENTRY DATA'!AH61&lt;='TABEL KONVERSI'!$C$3),1,IF(AND(AH61&gt;='TABEL KONVERSI'!$B$4,'ENTRY DATA'!AH61&lt;='TABEL KONVERSI'!$C$4),2,IF(AND(AH61&gt;='TABEL KONVERSI'!$B$5,'ENTRY DATA'!AH61&lt;='TABEL KONVERSI'!$C$5),3,IF(AND(AH61&gt;='TABEL KONVERSI'!$B$6,'ENTRY DATA'!AH61&lt;='TABEL KONVERSI'!$C$6),4,"")))),"-")</f>
        <v>-</v>
      </c>
      <c r="AK61" s="38" t="str">
        <f>IF(AI61&lt;&gt;"",IF(AND(AI61&gt;='TABEL KONVERSI'!$B$3,'ENTRY DATA'!AI61&lt;='TABEL KONVERSI'!$C$3),1,IF(AND(AI61&gt;='TABEL KONVERSI'!$B$4,'ENTRY DATA'!AI61&lt;='TABEL KONVERSI'!$C$4),2,IF(AND(AI61&gt;='TABEL KONVERSI'!$B$5,'ENTRY DATA'!AI61&lt;='TABEL KONVERSI'!$C$5),3,IF(AND(AI61&gt;='TABEL KONVERSI'!$B$6,'ENTRY DATA'!AI61&lt;='TABEL KONVERSI'!$C$6),4,"")))),"-")</f>
        <v>-</v>
      </c>
      <c r="AL61" s="38" t="str">
        <f t="shared" si="44"/>
        <v>-</v>
      </c>
      <c r="AM61" s="38" t="str">
        <f>VLOOKUP(AJ61,'TABEL KONVERSI'!$A$3:$D$7,4)</f>
        <v>-</v>
      </c>
      <c r="AN61" s="38" t="str">
        <f t="shared" si="45"/>
        <v>-</v>
      </c>
      <c r="AO61" s="38" t="str">
        <f>VLOOKUP(AK61,'TABEL KONVERSI'!$A$3:$D$7,4)</f>
        <v>-</v>
      </c>
      <c r="AP61" s="42"/>
      <c r="AQ61" s="37"/>
      <c r="AR61" s="73"/>
      <c r="AS61" s="73"/>
      <c r="AT61" s="38" t="str">
        <f t="shared" si="46"/>
        <v/>
      </c>
      <c r="AU61" s="38" t="str">
        <f t="shared" si="47"/>
        <v/>
      </c>
      <c r="AV61" s="38" t="str">
        <f>IF(AT61&lt;&gt;"",IF(AND(AT61&gt;='TABEL KONVERSI'!$B$3,'ENTRY DATA'!AT61&lt;='TABEL KONVERSI'!$C$3),1,IF(AND(AT61&gt;='TABEL KONVERSI'!$B$4,'ENTRY DATA'!AT61&lt;='TABEL KONVERSI'!$C$4),2,IF(AND(AT61&gt;='TABEL KONVERSI'!$B$5,'ENTRY DATA'!AT61&lt;='TABEL KONVERSI'!$C$5),3,IF(AND(AT61&gt;='TABEL KONVERSI'!$B$6,'ENTRY DATA'!AT61&lt;='TABEL KONVERSI'!$C$6),4,"")))),"-")</f>
        <v>-</v>
      </c>
      <c r="AW61" s="38" t="str">
        <f>IF(AU61&lt;&gt;"",IF(AND(AU61&gt;='TABEL KONVERSI'!$B$3,'ENTRY DATA'!AU61&lt;='TABEL KONVERSI'!$C$3),1,IF(AND(AU61&gt;='TABEL KONVERSI'!$B$4,'ENTRY DATA'!AU61&lt;='TABEL KONVERSI'!$C$4),2,IF(AND(AU61&gt;='TABEL KONVERSI'!$B$5,'ENTRY DATA'!AU61&lt;='TABEL KONVERSI'!$C$5),3,IF(AND(AU61&gt;='TABEL KONVERSI'!$B$6,'ENTRY DATA'!AU61&lt;='TABEL KONVERSI'!$C$6),4,"")))),"-")</f>
        <v>-</v>
      </c>
      <c r="AX61" s="38" t="str">
        <f t="shared" si="48"/>
        <v>-</v>
      </c>
      <c r="AY61" s="38" t="str">
        <f>VLOOKUP(AV61,'TABEL KONVERSI'!$A$3:$D$7,4)</f>
        <v>-</v>
      </c>
      <c r="AZ61" s="38" t="str">
        <f t="shared" si="49"/>
        <v>-</v>
      </c>
      <c r="BA61" s="38" t="str">
        <f>VLOOKUP(AW61,'TABEL KONVERSI'!$A$3:$D$7,4)</f>
        <v>-</v>
      </c>
      <c r="BB61" s="42"/>
      <c r="BC61" s="37"/>
      <c r="BD61" s="73"/>
      <c r="BE61" s="73"/>
      <c r="BF61" s="38" t="str">
        <f t="shared" si="50"/>
        <v/>
      </c>
      <c r="BG61" s="38" t="str">
        <f t="shared" si="51"/>
        <v/>
      </c>
      <c r="BH61" s="38" t="str">
        <f>IF(BF61&lt;&gt;"",IF(AND(BF61&gt;='TABEL KONVERSI'!$B$3,'ENTRY DATA'!BF61&lt;='TABEL KONVERSI'!$C$3),1,IF(AND(BF61&gt;='TABEL KONVERSI'!$B$4,'ENTRY DATA'!BF61&lt;='TABEL KONVERSI'!$C$4),2,IF(AND(BF61&gt;='TABEL KONVERSI'!$B$5,'ENTRY DATA'!BF61&lt;='TABEL KONVERSI'!$C$5),3,IF(AND(BF61&gt;='TABEL KONVERSI'!$B$6,'ENTRY DATA'!BF61&lt;='TABEL KONVERSI'!$C$6),4,"")))),"-")</f>
        <v>-</v>
      </c>
      <c r="BI61" s="38" t="str">
        <f>IF(BG61&lt;&gt;"",IF(AND(BG61&gt;='TABEL KONVERSI'!$B$3,'ENTRY DATA'!BG61&lt;='TABEL KONVERSI'!$C$3),1,IF(AND(BG61&gt;='TABEL KONVERSI'!$B$4,'ENTRY DATA'!BG61&lt;='TABEL KONVERSI'!$C$4),2,IF(AND(BG61&gt;='TABEL KONVERSI'!$B$5,'ENTRY DATA'!BG61&lt;='TABEL KONVERSI'!$C$5),3,IF(AND(BG61&gt;='TABEL KONVERSI'!$B$6,'ENTRY DATA'!BG61&lt;='TABEL KONVERSI'!$C$6),4,"")))),"-")</f>
        <v>-</v>
      </c>
      <c r="BJ61" s="38" t="str">
        <f t="shared" si="52"/>
        <v>-</v>
      </c>
      <c r="BK61" s="38" t="str">
        <f>VLOOKUP(BH61,'TABEL KONVERSI'!$A$3:$D$7,4)</f>
        <v>-</v>
      </c>
      <c r="BL61" s="38" t="str">
        <f t="shared" si="53"/>
        <v>-</v>
      </c>
      <c r="BM61" s="38" t="str">
        <f>VLOOKUP(BI61,'TABEL KONVERSI'!$A$3:$D$7,4)</f>
        <v>-</v>
      </c>
      <c r="BN61" s="42"/>
      <c r="BO61" s="37"/>
      <c r="BP61" s="73"/>
      <c r="BQ61" s="73"/>
      <c r="BR61" s="38" t="str">
        <f t="shared" si="54"/>
        <v/>
      </c>
      <c r="BS61" s="38" t="str">
        <f t="shared" si="55"/>
        <v/>
      </c>
      <c r="BT61" s="38" t="str">
        <f>IF(BR61&lt;&gt;"",IF(AND(BR61&gt;='TABEL KONVERSI'!$B$3,'ENTRY DATA'!BR61&lt;='TABEL KONVERSI'!$C$3),1,IF(AND(BR61&gt;='TABEL KONVERSI'!$B$4,'ENTRY DATA'!BR61&lt;='TABEL KONVERSI'!$C$4),2,IF(AND(BR61&gt;='TABEL KONVERSI'!$B$5,'ENTRY DATA'!BR61&lt;='TABEL KONVERSI'!$C$5),3,IF(AND(BR61&gt;='TABEL KONVERSI'!$B$6,'ENTRY DATA'!BR61&lt;='TABEL KONVERSI'!$C$6),4,"")))),"-")</f>
        <v>-</v>
      </c>
      <c r="BU61" s="38" t="str">
        <f>IF(BS61&lt;&gt;"",IF(AND(BS61&gt;='TABEL KONVERSI'!$B$3,'ENTRY DATA'!BS61&lt;='TABEL KONVERSI'!$C$3),1,IF(AND(BS61&gt;='TABEL KONVERSI'!$B$4,'ENTRY DATA'!BS61&lt;='TABEL KONVERSI'!$C$4),2,IF(AND(BS61&gt;='TABEL KONVERSI'!$B$5,'ENTRY DATA'!BS61&lt;='TABEL KONVERSI'!$C$5),3,IF(AND(BS61&gt;='TABEL KONVERSI'!$B$6,'ENTRY DATA'!BS61&lt;='TABEL KONVERSI'!$C$6),4,"")))),"-")</f>
        <v>-</v>
      </c>
      <c r="BV61" s="38" t="str">
        <f t="shared" si="56"/>
        <v>-</v>
      </c>
      <c r="BW61" s="38" t="str">
        <f>VLOOKUP(BT61,'TABEL KONVERSI'!$A$3:$D$7,4)</f>
        <v>-</v>
      </c>
      <c r="BX61" s="38" t="str">
        <f t="shared" si="57"/>
        <v>-</v>
      </c>
      <c r="BY61" s="38" t="str">
        <f>VLOOKUP(BU61,'TABEL KONVERSI'!$A$3:$D$7,4)</f>
        <v>-</v>
      </c>
      <c r="BZ61" s="42"/>
      <c r="CA61" s="37"/>
      <c r="CB61" s="73"/>
      <c r="CC61" s="73"/>
      <c r="CD61" s="38" t="str">
        <f t="shared" si="58"/>
        <v/>
      </c>
      <c r="CE61" s="38" t="str">
        <f t="shared" si="59"/>
        <v/>
      </c>
      <c r="CF61" s="38" t="str">
        <f>IF(CD61&lt;&gt;"",IF(AND(CD61&gt;='TABEL KONVERSI'!$B$3,'ENTRY DATA'!CD61&lt;='TABEL KONVERSI'!$C$3),1,IF(AND(CD61&gt;='TABEL KONVERSI'!$B$4,'ENTRY DATA'!CD61&lt;='TABEL KONVERSI'!$C$4),2,IF(AND(CD61&gt;='TABEL KONVERSI'!$B$5,'ENTRY DATA'!CD61&lt;='TABEL KONVERSI'!$C$5),3,IF(AND(CD61&gt;='TABEL KONVERSI'!$B$6,'ENTRY DATA'!CD61&lt;='TABEL KONVERSI'!$C$6),4,"")))),"-")</f>
        <v>-</v>
      </c>
      <c r="CG61" s="38" t="str">
        <f>IF(CE61&lt;&gt;"",IF(AND(CE61&gt;='TABEL KONVERSI'!$B$3,'ENTRY DATA'!CE61&lt;='TABEL KONVERSI'!$C$3),1,IF(AND(CE61&gt;='TABEL KONVERSI'!$B$4,'ENTRY DATA'!CE61&lt;='TABEL KONVERSI'!$C$4),2,IF(AND(CE61&gt;='TABEL KONVERSI'!$B$5,'ENTRY DATA'!CE61&lt;='TABEL KONVERSI'!$C$5),3,IF(AND(CE61&gt;='TABEL KONVERSI'!$B$6,'ENTRY DATA'!CE61&lt;='TABEL KONVERSI'!$C$6),4,"")))),"-")</f>
        <v>-</v>
      </c>
      <c r="CH61" s="38" t="str">
        <f t="shared" si="60"/>
        <v>-</v>
      </c>
      <c r="CI61" s="38" t="str">
        <f>VLOOKUP(CF61,'TABEL KONVERSI'!$A$3:$D$7,4)</f>
        <v>-</v>
      </c>
      <c r="CJ61" s="38" t="str">
        <f t="shared" si="61"/>
        <v>-</v>
      </c>
      <c r="CK61" s="38" t="str">
        <f>VLOOKUP(CG61,'TABEL KONVERSI'!$A$3:$D$7,4)</f>
        <v>-</v>
      </c>
      <c r="CL61" s="42"/>
      <c r="CM61" s="37"/>
      <c r="CN61" s="73"/>
      <c r="CO61" s="73"/>
      <c r="CP61" s="38" t="str">
        <f t="shared" si="62"/>
        <v/>
      </c>
      <c r="CQ61" s="38" t="str">
        <f t="shared" si="63"/>
        <v/>
      </c>
      <c r="CR61" s="38" t="str">
        <f>IF(CP61&lt;&gt;"",IF(AND(CP61&gt;='TABEL KONVERSI'!$B$3,'ENTRY DATA'!CP61&lt;='TABEL KONVERSI'!$C$3),1,IF(AND(CP61&gt;='TABEL KONVERSI'!$B$4,'ENTRY DATA'!CP61&lt;='TABEL KONVERSI'!$C$4),2,IF(AND(CP61&gt;='TABEL KONVERSI'!$B$5,'ENTRY DATA'!CP61&lt;='TABEL KONVERSI'!$C$5),3,IF(AND(CP61&gt;='TABEL KONVERSI'!$B$6,'ENTRY DATA'!CP61&lt;='TABEL KONVERSI'!$C$6),4,"")))),"-")</f>
        <v>-</v>
      </c>
      <c r="CS61" s="38" t="str">
        <f>IF(CQ61&lt;&gt;"",IF(AND(CQ61&gt;='TABEL KONVERSI'!$B$3,'ENTRY DATA'!CQ61&lt;='TABEL KONVERSI'!$C$3),1,IF(AND(CQ61&gt;='TABEL KONVERSI'!$B$4,'ENTRY DATA'!CQ61&lt;='TABEL KONVERSI'!$C$4),2,IF(AND(CQ61&gt;='TABEL KONVERSI'!$B$5,'ENTRY DATA'!CQ61&lt;='TABEL KONVERSI'!$C$5),3,IF(AND(CQ61&gt;='TABEL KONVERSI'!$B$6,'ENTRY DATA'!CQ61&lt;='TABEL KONVERSI'!$C$6),4,"")))),"-")</f>
        <v>-</v>
      </c>
      <c r="CT61" s="38" t="str">
        <f t="shared" si="64"/>
        <v>-</v>
      </c>
      <c r="CU61" s="38" t="str">
        <f>VLOOKUP(CR61,'TABEL KONVERSI'!$A$3:$D$7,4)</f>
        <v>-</v>
      </c>
      <c r="CV61" s="38" t="str">
        <f t="shared" si="65"/>
        <v>-</v>
      </c>
      <c r="CW61" s="38" t="str">
        <f>VLOOKUP(CS61,'TABEL KONVERSI'!$A$3:$D$7,4)</f>
        <v>-</v>
      </c>
      <c r="CX61" s="42"/>
      <c r="CY61" s="37"/>
      <c r="CZ61" s="73"/>
      <c r="DA61" s="73"/>
      <c r="DB61" s="38" t="str">
        <f t="shared" si="66"/>
        <v/>
      </c>
      <c r="DC61" s="38" t="str">
        <f t="shared" si="67"/>
        <v/>
      </c>
      <c r="DD61" s="38" t="str">
        <f>IF(DB61&lt;&gt;"",IF(AND(DB61&gt;='TABEL KONVERSI'!$B$3,'ENTRY DATA'!DB61&lt;='TABEL KONVERSI'!$C$3),1,IF(AND(DB61&gt;='TABEL KONVERSI'!$B$4,'ENTRY DATA'!DB61&lt;='TABEL KONVERSI'!$C$4),2,IF(AND(DB61&gt;='TABEL KONVERSI'!$B$5,'ENTRY DATA'!DB61&lt;='TABEL KONVERSI'!$C$5),3,IF(AND(DB61&gt;='TABEL KONVERSI'!$B$6,'ENTRY DATA'!DB61&lt;='TABEL KONVERSI'!$C$6),4,"")))),"-")</f>
        <v>-</v>
      </c>
      <c r="DE61" s="38" t="str">
        <f>IF(DC61&lt;&gt;"",IF(AND(DC61&gt;='TABEL KONVERSI'!$B$3,'ENTRY DATA'!DC61&lt;='TABEL KONVERSI'!$C$3),1,IF(AND(DC61&gt;='TABEL KONVERSI'!$B$4,'ENTRY DATA'!DC61&lt;='TABEL KONVERSI'!$C$4),2,IF(AND(DC61&gt;='TABEL KONVERSI'!$B$5,'ENTRY DATA'!DC61&lt;='TABEL KONVERSI'!$C$5),3,IF(AND(DC61&gt;='TABEL KONVERSI'!$B$6,'ENTRY DATA'!DC61&lt;='TABEL KONVERSI'!$C$6),4,"")))),"-")</f>
        <v>-</v>
      </c>
      <c r="DF61" s="38" t="str">
        <f t="shared" si="68"/>
        <v>-</v>
      </c>
      <c r="DG61" s="38" t="str">
        <f>VLOOKUP(DD61,'TABEL KONVERSI'!$A$3:$D$7,4)</f>
        <v>-</v>
      </c>
      <c r="DH61" s="38" t="str">
        <f t="shared" si="69"/>
        <v>-</v>
      </c>
      <c r="DI61" s="38" t="str">
        <f>VLOOKUP(DE61,'TABEL KONVERSI'!$A$3:$D$7,4)</f>
        <v>-</v>
      </c>
      <c r="DJ61" s="42"/>
      <c r="DK61" s="37"/>
      <c r="DL61" s="73"/>
      <c r="DM61" s="73"/>
      <c r="DN61" s="38" t="str">
        <f t="shared" si="70"/>
        <v/>
      </c>
      <c r="DO61" s="38" t="str">
        <f t="shared" si="71"/>
        <v/>
      </c>
      <c r="DP61" s="38" t="str">
        <f>IF(DN61&lt;&gt;"",IF(AND(DN61&gt;='TABEL KONVERSI'!$B$3,'ENTRY DATA'!DN61&lt;='TABEL KONVERSI'!$C$3),1,IF(AND(DN61&gt;='TABEL KONVERSI'!$B$4,'ENTRY DATA'!DN61&lt;='TABEL KONVERSI'!$C$4),2,IF(AND(DN61&gt;='TABEL KONVERSI'!$B$5,'ENTRY DATA'!DN61&lt;='TABEL KONVERSI'!$C$5),3,IF(AND(DN61&gt;='TABEL KONVERSI'!$B$6,'ENTRY DATA'!DN61&lt;='TABEL KONVERSI'!$C$6),4,"")))),"-")</f>
        <v>-</v>
      </c>
      <c r="DQ61" s="38" t="str">
        <f>IF(DO61&lt;&gt;"",IF(AND(DO61&gt;='TABEL KONVERSI'!$B$3,'ENTRY DATA'!DO61&lt;='TABEL KONVERSI'!$C$3),1,IF(AND(DO61&gt;='TABEL KONVERSI'!$B$4,'ENTRY DATA'!DO61&lt;='TABEL KONVERSI'!$C$4),2,IF(AND(DO61&gt;='TABEL KONVERSI'!$B$5,'ENTRY DATA'!DO61&lt;='TABEL KONVERSI'!$C$5),3,IF(AND(DO61&gt;='TABEL KONVERSI'!$B$6,'ENTRY DATA'!DO61&lt;='TABEL KONVERSI'!$C$6),4,"")))),"-")</f>
        <v>-</v>
      </c>
      <c r="DR61" s="38" t="str">
        <f t="shared" si="72"/>
        <v>-</v>
      </c>
      <c r="DS61" s="38" t="str">
        <f>VLOOKUP(DP61,'TABEL KONVERSI'!$A$3:$D$7,4)</f>
        <v>-</v>
      </c>
      <c r="DT61" s="38" t="str">
        <f t="shared" si="73"/>
        <v>-</v>
      </c>
      <c r="DU61" s="38" t="str">
        <f>VLOOKUP(DQ61,'TABEL KONVERSI'!$A$3:$D$7,4)</f>
        <v>-</v>
      </c>
      <c r="DV61" s="42"/>
      <c r="DW61" s="37"/>
      <c r="DX61" s="73"/>
      <c r="DY61" s="73"/>
      <c r="DZ61" s="38" t="str">
        <f t="shared" si="74"/>
        <v/>
      </c>
      <c r="EA61" s="38" t="str">
        <f t="shared" si="75"/>
        <v/>
      </c>
      <c r="EB61" s="38" t="str">
        <f>IF(DZ61&lt;&gt;"",IF(AND(DZ61&gt;='TABEL KONVERSI'!$B$3,'ENTRY DATA'!DZ61&lt;='TABEL KONVERSI'!$C$3),1,IF(AND(DZ61&gt;='TABEL KONVERSI'!$B$4,'ENTRY DATA'!DZ61&lt;='TABEL KONVERSI'!$C$4),2,IF(AND(DZ61&gt;='TABEL KONVERSI'!$B$5,'ENTRY DATA'!DZ61&lt;='TABEL KONVERSI'!$C$5),3,IF(AND(DZ61&gt;='TABEL KONVERSI'!$B$6,'ENTRY DATA'!DZ61&lt;='TABEL KONVERSI'!$C$6),4,"")))),"-")</f>
        <v>-</v>
      </c>
      <c r="EC61" s="38" t="str">
        <f>IF(EA61&lt;&gt;"",IF(AND(EA61&gt;='TABEL KONVERSI'!$B$3,'ENTRY DATA'!EA61&lt;='TABEL KONVERSI'!$C$3),1,IF(AND(EA61&gt;='TABEL KONVERSI'!$B$4,'ENTRY DATA'!EA61&lt;='TABEL KONVERSI'!$C$4),2,IF(AND(EA61&gt;='TABEL KONVERSI'!$B$5,'ENTRY DATA'!EA61&lt;='TABEL KONVERSI'!$C$5),3,IF(AND(EA61&gt;='TABEL KONVERSI'!$B$6,'ENTRY DATA'!EA61&lt;='TABEL KONVERSI'!$C$6),4,"")))),"-")</f>
        <v>-</v>
      </c>
      <c r="ED61" s="38" t="str">
        <f t="shared" si="76"/>
        <v>-</v>
      </c>
      <c r="EE61" s="38" t="str">
        <f>VLOOKUP(EB61,'TABEL KONVERSI'!$A$3:$D$7,4)</f>
        <v>-</v>
      </c>
      <c r="EF61" s="38" t="str">
        <f t="shared" si="77"/>
        <v>-</v>
      </c>
      <c r="EG61" s="38" t="str">
        <f>VLOOKUP(EC61,'TABEL KONVERSI'!$A$3:$D$7,4)</f>
        <v>-</v>
      </c>
      <c r="EH61" s="42"/>
      <c r="EI61" s="37"/>
      <c r="EJ61" s="73"/>
      <c r="EK61" s="73"/>
      <c r="EL61" s="38" t="str">
        <f t="shared" si="78"/>
        <v/>
      </c>
      <c r="EM61" s="38" t="str">
        <f t="shared" si="79"/>
        <v/>
      </c>
      <c r="EN61" s="38" t="str">
        <f>IF(EL61&lt;&gt;"",IF(AND(EL61&gt;='TABEL KONVERSI'!$B$3,'ENTRY DATA'!EL61&lt;='TABEL KONVERSI'!$C$3),1,IF(AND(EL61&gt;='TABEL KONVERSI'!$B$4,'ENTRY DATA'!EL61&lt;='TABEL KONVERSI'!$C$4),2,IF(AND(EL61&gt;='TABEL KONVERSI'!$B$5,'ENTRY DATA'!EL61&lt;='TABEL KONVERSI'!$C$5),3,IF(AND(EL61&gt;='TABEL KONVERSI'!$B$6,'ENTRY DATA'!EL61&lt;='TABEL KONVERSI'!$C$6),4,"")))),"-")</f>
        <v>-</v>
      </c>
      <c r="EO61" s="38" t="str">
        <f>IF(EM61&lt;&gt;"",IF(AND(EM61&gt;='TABEL KONVERSI'!$B$3,'ENTRY DATA'!EM61&lt;='TABEL KONVERSI'!$C$3),1,IF(AND(EM61&gt;='TABEL KONVERSI'!$B$4,'ENTRY DATA'!EM61&lt;='TABEL KONVERSI'!$C$4),2,IF(AND(EM61&gt;='TABEL KONVERSI'!$B$5,'ENTRY DATA'!EM61&lt;='TABEL KONVERSI'!$C$5),3,IF(AND(EM61&gt;='TABEL KONVERSI'!$B$6,'ENTRY DATA'!EM61&lt;='TABEL KONVERSI'!$C$6),4,"")))),"-")</f>
        <v>-</v>
      </c>
      <c r="EP61" s="38" t="str">
        <f t="shared" si="80"/>
        <v>-</v>
      </c>
      <c r="EQ61" s="38" t="str">
        <f>VLOOKUP(EN61,'TABEL KONVERSI'!$A$3:$D$7,4)</f>
        <v>-</v>
      </c>
      <c r="ER61" s="38" t="str">
        <f t="shared" si="81"/>
        <v>-</v>
      </c>
      <c r="ES61" s="38" t="str">
        <f>VLOOKUP(EO61,'TABEL KONVERSI'!$A$3:$D$7,4)</f>
        <v>-</v>
      </c>
      <c r="ET61" s="42"/>
      <c r="EU61" s="37"/>
      <c r="EV61" s="73"/>
      <c r="EW61" s="73"/>
      <c r="EX61" s="38" t="str">
        <f t="shared" si="82"/>
        <v/>
      </c>
      <c r="EY61" s="38" t="str">
        <f t="shared" si="83"/>
        <v/>
      </c>
      <c r="EZ61" s="38" t="str">
        <f>IF(EX61&lt;&gt;"",IF(AND(EX61&gt;='TABEL KONVERSI'!$B$3,'ENTRY DATA'!EX61&lt;='TABEL KONVERSI'!$C$3),1,IF(AND(EX61&gt;='TABEL KONVERSI'!$B$4,'ENTRY DATA'!EX61&lt;='TABEL KONVERSI'!$C$4),2,IF(AND(EX61&gt;='TABEL KONVERSI'!$B$5,'ENTRY DATA'!EX61&lt;='TABEL KONVERSI'!$C$5),3,IF(AND(EX61&gt;='TABEL KONVERSI'!$B$6,'ENTRY DATA'!EX61&lt;='TABEL KONVERSI'!$C$6),4,"")))),"-")</f>
        <v>-</v>
      </c>
      <c r="FA61" s="38" t="str">
        <f>IF(EY61&lt;&gt;"",IF(AND(EY61&gt;='TABEL KONVERSI'!$B$3,'ENTRY DATA'!EY61&lt;='TABEL KONVERSI'!$C$3),1,IF(AND(EY61&gt;='TABEL KONVERSI'!$B$4,'ENTRY DATA'!EY61&lt;='TABEL KONVERSI'!$C$4),2,IF(AND(EY61&gt;='TABEL KONVERSI'!$B$5,'ENTRY DATA'!EY61&lt;='TABEL KONVERSI'!$C$5),3,IF(AND(EY61&gt;='TABEL KONVERSI'!$B$6,'ENTRY DATA'!EY61&lt;='TABEL KONVERSI'!$C$6),4,"")))),"-")</f>
        <v>-</v>
      </c>
      <c r="FB61" s="38" t="str">
        <f t="shared" si="84"/>
        <v>-</v>
      </c>
      <c r="FC61" s="38" t="str">
        <f>VLOOKUP(EZ61,'TABEL KONVERSI'!$A$3:$D$7,4)</f>
        <v>-</v>
      </c>
      <c r="FD61" s="38" t="str">
        <f t="shared" si="85"/>
        <v>-</v>
      </c>
      <c r="FE61" s="38" t="str">
        <f>VLOOKUP(FA61,'TABEL KONVERSI'!$A$3:$D$7,4)</f>
        <v>-</v>
      </c>
      <c r="FF61" s="42"/>
      <c r="FG61" s="37"/>
      <c r="FH61" s="73"/>
      <c r="FI61" s="73"/>
      <c r="FJ61" s="38" t="str">
        <f t="shared" si="86"/>
        <v/>
      </c>
      <c r="FK61" s="38" t="str">
        <f t="shared" si="87"/>
        <v/>
      </c>
      <c r="FL61" s="38" t="str">
        <f>IF(FJ61&lt;&gt;"",IF(AND(FJ61&gt;='TABEL KONVERSI'!$B$3,'ENTRY DATA'!FJ61&lt;='TABEL KONVERSI'!$C$3),1,IF(AND(FJ61&gt;='TABEL KONVERSI'!$B$4,'ENTRY DATA'!FJ61&lt;='TABEL KONVERSI'!$C$4),2,IF(AND(FJ61&gt;='TABEL KONVERSI'!$B$5,'ENTRY DATA'!FJ61&lt;='TABEL KONVERSI'!$C$5),3,IF(AND(FJ61&gt;='TABEL KONVERSI'!$B$6,'ENTRY DATA'!FJ61&lt;='TABEL KONVERSI'!$C$6),4,"")))),"-")</f>
        <v>-</v>
      </c>
      <c r="FM61" s="38" t="str">
        <f>IF(FK61&lt;&gt;"",IF(AND(FK61&gt;='TABEL KONVERSI'!$B$3,'ENTRY DATA'!FK61&lt;='TABEL KONVERSI'!$C$3),1,IF(AND(FK61&gt;='TABEL KONVERSI'!$B$4,'ENTRY DATA'!FK61&lt;='TABEL KONVERSI'!$C$4),2,IF(AND(FK61&gt;='TABEL KONVERSI'!$B$5,'ENTRY DATA'!FK61&lt;='TABEL KONVERSI'!$C$5),3,IF(AND(FK61&gt;='TABEL KONVERSI'!$B$6,'ENTRY DATA'!FK61&lt;='TABEL KONVERSI'!$C$6),4,"")))),"-")</f>
        <v>-</v>
      </c>
      <c r="FN61" s="38" t="str">
        <f t="shared" si="88"/>
        <v>-</v>
      </c>
      <c r="FO61" s="38" t="str">
        <f>VLOOKUP(FL61,'TABEL KONVERSI'!$A$3:$D$7,4)</f>
        <v>-</v>
      </c>
      <c r="FP61" s="38" t="str">
        <f t="shared" si="89"/>
        <v>-</v>
      </c>
      <c r="FQ61" s="38" t="str">
        <f>VLOOKUP(FM61,'TABEL KONVERSI'!$A$3:$D$7,4)</f>
        <v>-</v>
      </c>
      <c r="FR61" s="42"/>
      <c r="FS61" s="37"/>
      <c r="FT61" s="73"/>
      <c r="FU61" s="73"/>
      <c r="FV61" s="38" t="str">
        <f t="shared" si="90"/>
        <v/>
      </c>
      <c r="FW61" s="38" t="str">
        <f t="shared" si="91"/>
        <v/>
      </c>
      <c r="FX61" s="38" t="str">
        <f>IF(FV61&lt;&gt;"",IF(AND(FV61&gt;='TABEL KONVERSI'!$B$3,'ENTRY DATA'!FV61&lt;='TABEL KONVERSI'!$C$3),1,IF(AND(FV61&gt;='TABEL KONVERSI'!$B$4,'ENTRY DATA'!FV61&lt;='TABEL KONVERSI'!$C$4),2,IF(AND(FV61&gt;='TABEL KONVERSI'!$B$5,'ENTRY DATA'!FV61&lt;='TABEL KONVERSI'!$C$5),3,IF(AND(FV61&gt;='TABEL KONVERSI'!$B$6,'ENTRY DATA'!FV61&lt;='TABEL KONVERSI'!$C$6),4,"")))),"-")</f>
        <v>-</v>
      </c>
      <c r="FY61" s="38" t="str">
        <f>IF(FW61&lt;&gt;"",IF(AND(FW61&gt;='TABEL KONVERSI'!$B$3,'ENTRY DATA'!FW61&lt;='TABEL KONVERSI'!$C$3),1,IF(AND(FW61&gt;='TABEL KONVERSI'!$B$4,'ENTRY DATA'!FW61&lt;='TABEL KONVERSI'!$C$4),2,IF(AND(FW61&gt;='TABEL KONVERSI'!$B$5,'ENTRY DATA'!FW61&lt;='TABEL KONVERSI'!$C$5),3,IF(AND(FW61&gt;='TABEL KONVERSI'!$B$6,'ENTRY DATA'!FW61&lt;='TABEL KONVERSI'!$C$6),4,"")))),"-")</f>
        <v>-</v>
      </c>
      <c r="FZ61" s="38" t="str">
        <f t="shared" si="92"/>
        <v>-</v>
      </c>
      <c r="GA61" s="38" t="str">
        <f>VLOOKUP(FX61,'TABEL KONVERSI'!$A$3:$D$7,4)</f>
        <v>-</v>
      </c>
      <c r="GB61" s="38" t="str">
        <f t="shared" si="93"/>
        <v>-</v>
      </c>
      <c r="GC61" s="38" t="str">
        <f>VLOOKUP(FY61,'TABEL KONVERSI'!$A$3:$D$7,4)</f>
        <v>-</v>
      </c>
      <c r="GD61" s="42"/>
      <c r="GE61" s="37"/>
      <c r="GF61" s="73"/>
      <c r="GG61" s="73"/>
      <c r="GH61" s="38" t="str">
        <f t="shared" si="94"/>
        <v/>
      </c>
      <c r="GI61" s="38" t="str">
        <f t="shared" si="95"/>
        <v/>
      </c>
      <c r="GJ61" s="38" t="str">
        <f>IF(GH61&lt;&gt;"",IF(AND(GH61&gt;='TABEL KONVERSI'!$B$3,'ENTRY DATA'!GH61&lt;='TABEL KONVERSI'!$C$3),1,IF(AND(GH61&gt;='TABEL KONVERSI'!$B$4,'ENTRY DATA'!GH61&lt;='TABEL KONVERSI'!$C$4),2,IF(AND(GH61&gt;='TABEL KONVERSI'!$B$5,'ENTRY DATA'!GH61&lt;='TABEL KONVERSI'!$C$5),3,IF(AND(GH61&gt;='TABEL KONVERSI'!$B$6,'ENTRY DATA'!GH61&lt;='TABEL KONVERSI'!$C$6),4,"")))),"-")</f>
        <v>-</v>
      </c>
      <c r="GK61" s="38" t="str">
        <f>IF(GI61&lt;&gt;"",IF(AND(GI61&gt;='TABEL KONVERSI'!$B$3,'ENTRY DATA'!GI61&lt;='TABEL KONVERSI'!$C$3),1,IF(AND(GI61&gt;='TABEL KONVERSI'!$B$4,'ENTRY DATA'!GI61&lt;='TABEL KONVERSI'!$C$4),2,IF(AND(GI61&gt;='TABEL KONVERSI'!$B$5,'ENTRY DATA'!GI61&lt;='TABEL KONVERSI'!$C$5),3,IF(AND(GI61&gt;='TABEL KONVERSI'!$B$6,'ENTRY DATA'!GI61&lt;='TABEL KONVERSI'!$C$6),4,"")))),"-")</f>
        <v>-</v>
      </c>
      <c r="GL61" s="38" t="str">
        <f t="shared" si="96"/>
        <v>-</v>
      </c>
      <c r="GM61" s="38" t="str">
        <f>VLOOKUP(GJ61,'TABEL KONVERSI'!$A$3:$D$7,4)</f>
        <v>-</v>
      </c>
      <c r="GN61" s="38" t="str">
        <f t="shared" si="97"/>
        <v>-</v>
      </c>
      <c r="GO61" s="38" t="str">
        <f>VLOOKUP(GK61,'TABEL KONVERSI'!$A$3:$D$7,4)</f>
        <v>-</v>
      </c>
      <c r="GP61" s="43">
        <f t="shared" si="108"/>
        <v>0</v>
      </c>
      <c r="GQ61" s="43">
        <f t="shared" si="109"/>
        <v>0</v>
      </c>
      <c r="GR61" s="43">
        <f t="shared" si="110"/>
        <v>0</v>
      </c>
      <c r="GS61" s="43">
        <f t="shared" si="111"/>
        <v>0</v>
      </c>
      <c r="GT61" s="43">
        <f t="shared" si="112"/>
        <v>0</v>
      </c>
      <c r="GU61" s="43">
        <f t="shared" si="113"/>
        <v>0</v>
      </c>
      <c r="GV61" s="43">
        <f t="shared" si="114"/>
        <v>0</v>
      </c>
      <c r="GW61" s="43">
        <f t="shared" si="115"/>
        <v>0</v>
      </c>
      <c r="GX61" s="43">
        <f t="shared" si="116"/>
        <v>0</v>
      </c>
      <c r="GY61" s="43">
        <f t="shared" si="117"/>
        <v>0</v>
      </c>
      <c r="GZ61" s="43">
        <f t="shared" si="118"/>
        <v>0</v>
      </c>
      <c r="HA61" s="43">
        <f t="shared" si="119"/>
        <v>0</v>
      </c>
      <c r="HB61" s="43">
        <f t="shared" si="120"/>
        <v>0</v>
      </c>
      <c r="HC61" s="43">
        <f t="shared" si="121"/>
        <v>0</v>
      </c>
      <c r="HD61" s="43">
        <f t="shared" si="122"/>
        <v>0</v>
      </c>
      <c r="HE61" s="43">
        <f t="shared" si="123"/>
        <v>0</v>
      </c>
      <c r="HF61" s="38">
        <f t="shared" si="98"/>
        <v>0</v>
      </c>
      <c r="HG61" s="38">
        <f t="shared" si="99"/>
        <v>0</v>
      </c>
      <c r="HH61" s="38">
        <f t="shared" si="100"/>
        <v>0</v>
      </c>
      <c r="HI61" s="39">
        <f t="shared" si="101"/>
        <v>0</v>
      </c>
      <c r="HJ61" s="44" t="str">
        <f t="shared" si="102"/>
        <v>-</v>
      </c>
      <c r="HK61" s="45" t="str">
        <f>VLOOKUP(HJ61,'TABEL KONVERSI'!$B$11:$D$15,2,0)</f>
        <v>-</v>
      </c>
      <c r="HL61" s="43">
        <f t="shared" si="124"/>
        <v>0</v>
      </c>
      <c r="HM61" s="43">
        <f t="shared" si="125"/>
        <v>0</v>
      </c>
      <c r="HN61" s="43">
        <f t="shared" si="126"/>
        <v>0</v>
      </c>
      <c r="HO61" s="43">
        <f t="shared" si="127"/>
        <v>0</v>
      </c>
      <c r="HP61" s="43">
        <f t="shared" si="128"/>
        <v>0</v>
      </c>
      <c r="HQ61" s="43">
        <f t="shared" si="129"/>
        <v>0</v>
      </c>
      <c r="HR61" s="43">
        <f t="shared" si="130"/>
        <v>0</v>
      </c>
      <c r="HS61" s="43">
        <f t="shared" si="131"/>
        <v>0</v>
      </c>
      <c r="HT61" s="43">
        <f t="shared" si="132"/>
        <v>0</v>
      </c>
      <c r="HU61" s="43">
        <f t="shared" si="133"/>
        <v>0</v>
      </c>
      <c r="HV61" s="43">
        <f t="shared" si="134"/>
        <v>0</v>
      </c>
      <c r="HW61" s="43">
        <f t="shared" si="135"/>
        <v>0</v>
      </c>
      <c r="HX61" s="43">
        <f t="shared" si="136"/>
        <v>0</v>
      </c>
      <c r="HY61" s="43">
        <f t="shared" si="137"/>
        <v>0</v>
      </c>
      <c r="HZ61" s="43">
        <f t="shared" si="138"/>
        <v>0</v>
      </c>
      <c r="IA61" s="43">
        <f t="shared" si="139"/>
        <v>0</v>
      </c>
      <c r="IB61" s="38">
        <f t="shared" si="103"/>
        <v>0</v>
      </c>
      <c r="IC61" s="38">
        <f t="shared" si="104"/>
        <v>0</v>
      </c>
      <c r="ID61" s="38">
        <f t="shared" si="105"/>
        <v>0</v>
      </c>
      <c r="IE61" s="38">
        <f t="shared" si="106"/>
        <v>0</v>
      </c>
      <c r="IF61" s="46" t="str">
        <f t="shared" si="107"/>
        <v>-</v>
      </c>
      <c r="IG61" s="45" t="str">
        <f>VLOOKUP(IF61,'TABEL KONVERSI'!$B$11:$D$15,3,0)</f>
        <v>-</v>
      </c>
      <c r="IH61" s="40" t="s">
        <v>223</v>
      </c>
      <c r="II61" s="41" t="s">
        <v>106</v>
      </c>
      <c r="IJ61" s="45" t="str">
        <f>IF(II61&lt;&gt;"",VLOOKUP(II61,'TABEL KONVERSI'!$A$19:$B$23,2,0),"")</f>
        <v>Aktif dalam mengikuti kegiatan</v>
      </c>
      <c r="IK61" s="47" t="s">
        <v>58</v>
      </c>
      <c r="IL61" s="50" t="s">
        <v>58</v>
      </c>
      <c r="IM61" s="45" t="str">
        <f>IF(IL61&lt;&gt;"",VLOOKUP(IL61,'TABEL KONVERSI'!$A$19:$B$23,2,0),"")</f>
        <v>-</v>
      </c>
      <c r="IN61" s="49" t="s">
        <v>58</v>
      </c>
      <c r="IO61" s="48" t="s">
        <v>58</v>
      </c>
      <c r="IP61" s="45" t="str">
        <f>IF(IO61&lt;&gt;"",VLOOKUP(IO61,'TABEL KONVERSI'!$A$19:$B$23,2,0),"")</f>
        <v>-</v>
      </c>
      <c r="IQ61" s="49" t="s">
        <v>58</v>
      </c>
      <c r="IR61" s="50" t="s">
        <v>58</v>
      </c>
      <c r="IS61" s="45" t="str">
        <f>IF(IR61&lt;&gt;"",VLOOKUP(IR61,'TABEL KONVERSI'!$A$19:$B$23,2,0),"")</f>
        <v>-</v>
      </c>
      <c r="IT61" s="49" t="s">
        <v>58</v>
      </c>
      <c r="IU61" s="50" t="s">
        <v>58</v>
      </c>
      <c r="IV61" s="45" t="str">
        <f>IF(IU61&lt;&gt;"",VLOOKUP(IU61,'TABEL KONVERSI'!$A$19:$B$23,2,0),"")</f>
        <v>-</v>
      </c>
      <c r="IW61" s="48" t="s">
        <v>58</v>
      </c>
      <c r="IX61" s="48" t="s">
        <v>58</v>
      </c>
      <c r="IY61" s="48" t="s">
        <v>58</v>
      </c>
      <c r="IZ61" s="47" t="s">
        <v>58</v>
      </c>
      <c r="JA61" s="45">
        <f t="shared" si="140"/>
        <v>0</v>
      </c>
      <c r="JB61" s="45">
        <f t="shared" si="141"/>
        <v>1</v>
      </c>
    </row>
    <row r="62" spans="1:262" x14ac:dyDescent="0.25">
      <c r="A62" s="33">
        <v>50</v>
      </c>
      <c r="B62" s="53"/>
      <c r="C62" s="53"/>
      <c r="D62" s="54"/>
      <c r="E62" s="55"/>
      <c r="F62" s="42"/>
      <c r="G62" s="37"/>
      <c r="H62" s="73"/>
      <c r="I62" s="73"/>
      <c r="J62" s="38" t="str">
        <f t="shared" si="34"/>
        <v/>
      </c>
      <c r="K62" s="38" t="str">
        <f t="shared" si="35"/>
        <v/>
      </c>
      <c r="L62" s="38" t="str">
        <f>IF(J62&lt;&gt;"",IF(AND(J62&gt;='TABEL KONVERSI'!$B$3,'ENTRY DATA'!J62&lt;='TABEL KONVERSI'!$C$3),1,IF(AND(J62&gt;='TABEL KONVERSI'!$B$4,'ENTRY DATA'!J62&lt;='TABEL KONVERSI'!$C$4),2,IF(AND(J62&gt;='TABEL KONVERSI'!$B$5,'ENTRY DATA'!J62&lt;='TABEL KONVERSI'!$C$5),3,IF(AND(J62&gt;='TABEL KONVERSI'!$B$6,'ENTRY DATA'!J62&lt;='TABEL KONVERSI'!$C$6),4,"")))),"-")</f>
        <v>-</v>
      </c>
      <c r="M62" s="38" t="str">
        <f>IF(K62&lt;&gt;"",IF(AND(K62&gt;='TABEL KONVERSI'!$B$3,'ENTRY DATA'!K62&lt;='TABEL KONVERSI'!$C$3),1,IF(AND(K62&gt;='TABEL KONVERSI'!$B$4,'ENTRY DATA'!K62&lt;='TABEL KONVERSI'!$C$4),2,IF(AND(K62&gt;='TABEL KONVERSI'!$B$5,'ENTRY DATA'!K62&lt;='TABEL KONVERSI'!$C$5),3,IF(AND(K62&gt;='TABEL KONVERSI'!$B$6,'ENTRY DATA'!K62&lt;='TABEL KONVERSI'!$C$6),4,"")))),"-")</f>
        <v>-</v>
      </c>
      <c r="N62" s="38" t="str">
        <f t="shared" si="36"/>
        <v>-</v>
      </c>
      <c r="O62" s="38" t="str">
        <f>VLOOKUP(L62,'TABEL KONVERSI'!$A$3:$D$7,4)</f>
        <v>-</v>
      </c>
      <c r="P62" s="38" t="str">
        <f t="shared" si="37"/>
        <v>-</v>
      </c>
      <c r="Q62" s="38" t="str">
        <f>VLOOKUP(M62,'TABEL KONVERSI'!$A$3:$D$7,4)</f>
        <v>-</v>
      </c>
      <c r="R62" s="42"/>
      <c r="S62" s="37"/>
      <c r="T62" s="73"/>
      <c r="U62" s="73"/>
      <c r="V62" s="38" t="str">
        <f t="shared" si="38"/>
        <v/>
      </c>
      <c r="W62" s="38" t="str">
        <f t="shared" si="39"/>
        <v/>
      </c>
      <c r="X62" s="38" t="str">
        <f>IF(V62&lt;&gt;"",IF(AND(V62&gt;='TABEL KONVERSI'!$B$3,'ENTRY DATA'!V62&lt;='TABEL KONVERSI'!$C$3),1,IF(AND(V62&gt;='TABEL KONVERSI'!$B$4,'ENTRY DATA'!V62&lt;='TABEL KONVERSI'!$C$4),2,IF(AND(V62&gt;='TABEL KONVERSI'!$B$5,'ENTRY DATA'!V62&lt;='TABEL KONVERSI'!$C$5),3,IF(AND(V62&gt;='TABEL KONVERSI'!$B$6,'ENTRY DATA'!V62&lt;='TABEL KONVERSI'!$C$6),4,"")))),"-")</f>
        <v>-</v>
      </c>
      <c r="Y62" s="38" t="str">
        <f>IF(W62&lt;&gt;"",IF(AND(W62&gt;='TABEL KONVERSI'!$B$3,'ENTRY DATA'!W62&lt;='TABEL KONVERSI'!$C$3),1,IF(AND(W62&gt;='TABEL KONVERSI'!$B$4,'ENTRY DATA'!W62&lt;='TABEL KONVERSI'!$C$4),2,IF(AND(W62&gt;='TABEL KONVERSI'!$B$5,'ENTRY DATA'!W62&lt;='TABEL KONVERSI'!$C$5),3,IF(AND(W62&gt;='TABEL KONVERSI'!$B$6,'ENTRY DATA'!W62&lt;='TABEL KONVERSI'!$C$6),4,"")))),"-")</f>
        <v>-</v>
      </c>
      <c r="Z62" s="38" t="str">
        <f t="shared" si="40"/>
        <v>-</v>
      </c>
      <c r="AA62" s="38" t="str">
        <f>VLOOKUP(X62,'TABEL KONVERSI'!$A$3:$D$7,4)</f>
        <v>-</v>
      </c>
      <c r="AB62" s="38" t="str">
        <f t="shared" si="41"/>
        <v>-</v>
      </c>
      <c r="AC62" s="38" t="str">
        <f>VLOOKUP(Y62,'TABEL KONVERSI'!$A$3:$D$7,4)</f>
        <v>-</v>
      </c>
      <c r="AD62" s="42"/>
      <c r="AE62" s="37"/>
      <c r="AF62" s="73"/>
      <c r="AG62" s="73"/>
      <c r="AH62" s="38" t="str">
        <f t="shared" si="42"/>
        <v/>
      </c>
      <c r="AI62" s="38" t="str">
        <f t="shared" si="43"/>
        <v/>
      </c>
      <c r="AJ62" s="38" t="str">
        <f>IF(AH62&lt;&gt;"",IF(AND(AH62&gt;='TABEL KONVERSI'!$B$3,'ENTRY DATA'!AH62&lt;='TABEL KONVERSI'!$C$3),1,IF(AND(AH62&gt;='TABEL KONVERSI'!$B$4,'ENTRY DATA'!AH62&lt;='TABEL KONVERSI'!$C$4),2,IF(AND(AH62&gt;='TABEL KONVERSI'!$B$5,'ENTRY DATA'!AH62&lt;='TABEL KONVERSI'!$C$5),3,IF(AND(AH62&gt;='TABEL KONVERSI'!$B$6,'ENTRY DATA'!AH62&lt;='TABEL KONVERSI'!$C$6),4,"")))),"-")</f>
        <v>-</v>
      </c>
      <c r="AK62" s="38" t="str">
        <f>IF(AI62&lt;&gt;"",IF(AND(AI62&gt;='TABEL KONVERSI'!$B$3,'ENTRY DATA'!AI62&lt;='TABEL KONVERSI'!$C$3),1,IF(AND(AI62&gt;='TABEL KONVERSI'!$B$4,'ENTRY DATA'!AI62&lt;='TABEL KONVERSI'!$C$4),2,IF(AND(AI62&gt;='TABEL KONVERSI'!$B$5,'ENTRY DATA'!AI62&lt;='TABEL KONVERSI'!$C$5),3,IF(AND(AI62&gt;='TABEL KONVERSI'!$B$6,'ENTRY DATA'!AI62&lt;='TABEL KONVERSI'!$C$6),4,"")))),"-")</f>
        <v>-</v>
      </c>
      <c r="AL62" s="38" t="str">
        <f t="shared" si="44"/>
        <v>-</v>
      </c>
      <c r="AM62" s="38" t="str">
        <f>VLOOKUP(AJ62,'TABEL KONVERSI'!$A$3:$D$7,4)</f>
        <v>-</v>
      </c>
      <c r="AN62" s="38" t="str">
        <f t="shared" si="45"/>
        <v>-</v>
      </c>
      <c r="AO62" s="38" t="str">
        <f>VLOOKUP(AK62,'TABEL KONVERSI'!$A$3:$D$7,4)</f>
        <v>-</v>
      </c>
      <c r="AP62" s="42"/>
      <c r="AQ62" s="37"/>
      <c r="AR62" s="73"/>
      <c r="AS62" s="73"/>
      <c r="AT62" s="38" t="str">
        <f t="shared" si="46"/>
        <v/>
      </c>
      <c r="AU62" s="38" t="str">
        <f t="shared" si="47"/>
        <v/>
      </c>
      <c r="AV62" s="38" t="str">
        <f>IF(AT62&lt;&gt;"",IF(AND(AT62&gt;='TABEL KONVERSI'!$B$3,'ENTRY DATA'!AT62&lt;='TABEL KONVERSI'!$C$3),1,IF(AND(AT62&gt;='TABEL KONVERSI'!$B$4,'ENTRY DATA'!AT62&lt;='TABEL KONVERSI'!$C$4),2,IF(AND(AT62&gt;='TABEL KONVERSI'!$B$5,'ENTRY DATA'!AT62&lt;='TABEL KONVERSI'!$C$5),3,IF(AND(AT62&gt;='TABEL KONVERSI'!$B$6,'ENTRY DATA'!AT62&lt;='TABEL KONVERSI'!$C$6),4,"")))),"-")</f>
        <v>-</v>
      </c>
      <c r="AW62" s="38" t="str">
        <f>IF(AU62&lt;&gt;"",IF(AND(AU62&gt;='TABEL KONVERSI'!$B$3,'ENTRY DATA'!AU62&lt;='TABEL KONVERSI'!$C$3),1,IF(AND(AU62&gt;='TABEL KONVERSI'!$B$4,'ENTRY DATA'!AU62&lt;='TABEL KONVERSI'!$C$4),2,IF(AND(AU62&gt;='TABEL KONVERSI'!$B$5,'ENTRY DATA'!AU62&lt;='TABEL KONVERSI'!$C$5),3,IF(AND(AU62&gt;='TABEL KONVERSI'!$B$6,'ENTRY DATA'!AU62&lt;='TABEL KONVERSI'!$C$6),4,"")))),"-")</f>
        <v>-</v>
      </c>
      <c r="AX62" s="38" t="str">
        <f t="shared" si="48"/>
        <v>-</v>
      </c>
      <c r="AY62" s="38" t="str">
        <f>VLOOKUP(AV62,'TABEL KONVERSI'!$A$3:$D$7,4)</f>
        <v>-</v>
      </c>
      <c r="AZ62" s="38" t="str">
        <f t="shared" si="49"/>
        <v>-</v>
      </c>
      <c r="BA62" s="38" t="str">
        <f>VLOOKUP(AW62,'TABEL KONVERSI'!$A$3:$D$7,4)</f>
        <v>-</v>
      </c>
      <c r="BB62" s="42"/>
      <c r="BC62" s="37"/>
      <c r="BD62" s="73"/>
      <c r="BE62" s="73"/>
      <c r="BF62" s="38" t="str">
        <f t="shared" si="50"/>
        <v/>
      </c>
      <c r="BG62" s="38" t="str">
        <f t="shared" si="51"/>
        <v/>
      </c>
      <c r="BH62" s="38" t="str">
        <f>IF(BF62&lt;&gt;"",IF(AND(BF62&gt;='TABEL KONVERSI'!$B$3,'ENTRY DATA'!BF62&lt;='TABEL KONVERSI'!$C$3),1,IF(AND(BF62&gt;='TABEL KONVERSI'!$B$4,'ENTRY DATA'!BF62&lt;='TABEL KONVERSI'!$C$4),2,IF(AND(BF62&gt;='TABEL KONVERSI'!$B$5,'ENTRY DATA'!BF62&lt;='TABEL KONVERSI'!$C$5),3,IF(AND(BF62&gt;='TABEL KONVERSI'!$B$6,'ENTRY DATA'!BF62&lt;='TABEL KONVERSI'!$C$6),4,"")))),"-")</f>
        <v>-</v>
      </c>
      <c r="BI62" s="38" t="str">
        <f>IF(BG62&lt;&gt;"",IF(AND(BG62&gt;='TABEL KONVERSI'!$B$3,'ENTRY DATA'!BG62&lt;='TABEL KONVERSI'!$C$3),1,IF(AND(BG62&gt;='TABEL KONVERSI'!$B$4,'ENTRY DATA'!BG62&lt;='TABEL KONVERSI'!$C$4),2,IF(AND(BG62&gt;='TABEL KONVERSI'!$B$5,'ENTRY DATA'!BG62&lt;='TABEL KONVERSI'!$C$5),3,IF(AND(BG62&gt;='TABEL KONVERSI'!$B$6,'ENTRY DATA'!BG62&lt;='TABEL KONVERSI'!$C$6),4,"")))),"-")</f>
        <v>-</v>
      </c>
      <c r="BJ62" s="38" t="str">
        <f t="shared" si="52"/>
        <v>-</v>
      </c>
      <c r="BK62" s="38" t="str">
        <f>VLOOKUP(BH62,'TABEL KONVERSI'!$A$3:$D$7,4)</f>
        <v>-</v>
      </c>
      <c r="BL62" s="38" t="str">
        <f t="shared" si="53"/>
        <v>-</v>
      </c>
      <c r="BM62" s="38" t="str">
        <f>VLOOKUP(BI62,'TABEL KONVERSI'!$A$3:$D$7,4)</f>
        <v>-</v>
      </c>
      <c r="BN62" s="42"/>
      <c r="BO62" s="37"/>
      <c r="BP62" s="73"/>
      <c r="BQ62" s="73"/>
      <c r="BR62" s="38" t="str">
        <f t="shared" si="54"/>
        <v/>
      </c>
      <c r="BS62" s="38" t="str">
        <f t="shared" si="55"/>
        <v/>
      </c>
      <c r="BT62" s="38" t="str">
        <f>IF(BR62&lt;&gt;"",IF(AND(BR62&gt;='TABEL KONVERSI'!$B$3,'ENTRY DATA'!BR62&lt;='TABEL KONVERSI'!$C$3),1,IF(AND(BR62&gt;='TABEL KONVERSI'!$B$4,'ENTRY DATA'!BR62&lt;='TABEL KONVERSI'!$C$4),2,IF(AND(BR62&gt;='TABEL KONVERSI'!$B$5,'ENTRY DATA'!BR62&lt;='TABEL KONVERSI'!$C$5),3,IF(AND(BR62&gt;='TABEL KONVERSI'!$B$6,'ENTRY DATA'!BR62&lt;='TABEL KONVERSI'!$C$6),4,"")))),"-")</f>
        <v>-</v>
      </c>
      <c r="BU62" s="38" t="str">
        <f>IF(BS62&lt;&gt;"",IF(AND(BS62&gt;='TABEL KONVERSI'!$B$3,'ENTRY DATA'!BS62&lt;='TABEL KONVERSI'!$C$3),1,IF(AND(BS62&gt;='TABEL KONVERSI'!$B$4,'ENTRY DATA'!BS62&lt;='TABEL KONVERSI'!$C$4),2,IF(AND(BS62&gt;='TABEL KONVERSI'!$B$5,'ENTRY DATA'!BS62&lt;='TABEL KONVERSI'!$C$5),3,IF(AND(BS62&gt;='TABEL KONVERSI'!$B$6,'ENTRY DATA'!BS62&lt;='TABEL KONVERSI'!$C$6),4,"")))),"-")</f>
        <v>-</v>
      </c>
      <c r="BV62" s="38" t="str">
        <f t="shared" si="56"/>
        <v>-</v>
      </c>
      <c r="BW62" s="38" t="str">
        <f>VLOOKUP(BT62,'TABEL KONVERSI'!$A$3:$D$7,4)</f>
        <v>-</v>
      </c>
      <c r="BX62" s="38" t="str">
        <f t="shared" si="57"/>
        <v>-</v>
      </c>
      <c r="BY62" s="38" t="str">
        <f>VLOOKUP(BU62,'TABEL KONVERSI'!$A$3:$D$7,4)</f>
        <v>-</v>
      </c>
      <c r="BZ62" s="42"/>
      <c r="CA62" s="37"/>
      <c r="CB62" s="73"/>
      <c r="CC62" s="73"/>
      <c r="CD62" s="38" t="str">
        <f t="shared" si="58"/>
        <v/>
      </c>
      <c r="CE62" s="38" t="str">
        <f t="shared" si="59"/>
        <v/>
      </c>
      <c r="CF62" s="38" t="str">
        <f>IF(CD62&lt;&gt;"",IF(AND(CD62&gt;='TABEL KONVERSI'!$B$3,'ENTRY DATA'!CD62&lt;='TABEL KONVERSI'!$C$3),1,IF(AND(CD62&gt;='TABEL KONVERSI'!$B$4,'ENTRY DATA'!CD62&lt;='TABEL KONVERSI'!$C$4),2,IF(AND(CD62&gt;='TABEL KONVERSI'!$B$5,'ENTRY DATA'!CD62&lt;='TABEL KONVERSI'!$C$5),3,IF(AND(CD62&gt;='TABEL KONVERSI'!$B$6,'ENTRY DATA'!CD62&lt;='TABEL KONVERSI'!$C$6),4,"")))),"-")</f>
        <v>-</v>
      </c>
      <c r="CG62" s="38" t="str">
        <f>IF(CE62&lt;&gt;"",IF(AND(CE62&gt;='TABEL KONVERSI'!$B$3,'ENTRY DATA'!CE62&lt;='TABEL KONVERSI'!$C$3),1,IF(AND(CE62&gt;='TABEL KONVERSI'!$B$4,'ENTRY DATA'!CE62&lt;='TABEL KONVERSI'!$C$4),2,IF(AND(CE62&gt;='TABEL KONVERSI'!$B$5,'ENTRY DATA'!CE62&lt;='TABEL KONVERSI'!$C$5),3,IF(AND(CE62&gt;='TABEL KONVERSI'!$B$6,'ENTRY DATA'!CE62&lt;='TABEL KONVERSI'!$C$6),4,"")))),"-")</f>
        <v>-</v>
      </c>
      <c r="CH62" s="38" t="str">
        <f t="shared" si="60"/>
        <v>-</v>
      </c>
      <c r="CI62" s="38" t="str">
        <f>VLOOKUP(CF62,'TABEL KONVERSI'!$A$3:$D$7,4)</f>
        <v>-</v>
      </c>
      <c r="CJ62" s="38" t="str">
        <f t="shared" si="61"/>
        <v>-</v>
      </c>
      <c r="CK62" s="38" t="str">
        <f>VLOOKUP(CG62,'TABEL KONVERSI'!$A$3:$D$7,4)</f>
        <v>-</v>
      </c>
      <c r="CL62" s="42"/>
      <c r="CM62" s="37"/>
      <c r="CN62" s="73"/>
      <c r="CO62" s="73"/>
      <c r="CP62" s="38" t="str">
        <f t="shared" si="62"/>
        <v/>
      </c>
      <c r="CQ62" s="38" t="str">
        <f t="shared" si="63"/>
        <v/>
      </c>
      <c r="CR62" s="38" t="str">
        <f>IF(CP62&lt;&gt;"",IF(AND(CP62&gt;='TABEL KONVERSI'!$B$3,'ENTRY DATA'!CP62&lt;='TABEL KONVERSI'!$C$3),1,IF(AND(CP62&gt;='TABEL KONVERSI'!$B$4,'ENTRY DATA'!CP62&lt;='TABEL KONVERSI'!$C$4),2,IF(AND(CP62&gt;='TABEL KONVERSI'!$B$5,'ENTRY DATA'!CP62&lt;='TABEL KONVERSI'!$C$5),3,IF(AND(CP62&gt;='TABEL KONVERSI'!$B$6,'ENTRY DATA'!CP62&lt;='TABEL KONVERSI'!$C$6),4,"")))),"-")</f>
        <v>-</v>
      </c>
      <c r="CS62" s="38" t="str">
        <f>IF(CQ62&lt;&gt;"",IF(AND(CQ62&gt;='TABEL KONVERSI'!$B$3,'ENTRY DATA'!CQ62&lt;='TABEL KONVERSI'!$C$3),1,IF(AND(CQ62&gt;='TABEL KONVERSI'!$B$4,'ENTRY DATA'!CQ62&lt;='TABEL KONVERSI'!$C$4),2,IF(AND(CQ62&gt;='TABEL KONVERSI'!$B$5,'ENTRY DATA'!CQ62&lt;='TABEL KONVERSI'!$C$5),3,IF(AND(CQ62&gt;='TABEL KONVERSI'!$B$6,'ENTRY DATA'!CQ62&lt;='TABEL KONVERSI'!$C$6),4,"")))),"-")</f>
        <v>-</v>
      </c>
      <c r="CT62" s="38" t="str">
        <f t="shared" si="64"/>
        <v>-</v>
      </c>
      <c r="CU62" s="38" t="str">
        <f>VLOOKUP(CR62,'TABEL KONVERSI'!$A$3:$D$7,4)</f>
        <v>-</v>
      </c>
      <c r="CV62" s="38" t="str">
        <f t="shared" si="65"/>
        <v>-</v>
      </c>
      <c r="CW62" s="38" t="str">
        <f>VLOOKUP(CS62,'TABEL KONVERSI'!$A$3:$D$7,4)</f>
        <v>-</v>
      </c>
      <c r="CX62" s="42"/>
      <c r="CY62" s="37"/>
      <c r="CZ62" s="73"/>
      <c r="DA62" s="73"/>
      <c r="DB62" s="38" t="str">
        <f t="shared" si="66"/>
        <v/>
      </c>
      <c r="DC62" s="38" t="str">
        <f t="shared" si="67"/>
        <v/>
      </c>
      <c r="DD62" s="38" t="str">
        <f>IF(DB62&lt;&gt;"",IF(AND(DB62&gt;='TABEL KONVERSI'!$B$3,'ENTRY DATA'!DB62&lt;='TABEL KONVERSI'!$C$3),1,IF(AND(DB62&gt;='TABEL KONVERSI'!$B$4,'ENTRY DATA'!DB62&lt;='TABEL KONVERSI'!$C$4),2,IF(AND(DB62&gt;='TABEL KONVERSI'!$B$5,'ENTRY DATA'!DB62&lt;='TABEL KONVERSI'!$C$5),3,IF(AND(DB62&gt;='TABEL KONVERSI'!$B$6,'ENTRY DATA'!DB62&lt;='TABEL KONVERSI'!$C$6),4,"")))),"-")</f>
        <v>-</v>
      </c>
      <c r="DE62" s="38" t="str">
        <f>IF(DC62&lt;&gt;"",IF(AND(DC62&gt;='TABEL KONVERSI'!$B$3,'ENTRY DATA'!DC62&lt;='TABEL KONVERSI'!$C$3),1,IF(AND(DC62&gt;='TABEL KONVERSI'!$B$4,'ENTRY DATA'!DC62&lt;='TABEL KONVERSI'!$C$4),2,IF(AND(DC62&gt;='TABEL KONVERSI'!$B$5,'ENTRY DATA'!DC62&lt;='TABEL KONVERSI'!$C$5),3,IF(AND(DC62&gt;='TABEL KONVERSI'!$B$6,'ENTRY DATA'!DC62&lt;='TABEL KONVERSI'!$C$6),4,"")))),"-")</f>
        <v>-</v>
      </c>
      <c r="DF62" s="38" t="str">
        <f t="shared" si="68"/>
        <v>-</v>
      </c>
      <c r="DG62" s="38" t="str">
        <f>VLOOKUP(DD62,'TABEL KONVERSI'!$A$3:$D$7,4)</f>
        <v>-</v>
      </c>
      <c r="DH62" s="38" t="str">
        <f t="shared" si="69"/>
        <v>-</v>
      </c>
      <c r="DI62" s="38" t="str">
        <f>VLOOKUP(DE62,'TABEL KONVERSI'!$A$3:$D$7,4)</f>
        <v>-</v>
      </c>
      <c r="DJ62" s="42"/>
      <c r="DK62" s="37"/>
      <c r="DL62" s="73"/>
      <c r="DM62" s="73"/>
      <c r="DN62" s="38" t="str">
        <f t="shared" si="70"/>
        <v/>
      </c>
      <c r="DO62" s="38" t="str">
        <f t="shared" si="71"/>
        <v/>
      </c>
      <c r="DP62" s="38" t="str">
        <f>IF(DN62&lt;&gt;"",IF(AND(DN62&gt;='TABEL KONVERSI'!$B$3,'ENTRY DATA'!DN62&lt;='TABEL KONVERSI'!$C$3),1,IF(AND(DN62&gt;='TABEL KONVERSI'!$B$4,'ENTRY DATA'!DN62&lt;='TABEL KONVERSI'!$C$4),2,IF(AND(DN62&gt;='TABEL KONVERSI'!$B$5,'ENTRY DATA'!DN62&lt;='TABEL KONVERSI'!$C$5),3,IF(AND(DN62&gt;='TABEL KONVERSI'!$B$6,'ENTRY DATA'!DN62&lt;='TABEL KONVERSI'!$C$6),4,"")))),"-")</f>
        <v>-</v>
      </c>
      <c r="DQ62" s="38" t="str">
        <f>IF(DO62&lt;&gt;"",IF(AND(DO62&gt;='TABEL KONVERSI'!$B$3,'ENTRY DATA'!DO62&lt;='TABEL KONVERSI'!$C$3),1,IF(AND(DO62&gt;='TABEL KONVERSI'!$B$4,'ENTRY DATA'!DO62&lt;='TABEL KONVERSI'!$C$4),2,IF(AND(DO62&gt;='TABEL KONVERSI'!$B$5,'ENTRY DATA'!DO62&lt;='TABEL KONVERSI'!$C$5),3,IF(AND(DO62&gt;='TABEL KONVERSI'!$B$6,'ENTRY DATA'!DO62&lt;='TABEL KONVERSI'!$C$6),4,"")))),"-")</f>
        <v>-</v>
      </c>
      <c r="DR62" s="38" t="str">
        <f t="shared" si="72"/>
        <v>-</v>
      </c>
      <c r="DS62" s="38" t="str">
        <f>VLOOKUP(DP62,'TABEL KONVERSI'!$A$3:$D$7,4)</f>
        <v>-</v>
      </c>
      <c r="DT62" s="38" t="str">
        <f t="shared" si="73"/>
        <v>-</v>
      </c>
      <c r="DU62" s="38" t="str">
        <f>VLOOKUP(DQ62,'TABEL KONVERSI'!$A$3:$D$7,4)</f>
        <v>-</v>
      </c>
      <c r="DV62" s="42"/>
      <c r="DW62" s="37"/>
      <c r="DX62" s="73"/>
      <c r="DY62" s="73"/>
      <c r="DZ62" s="38" t="str">
        <f t="shared" si="74"/>
        <v/>
      </c>
      <c r="EA62" s="38" t="str">
        <f t="shared" si="75"/>
        <v/>
      </c>
      <c r="EB62" s="38" t="str">
        <f>IF(DZ62&lt;&gt;"",IF(AND(DZ62&gt;='TABEL KONVERSI'!$B$3,'ENTRY DATA'!DZ62&lt;='TABEL KONVERSI'!$C$3),1,IF(AND(DZ62&gt;='TABEL KONVERSI'!$B$4,'ENTRY DATA'!DZ62&lt;='TABEL KONVERSI'!$C$4),2,IF(AND(DZ62&gt;='TABEL KONVERSI'!$B$5,'ENTRY DATA'!DZ62&lt;='TABEL KONVERSI'!$C$5),3,IF(AND(DZ62&gt;='TABEL KONVERSI'!$B$6,'ENTRY DATA'!DZ62&lt;='TABEL KONVERSI'!$C$6),4,"")))),"-")</f>
        <v>-</v>
      </c>
      <c r="EC62" s="38" t="str">
        <f>IF(EA62&lt;&gt;"",IF(AND(EA62&gt;='TABEL KONVERSI'!$B$3,'ENTRY DATA'!EA62&lt;='TABEL KONVERSI'!$C$3),1,IF(AND(EA62&gt;='TABEL KONVERSI'!$B$4,'ENTRY DATA'!EA62&lt;='TABEL KONVERSI'!$C$4),2,IF(AND(EA62&gt;='TABEL KONVERSI'!$B$5,'ENTRY DATA'!EA62&lt;='TABEL KONVERSI'!$C$5),3,IF(AND(EA62&gt;='TABEL KONVERSI'!$B$6,'ENTRY DATA'!EA62&lt;='TABEL KONVERSI'!$C$6),4,"")))),"-")</f>
        <v>-</v>
      </c>
      <c r="ED62" s="38" t="str">
        <f t="shared" si="76"/>
        <v>-</v>
      </c>
      <c r="EE62" s="38" t="str">
        <f>VLOOKUP(EB62,'TABEL KONVERSI'!$A$3:$D$7,4)</f>
        <v>-</v>
      </c>
      <c r="EF62" s="38" t="str">
        <f t="shared" si="77"/>
        <v>-</v>
      </c>
      <c r="EG62" s="38" t="str">
        <f>VLOOKUP(EC62,'TABEL KONVERSI'!$A$3:$D$7,4)</f>
        <v>-</v>
      </c>
      <c r="EH62" s="42"/>
      <c r="EI62" s="37"/>
      <c r="EJ62" s="73"/>
      <c r="EK62" s="73"/>
      <c r="EL62" s="38" t="str">
        <f t="shared" si="78"/>
        <v/>
      </c>
      <c r="EM62" s="38" t="str">
        <f t="shared" si="79"/>
        <v/>
      </c>
      <c r="EN62" s="38" t="str">
        <f>IF(EL62&lt;&gt;"",IF(AND(EL62&gt;='TABEL KONVERSI'!$B$3,'ENTRY DATA'!EL62&lt;='TABEL KONVERSI'!$C$3),1,IF(AND(EL62&gt;='TABEL KONVERSI'!$B$4,'ENTRY DATA'!EL62&lt;='TABEL KONVERSI'!$C$4),2,IF(AND(EL62&gt;='TABEL KONVERSI'!$B$5,'ENTRY DATA'!EL62&lt;='TABEL KONVERSI'!$C$5),3,IF(AND(EL62&gt;='TABEL KONVERSI'!$B$6,'ENTRY DATA'!EL62&lt;='TABEL KONVERSI'!$C$6),4,"")))),"-")</f>
        <v>-</v>
      </c>
      <c r="EO62" s="38" t="str">
        <f>IF(EM62&lt;&gt;"",IF(AND(EM62&gt;='TABEL KONVERSI'!$B$3,'ENTRY DATA'!EM62&lt;='TABEL KONVERSI'!$C$3),1,IF(AND(EM62&gt;='TABEL KONVERSI'!$B$4,'ENTRY DATA'!EM62&lt;='TABEL KONVERSI'!$C$4),2,IF(AND(EM62&gt;='TABEL KONVERSI'!$B$5,'ENTRY DATA'!EM62&lt;='TABEL KONVERSI'!$C$5),3,IF(AND(EM62&gt;='TABEL KONVERSI'!$B$6,'ENTRY DATA'!EM62&lt;='TABEL KONVERSI'!$C$6),4,"")))),"-")</f>
        <v>-</v>
      </c>
      <c r="EP62" s="38" t="str">
        <f t="shared" si="80"/>
        <v>-</v>
      </c>
      <c r="EQ62" s="38" t="str">
        <f>VLOOKUP(EN62,'TABEL KONVERSI'!$A$3:$D$7,4)</f>
        <v>-</v>
      </c>
      <c r="ER62" s="38" t="str">
        <f t="shared" si="81"/>
        <v>-</v>
      </c>
      <c r="ES62" s="38" t="str">
        <f>VLOOKUP(EO62,'TABEL KONVERSI'!$A$3:$D$7,4)</f>
        <v>-</v>
      </c>
      <c r="ET62" s="42"/>
      <c r="EU62" s="37"/>
      <c r="EV62" s="73"/>
      <c r="EW62" s="73"/>
      <c r="EX62" s="38" t="str">
        <f t="shared" si="82"/>
        <v/>
      </c>
      <c r="EY62" s="38" t="str">
        <f t="shared" si="83"/>
        <v/>
      </c>
      <c r="EZ62" s="38" t="str">
        <f>IF(EX62&lt;&gt;"",IF(AND(EX62&gt;='TABEL KONVERSI'!$B$3,'ENTRY DATA'!EX62&lt;='TABEL KONVERSI'!$C$3),1,IF(AND(EX62&gt;='TABEL KONVERSI'!$B$4,'ENTRY DATA'!EX62&lt;='TABEL KONVERSI'!$C$4),2,IF(AND(EX62&gt;='TABEL KONVERSI'!$B$5,'ENTRY DATA'!EX62&lt;='TABEL KONVERSI'!$C$5),3,IF(AND(EX62&gt;='TABEL KONVERSI'!$B$6,'ENTRY DATA'!EX62&lt;='TABEL KONVERSI'!$C$6),4,"")))),"-")</f>
        <v>-</v>
      </c>
      <c r="FA62" s="38" t="str">
        <f>IF(EY62&lt;&gt;"",IF(AND(EY62&gt;='TABEL KONVERSI'!$B$3,'ENTRY DATA'!EY62&lt;='TABEL KONVERSI'!$C$3),1,IF(AND(EY62&gt;='TABEL KONVERSI'!$B$4,'ENTRY DATA'!EY62&lt;='TABEL KONVERSI'!$C$4),2,IF(AND(EY62&gt;='TABEL KONVERSI'!$B$5,'ENTRY DATA'!EY62&lt;='TABEL KONVERSI'!$C$5),3,IF(AND(EY62&gt;='TABEL KONVERSI'!$B$6,'ENTRY DATA'!EY62&lt;='TABEL KONVERSI'!$C$6),4,"")))),"-")</f>
        <v>-</v>
      </c>
      <c r="FB62" s="38" t="str">
        <f t="shared" si="84"/>
        <v>-</v>
      </c>
      <c r="FC62" s="38" t="str">
        <f>VLOOKUP(EZ62,'TABEL KONVERSI'!$A$3:$D$7,4)</f>
        <v>-</v>
      </c>
      <c r="FD62" s="38" t="str">
        <f t="shared" si="85"/>
        <v>-</v>
      </c>
      <c r="FE62" s="38" t="str">
        <f>VLOOKUP(FA62,'TABEL KONVERSI'!$A$3:$D$7,4)</f>
        <v>-</v>
      </c>
      <c r="FF62" s="42"/>
      <c r="FG62" s="37"/>
      <c r="FH62" s="73"/>
      <c r="FI62" s="73"/>
      <c r="FJ62" s="38" t="str">
        <f t="shared" si="86"/>
        <v/>
      </c>
      <c r="FK62" s="38" t="str">
        <f t="shared" si="87"/>
        <v/>
      </c>
      <c r="FL62" s="38" t="str">
        <f>IF(FJ62&lt;&gt;"",IF(AND(FJ62&gt;='TABEL KONVERSI'!$B$3,'ENTRY DATA'!FJ62&lt;='TABEL KONVERSI'!$C$3),1,IF(AND(FJ62&gt;='TABEL KONVERSI'!$B$4,'ENTRY DATA'!FJ62&lt;='TABEL KONVERSI'!$C$4),2,IF(AND(FJ62&gt;='TABEL KONVERSI'!$B$5,'ENTRY DATA'!FJ62&lt;='TABEL KONVERSI'!$C$5),3,IF(AND(FJ62&gt;='TABEL KONVERSI'!$B$6,'ENTRY DATA'!FJ62&lt;='TABEL KONVERSI'!$C$6),4,"")))),"-")</f>
        <v>-</v>
      </c>
      <c r="FM62" s="38" t="str">
        <f>IF(FK62&lt;&gt;"",IF(AND(FK62&gt;='TABEL KONVERSI'!$B$3,'ENTRY DATA'!FK62&lt;='TABEL KONVERSI'!$C$3),1,IF(AND(FK62&gt;='TABEL KONVERSI'!$B$4,'ENTRY DATA'!FK62&lt;='TABEL KONVERSI'!$C$4),2,IF(AND(FK62&gt;='TABEL KONVERSI'!$B$5,'ENTRY DATA'!FK62&lt;='TABEL KONVERSI'!$C$5),3,IF(AND(FK62&gt;='TABEL KONVERSI'!$B$6,'ENTRY DATA'!FK62&lt;='TABEL KONVERSI'!$C$6),4,"")))),"-")</f>
        <v>-</v>
      </c>
      <c r="FN62" s="38" t="str">
        <f t="shared" si="88"/>
        <v>-</v>
      </c>
      <c r="FO62" s="38" t="str">
        <f>VLOOKUP(FL62,'TABEL KONVERSI'!$A$3:$D$7,4)</f>
        <v>-</v>
      </c>
      <c r="FP62" s="38" t="str">
        <f t="shared" si="89"/>
        <v>-</v>
      </c>
      <c r="FQ62" s="38" t="str">
        <f>VLOOKUP(FM62,'TABEL KONVERSI'!$A$3:$D$7,4)</f>
        <v>-</v>
      </c>
      <c r="FR62" s="42"/>
      <c r="FS62" s="37"/>
      <c r="FT62" s="73"/>
      <c r="FU62" s="73"/>
      <c r="FV62" s="38" t="str">
        <f t="shared" si="90"/>
        <v/>
      </c>
      <c r="FW62" s="38" t="str">
        <f t="shared" si="91"/>
        <v/>
      </c>
      <c r="FX62" s="38" t="str">
        <f>IF(FV62&lt;&gt;"",IF(AND(FV62&gt;='TABEL KONVERSI'!$B$3,'ENTRY DATA'!FV62&lt;='TABEL KONVERSI'!$C$3),1,IF(AND(FV62&gt;='TABEL KONVERSI'!$B$4,'ENTRY DATA'!FV62&lt;='TABEL KONVERSI'!$C$4),2,IF(AND(FV62&gt;='TABEL KONVERSI'!$B$5,'ENTRY DATA'!FV62&lt;='TABEL KONVERSI'!$C$5),3,IF(AND(FV62&gt;='TABEL KONVERSI'!$B$6,'ENTRY DATA'!FV62&lt;='TABEL KONVERSI'!$C$6),4,"")))),"-")</f>
        <v>-</v>
      </c>
      <c r="FY62" s="38" t="str">
        <f>IF(FW62&lt;&gt;"",IF(AND(FW62&gt;='TABEL KONVERSI'!$B$3,'ENTRY DATA'!FW62&lt;='TABEL KONVERSI'!$C$3),1,IF(AND(FW62&gt;='TABEL KONVERSI'!$B$4,'ENTRY DATA'!FW62&lt;='TABEL KONVERSI'!$C$4),2,IF(AND(FW62&gt;='TABEL KONVERSI'!$B$5,'ENTRY DATA'!FW62&lt;='TABEL KONVERSI'!$C$5),3,IF(AND(FW62&gt;='TABEL KONVERSI'!$B$6,'ENTRY DATA'!FW62&lt;='TABEL KONVERSI'!$C$6),4,"")))),"-")</f>
        <v>-</v>
      </c>
      <c r="FZ62" s="38" t="str">
        <f t="shared" si="92"/>
        <v>-</v>
      </c>
      <c r="GA62" s="38" t="str">
        <f>VLOOKUP(FX62,'TABEL KONVERSI'!$A$3:$D$7,4)</f>
        <v>-</v>
      </c>
      <c r="GB62" s="38" t="str">
        <f t="shared" si="93"/>
        <v>-</v>
      </c>
      <c r="GC62" s="38" t="str">
        <f>VLOOKUP(FY62,'TABEL KONVERSI'!$A$3:$D$7,4)</f>
        <v>-</v>
      </c>
      <c r="GD62" s="42"/>
      <c r="GE62" s="37"/>
      <c r="GF62" s="73"/>
      <c r="GG62" s="73"/>
      <c r="GH62" s="38" t="str">
        <f t="shared" si="94"/>
        <v/>
      </c>
      <c r="GI62" s="38" t="str">
        <f t="shared" si="95"/>
        <v/>
      </c>
      <c r="GJ62" s="38" t="str">
        <f>IF(GH62&lt;&gt;"",IF(AND(GH62&gt;='TABEL KONVERSI'!$B$3,'ENTRY DATA'!GH62&lt;='TABEL KONVERSI'!$C$3),1,IF(AND(GH62&gt;='TABEL KONVERSI'!$B$4,'ENTRY DATA'!GH62&lt;='TABEL KONVERSI'!$C$4),2,IF(AND(GH62&gt;='TABEL KONVERSI'!$B$5,'ENTRY DATA'!GH62&lt;='TABEL KONVERSI'!$C$5),3,IF(AND(GH62&gt;='TABEL KONVERSI'!$B$6,'ENTRY DATA'!GH62&lt;='TABEL KONVERSI'!$C$6),4,"")))),"-")</f>
        <v>-</v>
      </c>
      <c r="GK62" s="38" t="str">
        <f>IF(GI62&lt;&gt;"",IF(AND(GI62&gt;='TABEL KONVERSI'!$B$3,'ENTRY DATA'!GI62&lt;='TABEL KONVERSI'!$C$3),1,IF(AND(GI62&gt;='TABEL KONVERSI'!$B$4,'ENTRY DATA'!GI62&lt;='TABEL KONVERSI'!$C$4),2,IF(AND(GI62&gt;='TABEL KONVERSI'!$B$5,'ENTRY DATA'!GI62&lt;='TABEL KONVERSI'!$C$5),3,IF(AND(GI62&gt;='TABEL KONVERSI'!$B$6,'ENTRY DATA'!GI62&lt;='TABEL KONVERSI'!$C$6),4,"")))),"-")</f>
        <v>-</v>
      </c>
      <c r="GL62" s="38" t="str">
        <f t="shared" si="96"/>
        <v>-</v>
      </c>
      <c r="GM62" s="38" t="str">
        <f>VLOOKUP(GJ62,'TABEL KONVERSI'!$A$3:$D$7,4)</f>
        <v>-</v>
      </c>
      <c r="GN62" s="38" t="str">
        <f t="shared" si="97"/>
        <v>-</v>
      </c>
      <c r="GO62" s="38" t="str">
        <f>VLOOKUP(GK62,'TABEL KONVERSI'!$A$3:$D$7,4)</f>
        <v>-</v>
      </c>
      <c r="GP62" s="43">
        <f t="shared" si="108"/>
        <v>0</v>
      </c>
      <c r="GQ62" s="43">
        <f t="shared" si="109"/>
        <v>0</v>
      </c>
      <c r="GR62" s="43">
        <f t="shared" si="110"/>
        <v>0</v>
      </c>
      <c r="GS62" s="43">
        <f t="shared" si="111"/>
        <v>0</v>
      </c>
      <c r="GT62" s="43">
        <f t="shared" si="112"/>
        <v>0</v>
      </c>
      <c r="GU62" s="43">
        <f t="shared" si="113"/>
        <v>0</v>
      </c>
      <c r="GV62" s="43">
        <f t="shared" si="114"/>
        <v>0</v>
      </c>
      <c r="GW62" s="43">
        <f t="shared" si="115"/>
        <v>0</v>
      </c>
      <c r="GX62" s="43">
        <f t="shared" si="116"/>
        <v>0</v>
      </c>
      <c r="GY62" s="43">
        <f t="shared" si="117"/>
        <v>0</v>
      </c>
      <c r="GZ62" s="43">
        <f t="shared" si="118"/>
        <v>0</v>
      </c>
      <c r="HA62" s="43">
        <f t="shared" si="119"/>
        <v>0</v>
      </c>
      <c r="HB62" s="43">
        <f t="shared" si="120"/>
        <v>0</v>
      </c>
      <c r="HC62" s="43">
        <f t="shared" si="121"/>
        <v>0</v>
      </c>
      <c r="HD62" s="43">
        <f t="shared" si="122"/>
        <v>0</v>
      </c>
      <c r="HE62" s="43">
        <f t="shared" si="123"/>
        <v>0</v>
      </c>
      <c r="HF62" s="38">
        <f t="shared" si="98"/>
        <v>0</v>
      </c>
      <c r="HG62" s="38">
        <f t="shared" si="99"/>
        <v>0</v>
      </c>
      <c r="HH62" s="38">
        <f t="shared" si="100"/>
        <v>0</v>
      </c>
      <c r="HI62" s="39">
        <f t="shared" si="101"/>
        <v>0</v>
      </c>
      <c r="HJ62" s="44" t="str">
        <f t="shared" si="102"/>
        <v>-</v>
      </c>
      <c r="HK62" s="45" t="str">
        <f>VLOOKUP(HJ62,'TABEL KONVERSI'!$B$11:$D$15,2,0)</f>
        <v>-</v>
      </c>
      <c r="HL62" s="43">
        <f t="shared" si="124"/>
        <v>0</v>
      </c>
      <c r="HM62" s="43">
        <f t="shared" si="125"/>
        <v>0</v>
      </c>
      <c r="HN62" s="43">
        <f t="shared" si="126"/>
        <v>0</v>
      </c>
      <c r="HO62" s="43">
        <f t="shared" si="127"/>
        <v>0</v>
      </c>
      <c r="HP62" s="43">
        <f t="shared" si="128"/>
        <v>0</v>
      </c>
      <c r="HQ62" s="43">
        <f t="shared" si="129"/>
        <v>0</v>
      </c>
      <c r="HR62" s="43">
        <f t="shared" si="130"/>
        <v>0</v>
      </c>
      <c r="HS62" s="43">
        <f t="shared" si="131"/>
        <v>0</v>
      </c>
      <c r="HT62" s="43">
        <f t="shared" si="132"/>
        <v>0</v>
      </c>
      <c r="HU62" s="43">
        <f t="shared" si="133"/>
        <v>0</v>
      </c>
      <c r="HV62" s="43">
        <f t="shared" si="134"/>
        <v>0</v>
      </c>
      <c r="HW62" s="43">
        <f t="shared" si="135"/>
        <v>0</v>
      </c>
      <c r="HX62" s="43">
        <f t="shared" si="136"/>
        <v>0</v>
      </c>
      <c r="HY62" s="43">
        <f t="shared" si="137"/>
        <v>0</v>
      </c>
      <c r="HZ62" s="43">
        <f t="shared" si="138"/>
        <v>0</v>
      </c>
      <c r="IA62" s="43">
        <f t="shared" si="139"/>
        <v>0</v>
      </c>
      <c r="IB62" s="38">
        <f t="shared" si="103"/>
        <v>0</v>
      </c>
      <c r="IC62" s="38">
        <f t="shared" si="104"/>
        <v>0</v>
      </c>
      <c r="ID62" s="38">
        <f t="shared" si="105"/>
        <v>0</v>
      </c>
      <c r="IE62" s="38">
        <f t="shared" si="106"/>
        <v>0</v>
      </c>
      <c r="IF62" s="46" t="str">
        <f t="shared" si="107"/>
        <v>-</v>
      </c>
      <c r="IG62" s="45" t="str">
        <f>VLOOKUP(IF62,'TABEL KONVERSI'!$B$11:$D$15,3,0)</f>
        <v>-</v>
      </c>
      <c r="IH62" s="40" t="s">
        <v>223</v>
      </c>
      <c r="II62" s="41" t="s">
        <v>106</v>
      </c>
      <c r="IJ62" s="45" t="str">
        <f>IF(II62&lt;&gt;"",VLOOKUP(II62,'TABEL KONVERSI'!$A$19:$B$23,2,0),"")</f>
        <v>Aktif dalam mengikuti kegiatan</v>
      </c>
      <c r="IK62" s="47" t="s">
        <v>58</v>
      </c>
      <c r="IL62" s="50" t="s">
        <v>58</v>
      </c>
      <c r="IM62" s="45" t="str">
        <f>IF(IL62&lt;&gt;"",VLOOKUP(IL62,'TABEL KONVERSI'!$A$19:$B$23,2,0),"")</f>
        <v>-</v>
      </c>
      <c r="IN62" s="49" t="s">
        <v>58</v>
      </c>
      <c r="IO62" s="48" t="s">
        <v>58</v>
      </c>
      <c r="IP62" s="45" t="str">
        <f>IF(IO62&lt;&gt;"",VLOOKUP(IO62,'TABEL KONVERSI'!$A$19:$B$23,2,0),"")</f>
        <v>-</v>
      </c>
      <c r="IQ62" s="49" t="s">
        <v>58</v>
      </c>
      <c r="IR62" s="50" t="s">
        <v>58</v>
      </c>
      <c r="IS62" s="45" t="str">
        <f>IF(IR62&lt;&gt;"",VLOOKUP(IR62,'TABEL KONVERSI'!$A$19:$B$23,2,0),"")</f>
        <v>-</v>
      </c>
      <c r="IT62" s="49" t="s">
        <v>58</v>
      </c>
      <c r="IU62" s="50" t="s">
        <v>58</v>
      </c>
      <c r="IV62" s="45" t="str">
        <f>IF(IU62&lt;&gt;"",VLOOKUP(IU62,'TABEL KONVERSI'!$A$19:$B$23,2,0),"")</f>
        <v>-</v>
      </c>
      <c r="IW62" s="48" t="s">
        <v>58</v>
      </c>
      <c r="IX62" s="48" t="s">
        <v>58</v>
      </c>
      <c r="IY62" s="48" t="s">
        <v>58</v>
      </c>
      <c r="IZ62" s="47" t="s">
        <v>58</v>
      </c>
      <c r="JA62" s="45">
        <f t="shared" si="140"/>
        <v>0</v>
      </c>
      <c r="JB62" s="45">
        <f t="shared" ref="JB62" si="142">RANK(JA62,$JA$13:$JA$62,0)</f>
        <v>1</v>
      </c>
    </row>
    <row r="63" spans="1:262" x14ac:dyDescent="0.25">
      <c r="GD63" s="34"/>
    </row>
  </sheetData>
  <mergeCells count="200">
    <mergeCell ref="BZ7:DU7"/>
    <mergeCell ref="DV8:EG8"/>
    <mergeCell ref="EH8:ES8"/>
    <mergeCell ref="ET8:FE8"/>
    <mergeCell ref="FF8:FQ8"/>
    <mergeCell ref="DV7:FQ7"/>
    <mergeCell ref="FR8:GC8"/>
    <mergeCell ref="GD8:GO8"/>
    <mergeCell ref="FR7:GO7"/>
    <mergeCell ref="AN11:AO11"/>
    <mergeCell ref="BC10:BE10"/>
    <mergeCell ref="BO10:BQ10"/>
    <mergeCell ref="EI11:EI12"/>
    <mergeCell ref="ET11:ET12"/>
    <mergeCell ref="EU11:EU12"/>
    <mergeCell ref="FF11:FF12"/>
    <mergeCell ref="FG11:FG12"/>
    <mergeCell ref="FR11:FR12"/>
    <mergeCell ref="EP11:EQ11"/>
    <mergeCell ref="ER11:ES11"/>
    <mergeCell ref="FJ11:FK11"/>
    <mergeCell ref="FL11:FM11"/>
    <mergeCell ref="FN11:FO11"/>
    <mergeCell ref="CM10:CO10"/>
    <mergeCell ref="DK10:DM10"/>
    <mergeCell ref="FG10:FI10"/>
    <mergeCell ref="CA10:CC10"/>
    <mergeCell ref="EU10:EW10"/>
    <mergeCell ref="EI10:EK10"/>
    <mergeCell ref="EB11:EC11"/>
    <mergeCell ref="EH11:EH12"/>
    <mergeCell ref="DH11:DI11"/>
    <mergeCell ref="CH11:CI11"/>
    <mergeCell ref="DW10:DY10"/>
    <mergeCell ref="B7:B12"/>
    <mergeCell ref="A7:A12"/>
    <mergeCell ref="DT11:DU11"/>
    <mergeCell ref="DF11:DG11"/>
    <mergeCell ref="DN11:DO11"/>
    <mergeCell ref="DP11:DQ11"/>
    <mergeCell ref="DR11:DS11"/>
    <mergeCell ref="DW11:DW12"/>
    <mergeCell ref="DB11:DC11"/>
    <mergeCell ref="DD11:DE11"/>
    <mergeCell ref="DL11:DM11"/>
    <mergeCell ref="DX11:DY11"/>
    <mergeCell ref="CD11:CE11"/>
    <mergeCell ref="CF11:CG11"/>
    <mergeCell ref="CP11:CQ11"/>
    <mergeCell ref="CR11:CS11"/>
    <mergeCell ref="CT11:CU11"/>
    <mergeCell ref="N11:O11"/>
    <mergeCell ref="P11:Q11"/>
    <mergeCell ref="V11:W11"/>
    <mergeCell ref="X11:Y11"/>
    <mergeCell ref="Z11:AA11"/>
    <mergeCell ref="AB11:AC11"/>
    <mergeCell ref="G5:I5"/>
    <mergeCell ref="BR11:BS11"/>
    <mergeCell ref="BC11:BC12"/>
    <mergeCell ref="BN8:BY8"/>
    <mergeCell ref="BZ8:CK8"/>
    <mergeCell ref="CL8:CW8"/>
    <mergeCell ref="CX8:DI8"/>
    <mergeCell ref="DJ8:DU8"/>
    <mergeCell ref="CY10:DA10"/>
    <mergeCell ref="AH11:AI11"/>
    <mergeCell ref="AJ11:AK11"/>
    <mergeCell ref="AD11:AD12"/>
    <mergeCell ref="AE11:AE12"/>
    <mergeCell ref="R11:R12"/>
    <mergeCell ref="S11:S12"/>
    <mergeCell ref="AE10:AG10"/>
    <mergeCell ref="AQ10:AS10"/>
    <mergeCell ref="AP8:BA8"/>
    <mergeCell ref="AD8:AO8"/>
    <mergeCell ref="AP11:AP12"/>
    <mergeCell ref="AQ11:AQ12"/>
    <mergeCell ref="BB11:BB12"/>
    <mergeCell ref="BB8:BM8"/>
    <mergeCell ref="AL11:AM11"/>
    <mergeCell ref="GP8:HK10"/>
    <mergeCell ref="HL8:IG10"/>
    <mergeCell ref="GP7:IG7"/>
    <mergeCell ref="A1:B1"/>
    <mergeCell ref="E7:E12"/>
    <mergeCell ref="D7:D12"/>
    <mergeCell ref="A2:B2"/>
    <mergeCell ref="A3:B3"/>
    <mergeCell ref="A4:B4"/>
    <mergeCell ref="A5:B5"/>
    <mergeCell ref="E2:F2"/>
    <mergeCell ref="E3:F3"/>
    <mergeCell ref="E4:F4"/>
    <mergeCell ref="E5:F5"/>
    <mergeCell ref="C7:C12"/>
    <mergeCell ref="F8:Q8"/>
    <mergeCell ref="G4:I4"/>
    <mergeCell ref="G3:I3"/>
    <mergeCell ref="G2:I2"/>
    <mergeCell ref="G1:I1"/>
    <mergeCell ref="G10:I10"/>
    <mergeCell ref="F11:F12"/>
    <mergeCell ref="G11:G12"/>
    <mergeCell ref="F7:BY7"/>
    <mergeCell ref="FS11:FS12"/>
    <mergeCell ref="GD11:GD12"/>
    <mergeCell ref="GE11:GE12"/>
    <mergeCell ref="JA7:JA12"/>
    <mergeCell ref="JB7:JB12"/>
    <mergeCell ref="IG11:IG12"/>
    <mergeCell ref="IF11:IF12"/>
    <mergeCell ref="HK11:HK12"/>
    <mergeCell ref="HJ11:HJ12"/>
    <mergeCell ref="IZ7:IZ12"/>
    <mergeCell ref="IT11:IT12"/>
    <mergeCell ref="IU11:IU12"/>
    <mergeCell ref="IH7:IU10"/>
    <mergeCell ref="IK11:IK12"/>
    <mergeCell ref="IL11:IL12"/>
    <mergeCell ref="IN11:IN12"/>
    <mergeCell ref="IO11:IO12"/>
    <mergeCell ref="IM11:IM12"/>
    <mergeCell ref="IP11:IP12"/>
    <mergeCell ref="IS11:IS12"/>
    <mergeCell ref="IV11:IV12"/>
    <mergeCell ref="IQ11:IQ12"/>
    <mergeCell ref="IY11:IY12"/>
    <mergeCell ref="IW7:IY10"/>
    <mergeCell ref="FX11:FY11"/>
    <mergeCell ref="FZ11:GA11"/>
    <mergeCell ref="GB11:GC11"/>
    <mergeCell ref="IH11:IH12"/>
    <mergeCell ref="II11:II12"/>
    <mergeCell ref="GH11:GI11"/>
    <mergeCell ref="GJ11:GK11"/>
    <mergeCell ref="GL11:GM11"/>
    <mergeCell ref="IB11:IE11"/>
    <mergeCell ref="IW11:IW12"/>
    <mergeCell ref="IX11:IX12"/>
    <mergeCell ref="GE10:GG10"/>
    <mergeCell ref="FS10:FU10"/>
    <mergeCell ref="ED11:EE11"/>
    <mergeCell ref="EF11:EG11"/>
    <mergeCell ref="DZ11:EA11"/>
    <mergeCell ref="EL11:EM11"/>
    <mergeCell ref="EN11:EO11"/>
    <mergeCell ref="IR11:IR12"/>
    <mergeCell ref="GF11:GG11"/>
    <mergeCell ref="HF11:HI11"/>
    <mergeCell ref="EJ11:EK11"/>
    <mergeCell ref="EV11:EW11"/>
    <mergeCell ref="FH11:FI11"/>
    <mergeCell ref="FT11:FU11"/>
    <mergeCell ref="EX11:EY11"/>
    <mergeCell ref="EZ11:FA11"/>
    <mergeCell ref="FB11:FC11"/>
    <mergeCell ref="FD11:FE11"/>
    <mergeCell ref="GN11:GO11"/>
    <mergeCell ref="IJ11:IJ12"/>
    <mergeCell ref="FP11:FQ11"/>
    <mergeCell ref="FV11:FW11"/>
    <mergeCell ref="CN11:CO11"/>
    <mergeCell ref="CZ11:DA11"/>
    <mergeCell ref="BT11:BU11"/>
    <mergeCell ref="BV11:BW11"/>
    <mergeCell ref="BX11:BY11"/>
    <mergeCell ref="CL11:CL12"/>
    <mergeCell ref="CM11:CM12"/>
    <mergeCell ref="CX11:CX12"/>
    <mergeCell ref="CV11:CW11"/>
    <mergeCell ref="CY11:CY12"/>
    <mergeCell ref="BZ11:BZ12"/>
    <mergeCell ref="CA11:CA12"/>
    <mergeCell ref="CJ11:CK11"/>
    <mergeCell ref="CB11:CC11"/>
    <mergeCell ref="BN11:BN12"/>
    <mergeCell ref="BO11:BO12"/>
    <mergeCell ref="DJ11:DJ12"/>
    <mergeCell ref="DK11:DK12"/>
    <mergeCell ref="DV11:DV12"/>
    <mergeCell ref="E1:F1"/>
    <mergeCell ref="H11:I11"/>
    <mergeCell ref="T11:U11"/>
    <mergeCell ref="AF11:AG11"/>
    <mergeCell ref="AR11:AS11"/>
    <mergeCell ref="BD11:BE11"/>
    <mergeCell ref="BP11:BQ11"/>
    <mergeCell ref="BF11:BG11"/>
    <mergeCell ref="BH11:BI11"/>
    <mergeCell ref="J11:K11"/>
    <mergeCell ref="BJ11:BK11"/>
    <mergeCell ref="L11:M11"/>
    <mergeCell ref="BL11:BM11"/>
    <mergeCell ref="AT11:AU11"/>
    <mergeCell ref="AV11:AW11"/>
    <mergeCell ref="AX11:AY11"/>
    <mergeCell ref="AZ11:BA11"/>
    <mergeCell ref="R8:AC8"/>
    <mergeCell ref="S10:U10"/>
  </mergeCells>
  <dataValidations count="4">
    <dataValidation type="list" allowBlank="1" showInputMessage="1" showErrorMessage="1" sqref="C1">
      <formula1>"MIPA,IPS"</formula1>
    </dataValidation>
    <dataValidation type="list" allowBlank="1" showInputMessage="1" showErrorMessage="1" sqref="II13:II62 IU13:IU62 IO13:IO62 IL13:IL62 IR13:IR62">
      <formula1>"A,B,C,D,'-"</formula1>
    </dataValidation>
    <dataValidation errorStyle="information" allowBlank="1" showInputMessage="1" showErrorMessage="1" prompt="KETIKKAN NAMA MATA PELAJARAN LINTAS MINAT / PENDALAMAN MINAT" sqref="FR8 GD8"/>
    <dataValidation type="list" allowBlank="1" showInputMessage="1" showErrorMessage="1" sqref="C2">
      <formula1>DAFTAR_KELAS</formula1>
    </dataValidation>
  </dataValidations>
  <pageMargins left="0.7" right="0.7" top="0.75" bottom="0.75" header="0.3" footer="0.3"/>
  <pageSetup paperSize="9" orientation="portrait" horizontalDpi="429496729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51"/>
  <sheetViews>
    <sheetView workbookViewId="0"/>
  </sheetViews>
  <sheetFormatPr defaultRowHeight="15" x14ac:dyDescent="0.25"/>
  <cols>
    <col min="1" max="1" width="9.42578125" style="2" bestFit="1" customWidth="1"/>
    <col min="2" max="2" width="24.28515625" style="2" bestFit="1" customWidth="1"/>
    <col min="3" max="3" width="19" style="2" bestFit="1" customWidth="1"/>
    <col min="4" max="4" width="20.5703125" style="2" bestFit="1" customWidth="1"/>
    <col min="5" max="5" width="20.85546875" style="2" bestFit="1" customWidth="1"/>
    <col min="6" max="6" width="20.5703125" style="2" bestFit="1" customWidth="1"/>
    <col min="7" max="7" width="10" style="7" bestFit="1" customWidth="1"/>
    <col min="8" max="8" width="11" style="7" bestFit="1" customWidth="1"/>
    <col min="9" max="9" width="31.42578125" style="7" bestFit="1" customWidth="1"/>
    <col min="10" max="10" width="14.28515625" style="7" bestFit="1" customWidth="1"/>
    <col min="11" max="14" width="14.28515625" style="7" customWidth="1"/>
    <col min="15" max="15" width="9.140625" style="8"/>
    <col min="16" max="16" width="15.7109375" style="8" bestFit="1" customWidth="1"/>
    <col min="17" max="17" width="10.7109375" style="8" bestFit="1" customWidth="1"/>
    <col min="18" max="18" width="14.7109375" style="8" bestFit="1" customWidth="1"/>
    <col min="19" max="19" width="10.7109375" style="8" bestFit="1" customWidth="1"/>
    <col min="20" max="20" width="14.7109375" style="8" bestFit="1" customWidth="1"/>
    <col min="21" max="21" width="10.42578125" style="7" bestFit="1" customWidth="1"/>
    <col min="22" max="22" width="18.28515625" style="7" bestFit="1" customWidth="1"/>
    <col min="23" max="23" width="8.85546875" style="7" bestFit="1" customWidth="1"/>
    <col min="24" max="24" width="8.5703125" style="7" bestFit="1" customWidth="1"/>
    <col min="25" max="25" width="8.85546875" style="7" bestFit="1" customWidth="1"/>
    <col min="26" max="26" width="7.85546875" style="7" bestFit="1" customWidth="1"/>
    <col min="27" max="27" width="10" style="8" bestFit="1" customWidth="1"/>
    <col min="28" max="28" width="17.85546875" style="8" bestFit="1" customWidth="1"/>
    <col min="29" max="29" width="8.42578125" style="8" bestFit="1" customWidth="1"/>
    <col min="30" max="30" width="8.140625" style="8" bestFit="1" customWidth="1"/>
    <col min="31" max="31" width="8.42578125" style="8" bestFit="1" customWidth="1"/>
    <col min="32" max="32" width="8.140625" style="8" bestFit="1" customWidth="1"/>
    <col min="33" max="33" width="10.42578125" style="7" bestFit="1" customWidth="1"/>
    <col min="34" max="34" width="18.28515625" style="7" bestFit="1" customWidth="1"/>
    <col min="35" max="35" width="8.85546875" style="7" bestFit="1" customWidth="1"/>
    <col min="36" max="36" width="8.5703125" style="7" bestFit="1" customWidth="1"/>
    <col min="37" max="37" width="8.85546875" style="7" bestFit="1" customWidth="1"/>
    <col min="38" max="38" width="7.85546875" style="7" bestFit="1" customWidth="1"/>
    <col min="39" max="39" width="10" style="8" bestFit="1" customWidth="1"/>
    <col min="40" max="40" width="17.85546875" style="8" bestFit="1" customWidth="1"/>
    <col min="41" max="41" width="8.42578125" style="8" bestFit="1" customWidth="1"/>
    <col min="42" max="42" width="8.140625" style="8" bestFit="1" customWidth="1"/>
    <col min="43" max="43" width="8.42578125" style="8" bestFit="1" customWidth="1"/>
    <col min="44" max="44" width="8.140625" style="8" bestFit="1" customWidth="1"/>
    <col min="45" max="45" width="10.42578125" style="7" bestFit="1" customWidth="1"/>
    <col min="46" max="46" width="18.28515625" style="7" bestFit="1" customWidth="1"/>
    <col min="47" max="47" width="8.85546875" style="7" bestFit="1" customWidth="1"/>
    <col min="48" max="48" width="8.5703125" style="7" bestFit="1" customWidth="1"/>
    <col min="49" max="49" width="8.85546875" style="7" bestFit="1" customWidth="1"/>
    <col min="50" max="50" width="7.85546875" style="7" bestFit="1" customWidth="1"/>
    <col min="51" max="51" width="10" style="8" bestFit="1" customWidth="1"/>
    <col min="52" max="52" width="17.85546875" style="8" bestFit="1" customWidth="1"/>
    <col min="53" max="53" width="8.42578125" style="8" bestFit="1" customWidth="1"/>
    <col min="54" max="54" width="8.140625" style="8" bestFit="1" customWidth="1"/>
    <col min="55" max="55" width="8.42578125" style="8" bestFit="1" customWidth="1"/>
    <col min="56" max="56" width="8.140625" style="8" bestFit="1" customWidth="1"/>
    <col min="57" max="57" width="10.42578125" style="7" bestFit="1" customWidth="1"/>
    <col min="58" max="58" width="18.28515625" style="7" bestFit="1" customWidth="1"/>
    <col min="59" max="59" width="8.85546875" style="7" bestFit="1" customWidth="1"/>
    <col min="60" max="60" width="8.5703125" style="7" bestFit="1" customWidth="1"/>
    <col min="61" max="61" width="8.85546875" style="7" bestFit="1" customWidth="1"/>
    <col min="62" max="62" width="7.85546875" style="7" bestFit="1" customWidth="1"/>
    <col min="63" max="63" width="10" style="8" bestFit="1" customWidth="1"/>
    <col min="64" max="64" width="17.85546875" style="8" bestFit="1" customWidth="1"/>
    <col min="65" max="65" width="8.42578125" style="8" bestFit="1" customWidth="1"/>
    <col min="66" max="66" width="8.140625" style="8" bestFit="1" customWidth="1"/>
    <col min="67" max="67" width="8.42578125" style="8" bestFit="1" customWidth="1"/>
    <col min="68" max="68" width="8.140625" style="8" bestFit="1" customWidth="1"/>
    <col min="69" max="69" width="10.42578125" style="7" bestFit="1" customWidth="1"/>
    <col min="70" max="70" width="18.28515625" style="7" bestFit="1" customWidth="1"/>
    <col min="71" max="71" width="8.85546875" style="7" bestFit="1" customWidth="1"/>
    <col min="72" max="72" width="8.5703125" style="7" bestFit="1" customWidth="1"/>
    <col min="73" max="73" width="8.85546875" style="7" bestFit="1" customWidth="1"/>
    <col min="74" max="74" width="7.85546875" style="7" bestFit="1" customWidth="1"/>
    <col min="75" max="75" width="14.140625" style="8" bestFit="1" customWidth="1"/>
    <col min="76" max="76" width="10" style="8" bestFit="1" customWidth="1"/>
    <col min="77" max="77" width="17.85546875" style="8" bestFit="1" customWidth="1"/>
    <col min="78" max="78" width="8.42578125" style="8" bestFit="1" customWidth="1"/>
    <col min="79" max="79" width="8.140625" style="8" bestFit="1" customWidth="1"/>
    <col min="80" max="80" width="8.42578125" style="8" bestFit="1" customWidth="1"/>
    <col min="81" max="81" width="8.140625" style="8" bestFit="1" customWidth="1"/>
    <col min="82" max="82" width="14.140625" style="7" bestFit="1" customWidth="1"/>
    <col min="83" max="83" width="10" style="7" bestFit="1" customWidth="1"/>
    <col min="84" max="84" width="17.85546875" style="7" bestFit="1" customWidth="1"/>
    <col min="85" max="85" width="8.42578125" style="7" bestFit="1" customWidth="1"/>
    <col min="86" max="86" width="8.140625" style="7" bestFit="1" customWidth="1"/>
    <col min="87" max="87" width="8.42578125" style="7" bestFit="1" customWidth="1"/>
    <col min="88" max="88" width="8.140625" style="7" bestFit="1" customWidth="1"/>
    <col min="89" max="89" width="14.140625" style="8" bestFit="1" customWidth="1"/>
    <col min="90" max="90" width="10" style="8" bestFit="1" customWidth="1"/>
    <col min="91" max="91" width="17.85546875" style="8" bestFit="1" customWidth="1"/>
    <col min="92" max="92" width="8.42578125" style="8" bestFit="1" customWidth="1"/>
    <col min="93" max="93" width="8.140625" style="8" bestFit="1" customWidth="1"/>
    <col min="94" max="94" width="8.42578125" style="8" bestFit="1" customWidth="1"/>
    <col min="95" max="95" width="8.140625" style="8" bestFit="1" customWidth="1"/>
    <col min="96" max="96" width="14.140625" style="7" bestFit="1" customWidth="1"/>
    <col min="97" max="97" width="10" style="7" bestFit="1" customWidth="1"/>
    <col min="98" max="98" width="17.85546875" style="7" bestFit="1" customWidth="1"/>
    <col min="99" max="99" width="8.42578125" style="7" bestFit="1" customWidth="1"/>
    <col min="100" max="100" width="8.140625" style="7" bestFit="1" customWidth="1"/>
    <col min="101" max="101" width="8.42578125" style="7" bestFit="1" customWidth="1"/>
    <col min="102" max="102" width="8.140625" style="7" bestFit="1" customWidth="1"/>
    <col min="103" max="103" width="14.140625" style="8" bestFit="1" customWidth="1"/>
    <col min="104" max="104" width="10" style="8" bestFit="1" customWidth="1"/>
    <col min="105" max="105" width="17.85546875" style="8" bestFit="1" customWidth="1"/>
    <col min="106" max="106" width="8.42578125" style="8" bestFit="1" customWidth="1"/>
    <col min="107" max="107" width="8.140625" style="8" bestFit="1" customWidth="1"/>
    <col min="108" max="108" width="8.42578125" style="8" bestFit="1" customWidth="1"/>
    <col min="109" max="109" width="8.140625" style="8" bestFit="1" customWidth="1"/>
    <col min="110" max="110" width="14.140625" style="7" bestFit="1" customWidth="1"/>
    <col min="111" max="111" width="10" style="7" bestFit="1" customWidth="1"/>
    <col min="112" max="112" width="17.85546875" style="7" bestFit="1" customWidth="1"/>
    <col min="113" max="113" width="8.42578125" style="7" bestFit="1" customWidth="1"/>
    <col min="114" max="114" width="8.140625" style="7" bestFit="1" customWidth="1"/>
    <col min="115" max="115" width="8.42578125" style="7" bestFit="1" customWidth="1"/>
    <col min="116" max="116" width="8.140625" style="7" bestFit="1" customWidth="1"/>
    <col min="117" max="120" width="16.42578125" style="16" customWidth="1"/>
    <col min="121" max="16384" width="9.140625" style="2"/>
  </cols>
  <sheetData>
    <row r="1" spans="1:141" s="6" customFormat="1" x14ac:dyDescent="0.25">
      <c r="A1" s="6" t="s">
        <v>188</v>
      </c>
      <c r="B1" s="6" t="s">
        <v>189</v>
      </c>
      <c r="C1" s="6" t="s">
        <v>190</v>
      </c>
      <c r="D1" s="6" t="s">
        <v>191</v>
      </c>
      <c r="E1" s="6" t="s">
        <v>192</v>
      </c>
      <c r="F1" s="6" t="s">
        <v>193</v>
      </c>
      <c r="G1" s="4" t="s">
        <v>1</v>
      </c>
      <c r="H1" s="4" t="s">
        <v>2</v>
      </c>
      <c r="I1" s="4" t="s">
        <v>3</v>
      </c>
      <c r="J1" s="4" t="s">
        <v>47</v>
      </c>
      <c r="K1" s="4" t="s">
        <v>54</v>
      </c>
      <c r="L1" s="4" t="s">
        <v>55</v>
      </c>
      <c r="M1" s="4" t="s">
        <v>57</v>
      </c>
      <c r="N1" s="4" t="s">
        <v>56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4" t="s">
        <v>59</v>
      </c>
      <c r="V1" s="4" t="s">
        <v>61</v>
      </c>
      <c r="W1" s="4" t="s">
        <v>62</v>
      </c>
      <c r="X1" s="4" t="s">
        <v>63</v>
      </c>
      <c r="Y1" s="4" t="s">
        <v>60</v>
      </c>
      <c r="Z1" s="4" t="s">
        <v>70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4" t="s">
        <v>71</v>
      </c>
      <c r="AH1" s="4" t="s">
        <v>72</v>
      </c>
      <c r="AI1" s="4" t="s">
        <v>73</v>
      </c>
      <c r="AJ1" s="4" t="s">
        <v>74</v>
      </c>
      <c r="AK1" s="4" t="s">
        <v>75</v>
      </c>
      <c r="AL1" s="4" t="s">
        <v>76</v>
      </c>
      <c r="AM1" s="5" t="s">
        <v>77</v>
      </c>
      <c r="AN1" s="5" t="s">
        <v>78</v>
      </c>
      <c r="AO1" s="5" t="s">
        <v>79</v>
      </c>
      <c r="AP1" s="5" t="s">
        <v>80</v>
      </c>
      <c r="AQ1" s="5" t="s">
        <v>81</v>
      </c>
      <c r="AR1" s="5" t="s">
        <v>82</v>
      </c>
      <c r="AS1" s="4" t="s">
        <v>83</v>
      </c>
      <c r="AT1" s="4" t="s">
        <v>84</v>
      </c>
      <c r="AU1" s="4" t="s">
        <v>85</v>
      </c>
      <c r="AV1" s="4" t="s">
        <v>86</v>
      </c>
      <c r="AW1" s="4" t="s">
        <v>87</v>
      </c>
      <c r="AX1" s="4" t="s">
        <v>88</v>
      </c>
      <c r="AY1" s="5" t="s">
        <v>89</v>
      </c>
      <c r="AZ1" s="5" t="s">
        <v>90</v>
      </c>
      <c r="BA1" s="5" t="s">
        <v>91</v>
      </c>
      <c r="BB1" s="5" t="s">
        <v>92</v>
      </c>
      <c r="BC1" s="5" t="s">
        <v>93</v>
      </c>
      <c r="BD1" s="5" t="s">
        <v>94</v>
      </c>
      <c r="BE1" s="4" t="s">
        <v>128</v>
      </c>
      <c r="BF1" s="4" t="s">
        <v>129</v>
      </c>
      <c r="BG1" s="4" t="s">
        <v>130</v>
      </c>
      <c r="BH1" s="4" t="s">
        <v>131</v>
      </c>
      <c r="BI1" s="4" t="s">
        <v>145</v>
      </c>
      <c r="BJ1" s="4" t="s">
        <v>132</v>
      </c>
      <c r="BK1" s="5" t="s">
        <v>133</v>
      </c>
      <c r="BL1" s="5" t="s">
        <v>134</v>
      </c>
      <c r="BM1" s="5" t="s">
        <v>135</v>
      </c>
      <c r="BN1" s="5" t="s">
        <v>136</v>
      </c>
      <c r="BO1" s="5" t="s">
        <v>137</v>
      </c>
      <c r="BP1" s="5" t="s">
        <v>138</v>
      </c>
      <c r="BQ1" s="4" t="s">
        <v>139</v>
      </c>
      <c r="BR1" s="4" t="s">
        <v>140</v>
      </c>
      <c r="BS1" s="4" t="s">
        <v>141</v>
      </c>
      <c r="BT1" s="4" t="s">
        <v>142</v>
      </c>
      <c r="BU1" s="4" t="s">
        <v>143</v>
      </c>
      <c r="BV1" s="4" t="s">
        <v>144</v>
      </c>
      <c r="BW1" s="5" t="s">
        <v>146</v>
      </c>
      <c r="BX1" s="5" t="s">
        <v>147</v>
      </c>
      <c r="BY1" s="5" t="s">
        <v>148</v>
      </c>
      <c r="BZ1" s="5" t="s">
        <v>149</v>
      </c>
      <c r="CA1" s="5" t="s">
        <v>150</v>
      </c>
      <c r="CB1" s="5" t="s">
        <v>151</v>
      </c>
      <c r="CC1" s="5" t="s">
        <v>152</v>
      </c>
      <c r="CD1" s="4" t="s">
        <v>153</v>
      </c>
      <c r="CE1" s="4" t="s">
        <v>154</v>
      </c>
      <c r="CF1" s="4" t="s">
        <v>155</v>
      </c>
      <c r="CG1" s="4" t="s">
        <v>156</v>
      </c>
      <c r="CH1" s="4" t="s">
        <v>157</v>
      </c>
      <c r="CI1" s="4" t="s">
        <v>158</v>
      </c>
      <c r="CJ1" s="4" t="s">
        <v>159</v>
      </c>
      <c r="CK1" s="5" t="s">
        <v>160</v>
      </c>
      <c r="CL1" s="5" t="s">
        <v>161</v>
      </c>
      <c r="CM1" s="5" t="s">
        <v>162</v>
      </c>
      <c r="CN1" s="5" t="s">
        <v>163</v>
      </c>
      <c r="CO1" s="5" t="s">
        <v>164</v>
      </c>
      <c r="CP1" s="5" t="s">
        <v>165</v>
      </c>
      <c r="CQ1" s="5" t="s">
        <v>166</v>
      </c>
      <c r="CR1" s="4" t="s">
        <v>167</v>
      </c>
      <c r="CS1" s="4" t="s">
        <v>168</v>
      </c>
      <c r="CT1" s="4" t="s">
        <v>169</v>
      </c>
      <c r="CU1" s="4" t="s">
        <v>170</v>
      </c>
      <c r="CV1" s="4" t="s">
        <v>171</v>
      </c>
      <c r="CW1" s="4" t="s">
        <v>172</v>
      </c>
      <c r="CX1" s="4" t="s">
        <v>173</v>
      </c>
      <c r="CY1" s="5" t="s">
        <v>174</v>
      </c>
      <c r="CZ1" s="5" t="s">
        <v>175</v>
      </c>
      <c r="DA1" s="5" t="s">
        <v>176</v>
      </c>
      <c r="DB1" s="5" t="s">
        <v>177</v>
      </c>
      <c r="DC1" s="5" t="s">
        <v>178</v>
      </c>
      <c r="DD1" s="5" t="s">
        <v>179</v>
      </c>
      <c r="DE1" s="5" t="s">
        <v>180</v>
      </c>
      <c r="DF1" s="4" t="s">
        <v>181</v>
      </c>
      <c r="DG1" s="4" t="s">
        <v>182</v>
      </c>
      <c r="DH1" s="4" t="s">
        <v>183</v>
      </c>
      <c r="DI1" s="4" t="s">
        <v>184</v>
      </c>
      <c r="DJ1" s="4" t="s">
        <v>185</v>
      </c>
      <c r="DK1" s="4" t="s">
        <v>186</v>
      </c>
      <c r="DL1" s="4" t="s">
        <v>187</v>
      </c>
      <c r="DM1" s="15" t="s">
        <v>211</v>
      </c>
      <c r="DN1" s="15" t="s">
        <v>212</v>
      </c>
      <c r="DO1" s="15" t="s">
        <v>213</v>
      </c>
      <c r="DP1" s="15" t="s">
        <v>214</v>
      </c>
      <c r="DQ1" s="6" t="s">
        <v>194</v>
      </c>
      <c r="DR1" s="6" t="s">
        <v>195</v>
      </c>
      <c r="DS1" s="6" t="s">
        <v>196</v>
      </c>
      <c r="DT1" s="6" t="s">
        <v>197</v>
      </c>
      <c r="DU1" s="6" t="s">
        <v>198</v>
      </c>
      <c r="DV1" s="6" t="s">
        <v>199</v>
      </c>
      <c r="DW1" s="6" t="s">
        <v>200</v>
      </c>
      <c r="DX1" s="6" t="s">
        <v>201</v>
      </c>
      <c r="DY1" s="6" t="s">
        <v>202</v>
      </c>
      <c r="DZ1" s="6" t="s">
        <v>203</v>
      </c>
      <c r="EA1" s="6" t="s">
        <v>204</v>
      </c>
      <c r="EB1" s="6" t="s">
        <v>205</v>
      </c>
      <c r="EC1" s="6" t="s">
        <v>206</v>
      </c>
      <c r="ED1" s="6" t="s">
        <v>207</v>
      </c>
      <c r="EE1" s="6" t="s">
        <v>208</v>
      </c>
      <c r="EF1" s="6" t="s">
        <v>35</v>
      </c>
      <c r="EG1" s="6" t="s">
        <v>36</v>
      </c>
      <c r="EH1" s="6" t="s">
        <v>37</v>
      </c>
      <c r="EI1" s="6" t="s">
        <v>209</v>
      </c>
      <c r="EJ1" s="6" t="s">
        <v>210</v>
      </c>
      <c r="EK1" s="6" t="s">
        <v>46</v>
      </c>
    </row>
    <row r="2" spans="1:141" x14ac:dyDescent="0.25">
      <c r="A2" s="2" t="str">
        <f t="shared" ref="A2:A33" si="0">JURUSAN</f>
        <v>MIPA</v>
      </c>
      <c r="B2" s="2" t="str">
        <f t="shared" ref="B2:B33" si="1">TITIMANGSA</f>
        <v>Bandung, 10 Oktober 2022</v>
      </c>
      <c r="C2" s="2" t="str">
        <f t="shared" ref="C2:C33" si="2">NM_WALIKELAS</f>
        <v>Drs. Ahmad Fathony</v>
      </c>
      <c r="D2" s="2" t="str">
        <f t="shared" ref="D2:D33" si="3">NIP_WALIKELAS</f>
        <v>12345678 123456 1 123</v>
      </c>
      <c r="E2" s="2" t="str">
        <f t="shared" ref="E2:E33" si="4">NM_KEPSEK</f>
        <v>H. Abdul Basith, M.Pd.</v>
      </c>
      <c r="F2" s="2" t="str">
        <f t="shared" ref="F2:F33" si="5">NIP_KEPSEK</f>
        <v>12341234 123123 1 234</v>
      </c>
      <c r="G2" s="74">
        <f>'ENTRY DATA'!B13</f>
        <v>0</v>
      </c>
      <c r="H2" s="74">
        <f>'ENTRY DATA'!C13</f>
        <v>0</v>
      </c>
      <c r="I2" s="74">
        <f>'ENTRY DATA'!D13</f>
        <v>0</v>
      </c>
      <c r="J2" s="74">
        <f>'ENTRY DATA'!E13</f>
        <v>0</v>
      </c>
      <c r="K2" s="7" t="str">
        <f t="shared" ref="K2:K33" si="6">KELAS</f>
        <v>X MIPA-1</v>
      </c>
      <c r="L2" s="7">
        <f t="shared" ref="L2:L33" si="7">SEMESTER</f>
        <v>1</v>
      </c>
      <c r="M2" s="7" t="str">
        <f>IF(MOD(L2,2)=0,"Genap","Ganjil")</f>
        <v>Ganjil</v>
      </c>
      <c r="N2" s="7" t="str">
        <f t="shared" ref="N2:N33" si="8">TH_PELAJARAN</f>
        <v>2022/2023</v>
      </c>
      <c r="O2" s="8">
        <f t="shared" ref="O2:O33" si="9">KKM_1</f>
        <v>75</v>
      </c>
      <c r="P2" s="8">
        <f t="shared" ref="P2:P33" si="10">GURU_1</f>
        <v>0</v>
      </c>
      <c r="Q2" s="8" t="str">
        <f>IFERROR(ROUND('ENTRY DATA'!N13,0),"-")</f>
        <v>-</v>
      </c>
      <c r="R2" s="8" t="str">
        <f>'ENTRY DATA'!O13</f>
        <v>-</v>
      </c>
      <c r="S2" s="8" t="str">
        <f>IFERROR(ROUND('ENTRY DATA'!P13,0),"-")</f>
        <v>-</v>
      </c>
      <c r="T2" s="8" t="str">
        <f>'ENTRY DATA'!Q13</f>
        <v>-</v>
      </c>
      <c r="U2" s="7">
        <f t="shared" ref="U2:U33" si="11">KKM_2</f>
        <v>75</v>
      </c>
      <c r="V2" s="7">
        <f t="shared" ref="V2:V33" si="12">GURU_2</f>
        <v>0</v>
      </c>
      <c r="W2" s="7" t="str">
        <f>IFERROR(ROUND('ENTRY DATA'!Z13,0),"-")</f>
        <v>-</v>
      </c>
      <c r="X2" s="7" t="str">
        <f>'ENTRY DATA'!AA13</f>
        <v>-</v>
      </c>
      <c r="Y2" s="7" t="str">
        <f>IFERROR(ROUND('ENTRY DATA'!AB13,0),"-")</f>
        <v>-</v>
      </c>
      <c r="Z2" s="7" t="str">
        <f>'ENTRY DATA'!AC13</f>
        <v>-</v>
      </c>
      <c r="AA2" s="8">
        <f t="shared" ref="AA2:AA33" si="13">KKM_3</f>
        <v>75</v>
      </c>
      <c r="AB2" s="8">
        <f t="shared" ref="AB2:AB33" si="14">GURU_3</f>
        <v>0</v>
      </c>
      <c r="AC2" s="8" t="str">
        <f>IFERROR(ROUND('ENTRY DATA'!AL13,0),"-")</f>
        <v>-</v>
      </c>
      <c r="AD2" s="8" t="str">
        <f>'ENTRY DATA'!AM13</f>
        <v>-</v>
      </c>
      <c r="AE2" s="8" t="str">
        <f>IFERROR(ROUND('ENTRY DATA'!AN13,0),"-")</f>
        <v>-</v>
      </c>
      <c r="AF2" s="8" t="str">
        <f>'ENTRY DATA'!AO13</f>
        <v>-</v>
      </c>
      <c r="AG2" s="7">
        <f t="shared" ref="AG2:AG33" si="15">KKM_4</f>
        <v>75</v>
      </c>
      <c r="AH2" s="7">
        <f t="shared" ref="AH2:AH33" si="16">GURU_4</f>
        <v>0</v>
      </c>
      <c r="AI2" s="7" t="str">
        <f>IFERROR(ROUND('ENTRY DATA'!AX13,0),"-")</f>
        <v>-</v>
      </c>
      <c r="AJ2" s="7" t="str">
        <f>'ENTRY DATA'!AY13</f>
        <v>-</v>
      </c>
      <c r="AK2" s="7" t="str">
        <f>IFERROR(ROUND('ENTRY DATA'!AZ13,0),"-")</f>
        <v>-</v>
      </c>
      <c r="AL2" s="7" t="str">
        <f>'ENTRY DATA'!BA13</f>
        <v>-</v>
      </c>
      <c r="AM2" s="8">
        <f t="shared" ref="AM2:AM33" si="17">KKM_5</f>
        <v>75</v>
      </c>
      <c r="AN2" s="8">
        <f t="shared" ref="AN2:AN33" si="18">GURU_5</f>
        <v>0</v>
      </c>
      <c r="AO2" s="8" t="str">
        <f>IFERROR(ROUND('ENTRY DATA'!BJ13,0),"-")</f>
        <v>-</v>
      </c>
      <c r="AP2" s="8" t="str">
        <f>'ENTRY DATA'!BK13</f>
        <v>-</v>
      </c>
      <c r="AQ2" s="8" t="str">
        <f>IFERROR(ROUND('ENTRY DATA'!BL13,0),"-")</f>
        <v>-</v>
      </c>
      <c r="AR2" s="8" t="str">
        <f>'ENTRY DATA'!BM13</f>
        <v>-</v>
      </c>
      <c r="AS2" s="7">
        <f t="shared" ref="AS2:AS33" si="19">KKM_6</f>
        <v>75</v>
      </c>
      <c r="AT2" s="7">
        <f t="shared" ref="AT2:AT33" si="20">GURU_6</f>
        <v>0</v>
      </c>
      <c r="AU2" s="7" t="str">
        <f>IFERROR(ROUND('ENTRY DATA'!BV13,0),"-")</f>
        <v>-</v>
      </c>
      <c r="AV2" s="7" t="str">
        <f>'ENTRY DATA'!BW13</f>
        <v>-</v>
      </c>
      <c r="AW2" s="7" t="str">
        <f>IFERROR(ROUND('ENTRY DATA'!BX13,0),"-")</f>
        <v>-</v>
      </c>
      <c r="AX2" s="7" t="str">
        <f>'ENTRY DATA'!BY13</f>
        <v>-</v>
      </c>
      <c r="AY2" s="8">
        <f t="shared" ref="AY2:AY33" si="21">KKM_7</f>
        <v>75</v>
      </c>
      <c r="AZ2" s="8">
        <f t="shared" ref="AZ2:AZ33" si="22">GURU_7</f>
        <v>0</v>
      </c>
      <c r="BA2" s="8" t="str">
        <f>IFERROR(ROUND('ENTRY DATA'!CH13,0),"-")</f>
        <v>-</v>
      </c>
      <c r="BB2" s="8" t="str">
        <f>'ENTRY DATA'!CI13</f>
        <v>-</v>
      </c>
      <c r="BC2" s="8" t="str">
        <f>IFERROR(ROUND('ENTRY DATA'!CJ13,0),"-")</f>
        <v>-</v>
      </c>
      <c r="BD2" s="8" t="str">
        <f>'ENTRY DATA'!CK13</f>
        <v>-</v>
      </c>
      <c r="BE2" s="7">
        <f t="shared" ref="BE2:BE33" si="23">KKM_8</f>
        <v>75</v>
      </c>
      <c r="BF2" s="7">
        <f t="shared" ref="BF2:BF33" si="24">GURU_8</f>
        <v>0</v>
      </c>
      <c r="BG2" s="7" t="str">
        <f>IFERROR(ROUND('ENTRY DATA'!CT13,0),"-")</f>
        <v>-</v>
      </c>
      <c r="BH2" s="7" t="str">
        <f>'ENTRY DATA'!CU13</f>
        <v>-</v>
      </c>
      <c r="BI2" s="7" t="str">
        <f>IFERROR(ROUND('ENTRY DATA'!CV13,0),"-")</f>
        <v>-</v>
      </c>
      <c r="BJ2" s="7" t="str">
        <f>'ENTRY DATA'!CW13</f>
        <v>-</v>
      </c>
      <c r="BK2" s="8">
        <f t="shared" ref="BK2:BK33" si="25">KKM_9</f>
        <v>75</v>
      </c>
      <c r="BL2" s="8">
        <f t="shared" ref="BL2:BL33" si="26">GURU_9</f>
        <v>0</v>
      </c>
      <c r="BM2" s="8" t="str">
        <f>IFERROR(ROUND('ENTRY DATA'!DF13,0),"-")</f>
        <v>-</v>
      </c>
      <c r="BN2" s="8" t="str">
        <f>'ENTRY DATA'!DG13</f>
        <v>-</v>
      </c>
      <c r="BO2" s="8" t="str">
        <f>IFERROR(ROUND('ENTRY DATA'!DH13,0),"-")</f>
        <v>-</v>
      </c>
      <c r="BP2" s="8" t="str">
        <f>'ENTRY DATA'!DI13</f>
        <v>-</v>
      </c>
      <c r="BQ2" s="7">
        <f t="shared" ref="BQ2:BQ33" si="27">KKM_10</f>
        <v>75</v>
      </c>
      <c r="BR2" s="7">
        <f t="shared" ref="BR2:BR33" si="28">GURU_10</f>
        <v>0</v>
      </c>
      <c r="BS2" s="7" t="str">
        <f>IFERROR(ROUND('ENTRY DATA'!DR13,0),"-")</f>
        <v>-</v>
      </c>
      <c r="BT2" s="7" t="str">
        <f>'ENTRY DATA'!DS13</f>
        <v>-</v>
      </c>
      <c r="BU2" s="7" t="str">
        <f>IFERROR(ROUND('ENTRY DATA'!DT13,0),"-")</f>
        <v>-</v>
      </c>
      <c r="BV2" s="7" t="str">
        <f>'ENTRY DATA'!DU13</f>
        <v>-</v>
      </c>
      <c r="BW2" s="8" t="str">
        <f>'ENTRY DATA'!$DV$8</f>
        <v>Matematika</v>
      </c>
      <c r="BX2" s="8">
        <f t="shared" ref="BX2:BX33" si="29">KKM_11</f>
        <v>75</v>
      </c>
      <c r="BY2" s="8">
        <f t="shared" ref="BY2:BY33" si="30">GURU_11</f>
        <v>0</v>
      </c>
      <c r="BZ2" s="8" t="str">
        <f>IFERROR(ROUND('ENTRY DATA'!ED13,0),"-")</f>
        <v>-</v>
      </c>
      <c r="CA2" s="8" t="str">
        <f>'ENTRY DATA'!EE13</f>
        <v>-</v>
      </c>
      <c r="CB2" s="8" t="str">
        <f>IFERROR(ROUND('ENTRY DATA'!EF13,0),"-")</f>
        <v>-</v>
      </c>
      <c r="CC2" s="8" t="str">
        <f>'ENTRY DATA'!EG13</f>
        <v>-</v>
      </c>
      <c r="CD2" s="7" t="str">
        <f>'ENTRY DATA'!$EH$8</f>
        <v>Biologi</v>
      </c>
      <c r="CE2" s="7">
        <f t="shared" ref="CE2:CE33" si="31">KKM_12</f>
        <v>75</v>
      </c>
      <c r="CF2" s="7">
        <f t="shared" ref="CF2:CF33" si="32">GURU_12</f>
        <v>0</v>
      </c>
      <c r="CG2" s="7" t="str">
        <f>IFERROR(ROUND('ENTRY DATA'!EP13,0),"-")</f>
        <v>-</v>
      </c>
      <c r="CH2" s="7" t="str">
        <f>'ENTRY DATA'!EQ13</f>
        <v>-</v>
      </c>
      <c r="CI2" s="7" t="str">
        <f>IFERROR(ROUND('ENTRY DATA'!ER13,0),"-")</f>
        <v>-</v>
      </c>
      <c r="CJ2" s="7" t="str">
        <f>'ENTRY DATA'!ES13</f>
        <v>-</v>
      </c>
      <c r="CK2" s="8" t="str">
        <f>'ENTRY DATA'!$ET$8</f>
        <v>Fisika</v>
      </c>
      <c r="CL2" s="8">
        <f t="shared" ref="CL2:CL33" si="33">KKM_13</f>
        <v>75</v>
      </c>
      <c r="CM2" s="8">
        <f t="shared" ref="CM2:CM33" si="34">GURU_13</f>
        <v>0</v>
      </c>
      <c r="CN2" s="8" t="str">
        <f>IFERROR(ROUND('ENTRY DATA'!FB13,0),"-")</f>
        <v>-</v>
      </c>
      <c r="CO2" s="8" t="str">
        <f>'ENTRY DATA'!FC13</f>
        <v>-</v>
      </c>
      <c r="CP2" s="8" t="str">
        <f>IFERROR(ROUND('ENTRY DATA'!FD13,0),"-")</f>
        <v>-</v>
      </c>
      <c r="CQ2" s="8" t="str">
        <f>'ENTRY DATA'!FE13</f>
        <v>-</v>
      </c>
      <c r="CR2" s="7" t="str">
        <f>'ENTRY DATA'!$FF$8</f>
        <v>Kimia</v>
      </c>
      <c r="CS2" s="7">
        <f t="shared" ref="CS2:CS33" si="35">KKM_14</f>
        <v>75</v>
      </c>
      <c r="CT2" s="7">
        <f t="shared" ref="CT2:CT33" si="36">GURU_14</f>
        <v>0</v>
      </c>
      <c r="CU2" s="7" t="str">
        <f>IFERROR(ROUND('ENTRY DATA'!FN13,0),"-")</f>
        <v>-</v>
      </c>
      <c r="CV2" s="7" t="str">
        <f>'ENTRY DATA'!FO13</f>
        <v>-</v>
      </c>
      <c r="CW2" s="7" t="str">
        <f>IFERROR(ROUND('ENTRY DATA'!FP13,0),"-")</f>
        <v>-</v>
      </c>
      <c r="CX2" s="7" t="str">
        <f>'ENTRY DATA'!FQ13</f>
        <v>-</v>
      </c>
      <c r="CY2" s="8" t="str">
        <f>'ENTRY DATA'!$FR$8</f>
        <v>-</v>
      </c>
      <c r="CZ2" s="8">
        <f t="shared" ref="CZ2:CZ33" si="37">KKM_15</f>
        <v>75</v>
      </c>
      <c r="DA2" s="8">
        <f t="shared" ref="DA2:DA33" si="38">GURU_15</f>
        <v>0</v>
      </c>
      <c r="DB2" s="8" t="str">
        <f>IFERROR(ROUND('ENTRY DATA'!FZ13,0),"-")</f>
        <v>-</v>
      </c>
      <c r="DC2" s="8" t="str">
        <f>'ENTRY DATA'!GA13</f>
        <v>-</v>
      </c>
      <c r="DD2" s="8" t="str">
        <f>IFERROR(ROUND('ENTRY DATA'!GB13,0),"-")</f>
        <v>-</v>
      </c>
      <c r="DE2" s="8" t="str">
        <f>'ENTRY DATA'!GC13</f>
        <v>-</v>
      </c>
      <c r="DF2" s="7" t="str">
        <f>'ENTRY DATA'!$GD$8</f>
        <v>-</v>
      </c>
      <c r="DG2" s="7">
        <f t="shared" ref="DG2:DG33" si="39">KKM_16</f>
        <v>75</v>
      </c>
      <c r="DH2" s="7">
        <f t="shared" ref="DH2:DH33" si="40">GURU_16</f>
        <v>0</v>
      </c>
      <c r="DI2" s="7" t="str">
        <f>IFERROR(ROUND('ENTRY DATA'!GL13,0),"-")</f>
        <v>-</v>
      </c>
      <c r="DJ2" s="7" t="str">
        <f>'ENTRY DATA'!GM13</f>
        <v>-</v>
      </c>
      <c r="DK2" s="7" t="str">
        <f>IFERROR(ROUND('ENTRY DATA'!GN13,0),"-")</f>
        <v>-</v>
      </c>
      <c r="DL2" s="7" t="str">
        <f>'ENTRY DATA'!GO13</f>
        <v>-</v>
      </c>
      <c r="DM2" s="16" t="str">
        <f>'ENTRY DATA'!HJ13</f>
        <v>-</v>
      </c>
      <c r="DN2" s="16" t="str">
        <f>'ENTRY DATA'!HK13</f>
        <v>-</v>
      </c>
      <c r="DO2" s="16" t="str">
        <f>'ENTRY DATA'!IF13</f>
        <v>-</v>
      </c>
      <c r="DP2" s="16" t="str">
        <f>'ENTRY DATA'!IG13</f>
        <v>-</v>
      </c>
      <c r="DQ2" s="2" t="str">
        <f>'ENTRY DATA'!IH13</f>
        <v>Pramuka</v>
      </c>
      <c r="DR2" s="2" t="str">
        <f>'ENTRY DATA'!II13</f>
        <v>B</v>
      </c>
      <c r="DS2" s="2" t="str">
        <f>'ENTRY DATA'!IJ13</f>
        <v>Aktif dalam mengikuti kegiatan</v>
      </c>
      <c r="DT2" s="2" t="str">
        <f>'ENTRY DATA'!IK13</f>
        <v>-</v>
      </c>
      <c r="DU2" s="2" t="str">
        <f>'ENTRY DATA'!IL13</f>
        <v>-</v>
      </c>
      <c r="DV2" s="2" t="str">
        <f>'ENTRY DATA'!IM13</f>
        <v>-</v>
      </c>
      <c r="DW2" s="2" t="str">
        <f>'ENTRY DATA'!IN13</f>
        <v>-</v>
      </c>
      <c r="DX2" s="2" t="str">
        <f>'ENTRY DATA'!IO13</f>
        <v>-</v>
      </c>
      <c r="DY2" s="2" t="str">
        <f>'ENTRY DATA'!IP13</f>
        <v>-</v>
      </c>
      <c r="DZ2" s="2" t="str">
        <f>'ENTRY DATA'!IQ13</f>
        <v>-</v>
      </c>
      <c r="EA2" s="2" t="str">
        <f>'ENTRY DATA'!IR13</f>
        <v>-</v>
      </c>
      <c r="EB2" s="2" t="str">
        <f>'ENTRY DATA'!IS13</f>
        <v>-</v>
      </c>
      <c r="EC2" s="2" t="str">
        <f>'ENTRY DATA'!IT13</f>
        <v>-</v>
      </c>
      <c r="ED2" s="2" t="str">
        <f>'ENTRY DATA'!IU13</f>
        <v>-</v>
      </c>
      <c r="EE2" s="2" t="str">
        <f>'ENTRY DATA'!IV13</f>
        <v>-</v>
      </c>
      <c r="EF2" s="2" t="str">
        <f>'ENTRY DATA'!IW13</f>
        <v>-</v>
      </c>
      <c r="EG2" s="2" t="str">
        <f>'ENTRY DATA'!IX13</f>
        <v>-</v>
      </c>
      <c r="EH2" s="2" t="str">
        <f>'ENTRY DATA'!IY13</f>
        <v>-</v>
      </c>
      <c r="EI2" s="2" t="str">
        <f>'ENTRY DATA'!IZ13</f>
        <v>-</v>
      </c>
      <c r="EJ2" s="2">
        <f>'ENTRY DATA'!JA13</f>
        <v>0</v>
      </c>
      <c r="EK2" s="2">
        <f>'ENTRY DATA'!JB13</f>
        <v>1</v>
      </c>
    </row>
    <row r="3" spans="1:141" x14ac:dyDescent="0.25">
      <c r="A3" s="2" t="str">
        <f t="shared" si="0"/>
        <v>MIPA</v>
      </c>
      <c r="B3" s="2" t="str">
        <f t="shared" si="1"/>
        <v>Bandung, 10 Oktober 2022</v>
      </c>
      <c r="C3" s="2" t="str">
        <f t="shared" si="2"/>
        <v>Drs. Ahmad Fathony</v>
      </c>
      <c r="D3" s="2" t="str">
        <f t="shared" si="3"/>
        <v>12345678 123456 1 123</v>
      </c>
      <c r="E3" s="2" t="str">
        <f t="shared" si="4"/>
        <v>H. Abdul Basith, M.Pd.</v>
      </c>
      <c r="F3" s="2" t="str">
        <f t="shared" si="5"/>
        <v>12341234 123123 1 234</v>
      </c>
      <c r="G3" s="74">
        <f>'ENTRY DATA'!B14</f>
        <v>0</v>
      </c>
      <c r="H3" s="74">
        <f>'ENTRY DATA'!C14</f>
        <v>0</v>
      </c>
      <c r="I3" s="74">
        <f>'ENTRY DATA'!D14</f>
        <v>0</v>
      </c>
      <c r="J3" s="74">
        <f>'ENTRY DATA'!E14</f>
        <v>0</v>
      </c>
      <c r="K3" s="7" t="str">
        <f t="shared" si="6"/>
        <v>X MIPA-1</v>
      </c>
      <c r="L3" s="7">
        <f t="shared" si="7"/>
        <v>1</v>
      </c>
      <c r="M3" s="7" t="str">
        <f t="shared" ref="M3:M51" si="41">IF(MOD(L3,2)=0,"Genap","Ganjil")</f>
        <v>Ganjil</v>
      </c>
      <c r="N3" s="7" t="str">
        <f t="shared" si="8"/>
        <v>2022/2023</v>
      </c>
      <c r="O3" s="8">
        <f t="shared" si="9"/>
        <v>75</v>
      </c>
      <c r="P3" s="8">
        <f t="shared" si="10"/>
        <v>0</v>
      </c>
      <c r="Q3" s="8" t="str">
        <f>IFERROR(ROUND('ENTRY DATA'!N14,0),"-")</f>
        <v>-</v>
      </c>
      <c r="R3" s="8" t="str">
        <f>'ENTRY DATA'!O14</f>
        <v>-</v>
      </c>
      <c r="S3" s="8" t="str">
        <f>IFERROR(ROUND('ENTRY DATA'!P14,0),"-")</f>
        <v>-</v>
      </c>
      <c r="T3" s="8" t="str">
        <f>'ENTRY DATA'!Q14</f>
        <v>-</v>
      </c>
      <c r="U3" s="7">
        <f t="shared" si="11"/>
        <v>75</v>
      </c>
      <c r="V3" s="7">
        <f t="shared" si="12"/>
        <v>0</v>
      </c>
      <c r="W3" s="7" t="str">
        <f>IFERROR(ROUND('ENTRY DATA'!Z14,0),"-")</f>
        <v>-</v>
      </c>
      <c r="X3" s="7" t="str">
        <f>'ENTRY DATA'!AA14</f>
        <v>-</v>
      </c>
      <c r="Y3" s="7" t="str">
        <f>IFERROR(ROUND('ENTRY DATA'!AB14,0),"-")</f>
        <v>-</v>
      </c>
      <c r="Z3" s="7" t="str">
        <f>'ENTRY DATA'!AC14</f>
        <v>-</v>
      </c>
      <c r="AA3" s="8">
        <f t="shared" si="13"/>
        <v>75</v>
      </c>
      <c r="AB3" s="8">
        <f t="shared" si="14"/>
        <v>0</v>
      </c>
      <c r="AC3" s="8" t="str">
        <f>IFERROR(ROUND('ENTRY DATA'!AL14,0),"-")</f>
        <v>-</v>
      </c>
      <c r="AD3" s="8" t="str">
        <f>'ENTRY DATA'!AM14</f>
        <v>-</v>
      </c>
      <c r="AE3" s="8" t="str">
        <f>IFERROR(ROUND('ENTRY DATA'!AN14,0),"-")</f>
        <v>-</v>
      </c>
      <c r="AF3" s="8" t="str">
        <f>'ENTRY DATA'!AO14</f>
        <v>-</v>
      </c>
      <c r="AG3" s="7">
        <f t="shared" si="15"/>
        <v>75</v>
      </c>
      <c r="AH3" s="7">
        <f t="shared" si="16"/>
        <v>0</v>
      </c>
      <c r="AI3" s="7" t="str">
        <f>IFERROR(ROUND('ENTRY DATA'!AX14,0),"-")</f>
        <v>-</v>
      </c>
      <c r="AJ3" s="7" t="str">
        <f>'ENTRY DATA'!AY14</f>
        <v>-</v>
      </c>
      <c r="AK3" s="7" t="str">
        <f>IFERROR(ROUND('ENTRY DATA'!AZ14,0),"-")</f>
        <v>-</v>
      </c>
      <c r="AL3" s="7" t="str">
        <f>'ENTRY DATA'!BA14</f>
        <v>-</v>
      </c>
      <c r="AM3" s="8">
        <f t="shared" si="17"/>
        <v>75</v>
      </c>
      <c r="AN3" s="8">
        <f t="shared" si="18"/>
        <v>0</v>
      </c>
      <c r="AO3" s="8" t="str">
        <f>IFERROR(ROUND('ENTRY DATA'!BJ14,0),"-")</f>
        <v>-</v>
      </c>
      <c r="AP3" s="8" t="str">
        <f>'ENTRY DATA'!BK14</f>
        <v>-</v>
      </c>
      <c r="AQ3" s="8" t="str">
        <f>IFERROR(ROUND('ENTRY DATA'!BL14,0),"-")</f>
        <v>-</v>
      </c>
      <c r="AR3" s="8" t="str">
        <f>'ENTRY DATA'!BM14</f>
        <v>-</v>
      </c>
      <c r="AS3" s="7">
        <f t="shared" si="19"/>
        <v>75</v>
      </c>
      <c r="AT3" s="7">
        <f t="shared" si="20"/>
        <v>0</v>
      </c>
      <c r="AU3" s="7" t="str">
        <f>IFERROR(ROUND('ENTRY DATA'!BV14,0),"-")</f>
        <v>-</v>
      </c>
      <c r="AV3" s="7" t="str">
        <f>'ENTRY DATA'!BW14</f>
        <v>-</v>
      </c>
      <c r="AW3" s="7" t="str">
        <f>IFERROR(ROUND('ENTRY DATA'!BX14,0),"-")</f>
        <v>-</v>
      </c>
      <c r="AX3" s="7" t="str">
        <f>'ENTRY DATA'!BY14</f>
        <v>-</v>
      </c>
      <c r="AY3" s="8">
        <f t="shared" si="21"/>
        <v>75</v>
      </c>
      <c r="AZ3" s="8">
        <f t="shared" si="22"/>
        <v>0</v>
      </c>
      <c r="BA3" s="8" t="str">
        <f>IFERROR(ROUND('ENTRY DATA'!CH14,0),"-")</f>
        <v>-</v>
      </c>
      <c r="BB3" s="8" t="str">
        <f>'ENTRY DATA'!CI14</f>
        <v>-</v>
      </c>
      <c r="BC3" s="8" t="str">
        <f>IFERROR(ROUND('ENTRY DATA'!CJ14,0),"-")</f>
        <v>-</v>
      </c>
      <c r="BD3" s="8" t="str">
        <f>'ENTRY DATA'!CK14</f>
        <v>-</v>
      </c>
      <c r="BE3" s="7">
        <f t="shared" si="23"/>
        <v>75</v>
      </c>
      <c r="BF3" s="7">
        <f t="shared" si="24"/>
        <v>0</v>
      </c>
      <c r="BG3" s="7" t="str">
        <f>IFERROR(ROUND('ENTRY DATA'!CT14,0),"-")</f>
        <v>-</v>
      </c>
      <c r="BH3" s="7" t="str">
        <f>'ENTRY DATA'!CU14</f>
        <v>-</v>
      </c>
      <c r="BI3" s="7" t="str">
        <f>IFERROR(ROUND('ENTRY DATA'!CV14,0),"-")</f>
        <v>-</v>
      </c>
      <c r="BJ3" s="7" t="str">
        <f>'ENTRY DATA'!CW14</f>
        <v>-</v>
      </c>
      <c r="BK3" s="8">
        <f t="shared" si="25"/>
        <v>75</v>
      </c>
      <c r="BL3" s="8">
        <f t="shared" si="26"/>
        <v>0</v>
      </c>
      <c r="BM3" s="8" t="str">
        <f>IFERROR(ROUND('ENTRY DATA'!DF14,0),"-")</f>
        <v>-</v>
      </c>
      <c r="BN3" s="8" t="str">
        <f>'ENTRY DATA'!DG14</f>
        <v>-</v>
      </c>
      <c r="BO3" s="8" t="str">
        <f>IFERROR(ROUND('ENTRY DATA'!DH14,0),"-")</f>
        <v>-</v>
      </c>
      <c r="BP3" s="8" t="str">
        <f>'ENTRY DATA'!DI14</f>
        <v>-</v>
      </c>
      <c r="BQ3" s="7">
        <f t="shared" si="27"/>
        <v>75</v>
      </c>
      <c r="BR3" s="7">
        <f t="shared" si="28"/>
        <v>0</v>
      </c>
      <c r="BS3" s="7" t="str">
        <f>IFERROR(ROUND('ENTRY DATA'!DR14,0),"-")</f>
        <v>-</v>
      </c>
      <c r="BT3" s="7" t="str">
        <f>'ENTRY DATA'!DS14</f>
        <v>-</v>
      </c>
      <c r="BU3" s="7" t="str">
        <f>IFERROR(ROUND('ENTRY DATA'!DT14,0),"-")</f>
        <v>-</v>
      </c>
      <c r="BV3" s="7" t="str">
        <f>'ENTRY DATA'!DU14</f>
        <v>-</v>
      </c>
      <c r="BW3" s="8" t="str">
        <f>'ENTRY DATA'!$DV$8</f>
        <v>Matematika</v>
      </c>
      <c r="BX3" s="8">
        <f t="shared" si="29"/>
        <v>75</v>
      </c>
      <c r="BY3" s="8">
        <f t="shared" si="30"/>
        <v>0</v>
      </c>
      <c r="BZ3" s="8" t="str">
        <f>IFERROR(ROUND('ENTRY DATA'!ED14,0),"-")</f>
        <v>-</v>
      </c>
      <c r="CA3" s="8" t="str">
        <f>'ENTRY DATA'!EE14</f>
        <v>-</v>
      </c>
      <c r="CB3" s="8" t="str">
        <f>IFERROR(ROUND('ENTRY DATA'!EF14,0),"-")</f>
        <v>-</v>
      </c>
      <c r="CC3" s="8" t="str">
        <f>'ENTRY DATA'!EG14</f>
        <v>-</v>
      </c>
      <c r="CD3" s="7" t="str">
        <f>'ENTRY DATA'!$EH$8</f>
        <v>Biologi</v>
      </c>
      <c r="CE3" s="7">
        <f t="shared" si="31"/>
        <v>75</v>
      </c>
      <c r="CF3" s="7">
        <f t="shared" si="32"/>
        <v>0</v>
      </c>
      <c r="CG3" s="7" t="str">
        <f>IFERROR(ROUND('ENTRY DATA'!EP14,0),"-")</f>
        <v>-</v>
      </c>
      <c r="CH3" s="7" t="str">
        <f>'ENTRY DATA'!EQ14</f>
        <v>-</v>
      </c>
      <c r="CI3" s="7" t="str">
        <f>IFERROR(ROUND('ENTRY DATA'!ER14,0),"-")</f>
        <v>-</v>
      </c>
      <c r="CJ3" s="7" t="str">
        <f>'ENTRY DATA'!ES14</f>
        <v>-</v>
      </c>
      <c r="CK3" s="8" t="str">
        <f>'ENTRY DATA'!$ET$8</f>
        <v>Fisika</v>
      </c>
      <c r="CL3" s="8">
        <f t="shared" si="33"/>
        <v>75</v>
      </c>
      <c r="CM3" s="8">
        <f t="shared" si="34"/>
        <v>0</v>
      </c>
      <c r="CN3" s="8" t="str">
        <f>IFERROR(ROUND('ENTRY DATA'!FB14,0),"-")</f>
        <v>-</v>
      </c>
      <c r="CO3" s="8" t="str">
        <f>'ENTRY DATA'!FC14</f>
        <v>-</v>
      </c>
      <c r="CP3" s="8" t="str">
        <f>IFERROR(ROUND('ENTRY DATA'!FD14,0),"-")</f>
        <v>-</v>
      </c>
      <c r="CQ3" s="8" t="str">
        <f>'ENTRY DATA'!FE14</f>
        <v>-</v>
      </c>
      <c r="CR3" s="7" t="str">
        <f>'ENTRY DATA'!$FF$8</f>
        <v>Kimia</v>
      </c>
      <c r="CS3" s="7">
        <f t="shared" si="35"/>
        <v>75</v>
      </c>
      <c r="CT3" s="7">
        <f t="shared" si="36"/>
        <v>0</v>
      </c>
      <c r="CU3" s="7" t="str">
        <f>IFERROR(ROUND('ENTRY DATA'!FN14,0),"-")</f>
        <v>-</v>
      </c>
      <c r="CV3" s="7" t="str">
        <f>'ENTRY DATA'!FO14</f>
        <v>-</v>
      </c>
      <c r="CW3" s="7" t="str">
        <f>IFERROR(ROUND('ENTRY DATA'!FP14,0),"-")</f>
        <v>-</v>
      </c>
      <c r="CX3" s="7" t="str">
        <f>'ENTRY DATA'!FQ14</f>
        <v>-</v>
      </c>
      <c r="CY3" s="8" t="str">
        <f>'ENTRY DATA'!$FR$8</f>
        <v>-</v>
      </c>
      <c r="CZ3" s="8">
        <f t="shared" si="37"/>
        <v>75</v>
      </c>
      <c r="DA3" s="8">
        <f t="shared" si="38"/>
        <v>0</v>
      </c>
      <c r="DB3" s="8" t="str">
        <f>IFERROR(ROUND('ENTRY DATA'!FZ14,0),"-")</f>
        <v>-</v>
      </c>
      <c r="DC3" s="8" t="str">
        <f>'ENTRY DATA'!GA14</f>
        <v>-</v>
      </c>
      <c r="DD3" s="8" t="str">
        <f>IFERROR(ROUND('ENTRY DATA'!GB14,0),"-")</f>
        <v>-</v>
      </c>
      <c r="DE3" s="8" t="str">
        <f>'ENTRY DATA'!GC14</f>
        <v>-</v>
      </c>
      <c r="DF3" s="7" t="str">
        <f>'ENTRY DATA'!$GD$8</f>
        <v>-</v>
      </c>
      <c r="DG3" s="7">
        <f t="shared" si="39"/>
        <v>75</v>
      </c>
      <c r="DH3" s="7">
        <f t="shared" si="40"/>
        <v>0</v>
      </c>
      <c r="DI3" s="7" t="str">
        <f>IFERROR(ROUND('ENTRY DATA'!GL14,0),"-")</f>
        <v>-</v>
      </c>
      <c r="DJ3" s="7" t="str">
        <f>'ENTRY DATA'!GM14</f>
        <v>-</v>
      </c>
      <c r="DK3" s="7" t="str">
        <f>IFERROR(ROUND('ENTRY DATA'!GN14,0),"-")</f>
        <v>-</v>
      </c>
      <c r="DL3" s="7" t="str">
        <f>'ENTRY DATA'!GO14</f>
        <v>-</v>
      </c>
      <c r="DM3" s="16" t="str">
        <f>'ENTRY DATA'!HJ14</f>
        <v>-</v>
      </c>
      <c r="DN3" s="16" t="str">
        <f>'ENTRY DATA'!HK14</f>
        <v>-</v>
      </c>
      <c r="DO3" s="16" t="str">
        <f>'ENTRY DATA'!IF14</f>
        <v>-</v>
      </c>
      <c r="DP3" s="16" t="str">
        <f>'ENTRY DATA'!IG14</f>
        <v>-</v>
      </c>
      <c r="DQ3" s="2" t="str">
        <f>'ENTRY DATA'!IH14</f>
        <v>Pramuka</v>
      </c>
      <c r="DR3" s="2" t="str">
        <f>'ENTRY DATA'!II14</f>
        <v>B</v>
      </c>
      <c r="DS3" s="2" t="str">
        <f>'ENTRY DATA'!IJ14</f>
        <v>Aktif dalam mengikuti kegiatan</v>
      </c>
      <c r="DT3" s="2" t="str">
        <f>'ENTRY DATA'!IK14</f>
        <v>-</v>
      </c>
      <c r="DU3" s="2" t="str">
        <f>'ENTRY DATA'!IL14</f>
        <v>-</v>
      </c>
      <c r="DV3" s="2" t="str">
        <f>'ENTRY DATA'!IM14</f>
        <v>-</v>
      </c>
      <c r="DW3" s="2" t="str">
        <f>'ENTRY DATA'!IN14</f>
        <v>-</v>
      </c>
      <c r="DX3" s="2" t="str">
        <f>'ENTRY DATA'!IO14</f>
        <v>-</v>
      </c>
      <c r="DY3" s="2" t="str">
        <f>'ENTRY DATA'!IP14</f>
        <v>-</v>
      </c>
      <c r="DZ3" s="2" t="str">
        <f>'ENTRY DATA'!IQ14</f>
        <v>-</v>
      </c>
      <c r="EA3" s="2" t="str">
        <f>'ENTRY DATA'!IR14</f>
        <v>-</v>
      </c>
      <c r="EB3" s="2" t="str">
        <f>'ENTRY DATA'!IS14</f>
        <v>-</v>
      </c>
      <c r="EC3" s="2" t="str">
        <f>'ENTRY DATA'!IT14</f>
        <v>-</v>
      </c>
      <c r="ED3" s="2" t="str">
        <f>'ENTRY DATA'!IU14</f>
        <v>-</v>
      </c>
      <c r="EE3" s="2" t="str">
        <f>'ENTRY DATA'!IV14</f>
        <v>-</v>
      </c>
      <c r="EF3" s="2" t="str">
        <f>'ENTRY DATA'!IW14</f>
        <v>-</v>
      </c>
      <c r="EG3" s="2" t="str">
        <f>'ENTRY DATA'!IX14</f>
        <v>-</v>
      </c>
      <c r="EH3" s="2" t="str">
        <f>'ENTRY DATA'!IY14</f>
        <v>-</v>
      </c>
      <c r="EI3" s="2" t="str">
        <f>'ENTRY DATA'!IZ14</f>
        <v>-</v>
      </c>
      <c r="EJ3" s="2">
        <f>'ENTRY DATA'!JA14</f>
        <v>0</v>
      </c>
      <c r="EK3" s="2">
        <f>'ENTRY DATA'!JB14</f>
        <v>1</v>
      </c>
    </row>
    <row r="4" spans="1:141" x14ac:dyDescent="0.25">
      <c r="A4" s="2" t="str">
        <f t="shared" si="0"/>
        <v>MIPA</v>
      </c>
      <c r="B4" s="2" t="str">
        <f t="shared" si="1"/>
        <v>Bandung, 10 Oktober 2022</v>
      </c>
      <c r="C4" s="2" t="str">
        <f t="shared" si="2"/>
        <v>Drs. Ahmad Fathony</v>
      </c>
      <c r="D4" s="2" t="str">
        <f t="shared" si="3"/>
        <v>12345678 123456 1 123</v>
      </c>
      <c r="E4" s="2" t="str">
        <f t="shared" si="4"/>
        <v>H. Abdul Basith, M.Pd.</v>
      </c>
      <c r="F4" s="2" t="str">
        <f t="shared" si="5"/>
        <v>12341234 123123 1 234</v>
      </c>
      <c r="G4" s="74">
        <f>'ENTRY DATA'!B15</f>
        <v>0</v>
      </c>
      <c r="H4" s="74">
        <f>'ENTRY DATA'!C15</f>
        <v>0</v>
      </c>
      <c r="I4" s="74">
        <f>'ENTRY DATA'!D15</f>
        <v>0</v>
      </c>
      <c r="J4" s="74">
        <f>'ENTRY DATA'!E15</f>
        <v>0</v>
      </c>
      <c r="K4" s="7" t="str">
        <f t="shared" si="6"/>
        <v>X MIPA-1</v>
      </c>
      <c r="L4" s="7">
        <f t="shared" si="7"/>
        <v>1</v>
      </c>
      <c r="M4" s="7" t="str">
        <f t="shared" si="41"/>
        <v>Ganjil</v>
      </c>
      <c r="N4" s="7" t="str">
        <f t="shared" si="8"/>
        <v>2022/2023</v>
      </c>
      <c r="O4" s="8">
        <f t="shared" si="9"/>
        <v>75</v>
      </c>
      <c r="P4" s="8">
        <f t="shared" si="10"/>
        <v>0</v>
      </c>
      <c r="Q4" s="8" t="str">
        <f>IFERROR(ROUND('ENTRY DATA'!N15,0),"-")</f>
        <v>-</v>
      </c>
      <c r="R4" s="8" t="str">
        <f>'ENTRY DATA'!O15</f>
        <v>-</v>
      </c>
      <c r="S4" s="8" t="str">
        <f>IFERROR(ROUND('ENTRY DATA'!P15,0),"-")</f>
        <v>-</v>
      </c>
      <c r="T4" s="8" t="str">
        <f>'ENTRY DATA'!Q15</f>
        <v>-</v>
      </c>
      <c r="U4" s="7">
        <f t="shared" si="11"/>
        <v>75</v>
      </c>
      <c r="V4" s="7">
        <f t="shared" si="12"/>
        <v>0</v>
      </c>
      <c r="W4" s="7" t="str">
        <f>IFERROR(ROUND('ENTRY DATA'!Z15,0),"-")</f>
        <v>-</v>
      </c>
      <c r="X4" s="7" t="str">
        <f>'ENTRY DATA'!AA15</f>
        <v>-</v>
      </c>
      <c r="Y4" s="7" t="str">
        <f>IFERROR(ROUND('ENTRY DATA'!AB15,0),"-")</f>
        <v>-</v>
      </c>
      <c r="Z4" s="7" t="str">
        <f>'ENTRY DATA'!AC15</f>
        <v>-</v>
      </c>
      <c r="AA4" s="8">
        <f t="shared" si="13"/>
        <v>75</v>
      </c>
      <c r="AB4" s="8">
        <f t="shared" si="14"/>
        <v>0</v>
      </c>
      <c r="AC4" s="8" t="str">
        <f>IFERROR(ROUND('ENTRY DATA'!AL15,0),"-")</f>
        <v>-</v>
      </c>
      <c r="AD4" s="8" t="str">
        <f>'ENTRY DATA'!AM15</f>
        <v>-</v>
      </c>
      <c r="AE4" s="8" t="str">
        <f>IFERROR(ROUND('ENTRY DATA'!AN15,0),"-")</f>
        <v>-</v>
      </c>
      <c r="AF4" s="8" t="str">
        <f>'ENTRY DATA'!AO15</f>
        <v>-</v>
      </c>
      <c r="AG4" s="7">
        <f t="shared" si="15"/>
        <v>75</v>
      </c>
      <c r="AH4" s="7">
        <f t="shared" si="16"/>
        <v>0</v>
      </c>
      <c r="AI4" s="7" t="str">
        <f>IFERROR(ROUND('ENTRY DATA'!AX15,0),"-")</f>
        <v>-</v>
      </c>
      <c r="AJ4" s="7" t="str">
        <f>'ENTRY DATA'!AY15</f>
        <v>-</v>
      </c>
      <c r="AK4" s="7" t="str">
        <f>IFERROR(ROUND('ENTRY DATA'!AZ15,0),"-")</f>
        <v>-</v>
      </c>
      <c r="AL4" s="7" t="str">
        <f>'ENTRY DATA'!BA15</f>
        <v>-</v>
      </c>
      <c r="AM4" s="8">
        <f t="shared" si="17"/>
        <v>75</v>
      </c>
      <c r="AN4" s="8">
        <f t="shared" si="18"/>
        <v>0</v>
      </c>
      <c r="AO4" s="8" t="str">
        <f>IFERROR(ROUND('ENTRY DATA'!BJ15,0),"-")</f>
        <v>-</v>
      </c>
      <c r="AP4" s="8" t="str">
        <f>'ENTRY DATA'!BK15</f>
        <v>-</v>
      </c>
      <c r="AQ4" s="8" t="str">
        <f>IFERROR(ROUND('ENTRY DATA'!BL15,0),"-")</f>
        <v>-</v>
      </c>
      <c r="AR4" s="8" t="str">
        <f>'ENTRY DATA'!BM15</f>
        <v>-</v>
      </c>
      <c r="AS4" s="7">
        <f t="shared" si="19"/>
        <v>75</v>
      </c>
      <c r="AT4" s="7">
        <f t="shared" si="20"/>
        <v>0</v>
      </c>
      <c r="AU4" s="7" t="str">
        <f>IFERROR(ROUND('ENTRY DATA'!BV15,0),"-")</f>
        <v>-</v>
      </c>
      <c r="AV4" s="7" t="str">
        <f>'ENTRY DATA'!BW15</f>
        <v>-</v>
      </c>
      <c r="AW4" s="7" t="str">
        <f>IFERROR(ROUND('ENTRY DATA'!BX15,0),"-")</f>
        <v>-</v>
      </c>
      <c r="AX4" s="7" t="str">
        <f>'ENTRY DATA'!BY15</f>
        <v>-</v>
      </c>
      <c r="AY4" s="8">
        <f t="shared" si="21"/>
        <v>75</v>
      </c>
      <c r="AZ4" s="8">
        <f t="shared" si="22"/>
        <v>0</v>
      </c>
      <c r="BA4" s="8" t="str">
        <f>IFERROR(ROUND('ENTRY DATA'!CH15,0),"-")</f>
        <v>-</v>
      </c>
      <c r="BB4" s="8" t="str">
        <f>'ENTRY DATA'!CI15</f>
        <v>-</v>
      </c>
      <c r="BC4" s="8" t="str">
        <f>IFERROR(ROUND('ENTRY DATA'!CJ15,0),"-")</f>
        <v>-</v>
      </c>
      <c r="BD4" s="8" t="str">
        <f>'ENTRY DATA'!CK15</f>
        <v>-</v>
      </c>
      <c r="BE4" s="7">
        <f t="shared" si="23"/>
        <v>75</v>
      </c>
      <c r="BF4" s="7">
        <f t="shared" si="24"/>
        <v>0</v>
      </c>
      <c r="BG4" s="7" t="str">
        <f>IFERROR(ROUND('ENTRY DATA'!CT15,0),"-")</f>
        <v>-</v>
      </c>
      <c r="BH4" s="7" t="str">
        <f>'ENTRY DATA'!CU15</f>
        <v>-</v>
      </c>
      <c r="BI4" s="7" t="str">
        <f>IFERROR(ROUND('ENTRY DATA'!CV15,0),"-")</f>
        <v>-</v>
      </c>
      <c r="BJ4" s="7" t="str">
        <f>'ENTRY DATA'!CW15</f>
        <v>-</v>
      </c>
      <c r="BK4" s="8">
        <f t="shared" si="25"/>
        <v>75</v>
      </c>
      <c r="BL4" s="8">
        <f t="shared" si="26"/>
        <v>0</v>
      </c>
      <c r="BM4" s="8" t="str">
        <f>IFERROR(ROUND('ENTRY DATA'!DF15,0),"-")</f>
        <v>-</v>
      </c>
      <c r="BN4" s="8" t="str">
        <f>'ENTRY DATA'!DG15</f>
        <v>-</v>
      </c>
      <c r="BO4" s="8" t="str">
        <f>IFERROR(ROUND('ENTRY DATA'!DH15,0),"-")</f>
        <v>-</v>
      </c>
      <c r="BP4" s="8" t="str">
        <f>'ENTRY DATA'!DI15</f>
        <v>-</v>
      </c>
      <c r="BQ4" s="7">
        <f t="shared" si="27"/>
        <v>75</v>
      </c>
      <c r="BR4" s="7">
        <f t="shared" si="28"/>
        <v>0</v>
      </c>
      <c r="BS4" s="7" t="str">
        <f>IFERROR(ROUND('ENTRY DATA'!DR15,0),"-")</f>
        <v>-</v>
      </c>
      <c r="BT4" s="7" t="str">
        <f>'ENTRY DATA'!DS15</f>
        <v>-</v>
      </c>
      <c r="BU4" s="7" t="str">
        <f>IFERROR(ROUND('ENTRY DATA'!DT15,0),"-")</f>
        <v>-</v>
      </c>
      <c r="BV4" s="7" t="str">
        <f>'ENTRY DATA'!DU15</f>
        <v>-</v>
      </c>
      <c r="BW4" s="8" t="str">
        <f>'ENTRY DATA'!$DV$8</f>
        <v>Matematika</v>
      </c>
      <c r="BX4" s="8">
        <f t="shared" si="29"/>
        <v>75</v>
      </c>
      <c r="BY4" s="8">
        <f t="shared" si="30"/>
        <v>0</v>
      </c>
      <c r="BZ4" s="8" t="str">
        <f>IFERROR(ROUND('ENTRY DATA'!ED15,0),"-")</f>
        <v>-</v>
      </c>
      <c r="CA4" s="8" t="str">
        <f>'ENTRY DATA'!EE15</f>
        <v>-</v>
      </c>
      <c r="CB4" s="8" t="str">
        <f>IFERROR(ROUND('ENTRY DATA'!EF15,0),"-")</f>
        <v>-</v>
      </c>
      <c r="CC4" s="8" t="str">
        <f>'ENTRY DATA'!EG15</f>
        <v>-</v>
      </c>
      <c r="CD4" s="7" t="str">
        <f>'ENTRY DATA'!$EH$8</f>
        <v>Biologi</v>
      </c>
      <c r="CE4" s="7">
        <f t="shared" si="31"/>
        <v>75</v>
      </c>
      <c r="CF4" s="7">
        <f t="shared" si="32"/>
        <v>0</v>
      </c>
      <c r="CG4" s="7" t="str">
        <f>IFERROR(ROUND('ENTRY DATA'!EP15,0),"-")</f>
        <v>-</v>
      </c>
      <c r="CH4" s="7" t="str">
        <f>'ENTRY DATA'!EQ15</f>
        <v>-</v>
      </c>
      <c r="CI4" s="7" t="str">
        <f>IFERROR(ROUND('ENTRY DATA'!ER15,0),"-")</f>
        <v>-</v>
      </c>
      <c r="CJ4" s="7" t="str">
        <f>'ENTRY DATA'!ES15</f>
        <v>-</v>
      </c>
      <c r="CK4" s="8" t="str">
        <f>'ENTRY DATA'!$ET$8</f>
        <v>Fisika</v>
      </c>
      <c r="CL4" s="8">
        <f t="shared" si="33"/>
        <v>75</v>
      </c>
      <c r="CM4" s="8">
        <f t="shared" si="34"/>
        <v>0</v>
      </c>
      <c r="CN4" s="8" t="str">
        <f>IFERROR(ROUND('ENTRY DATA'!FB15,0),"-")</f>
        <v>-</v>
      </c>
      <c r="CO4" s="8" t="str">
        <f>'ENTRY DATA'!FC15</f>
        <v>-</v>
      </c>
      <c r="CP4" s="8" t="str">
        <f>IFERROR(ROUND('ENTRY DATA'!FD15,0),"-")</f>
        <v>-</v>
      </c>
      <c r="CQ4" s="8" t="str">
        <f>'ENTRY DATA'!FE15</f>
        <v>-</v>
      </c>
      <c r="CR4" s="7" t="str">
        <f>'ENTRY DATA'!$FF$8</f>
        <v>Kimia</v>
      </c>
      <c r="CS4" s="7">
        <f t="shared" si="35"/>
        <v>75</v>
      </c>
      <c r="CT4" s="7">
        <f t="shared" si="36"/>
        <v>0</v>
      </c>
      <c r="CU4" s="7" t="str">
        <f>IFERROR(ROUND('ENTRY DATA'!FN15,0),"-")</f>
        <v>-</v>
      </c>
      <c r="CV4" s="7" t="str">
        <f>'ENTRY DATA'!FO15</f>
        <v>-</v>
      </c>
      <c r="CW4" s="7" t="str">
        <f>IFERROR(ROUND('ENTRY DATA'!FP15,0),"-")</f>
        <v>-</v>
      </c>
      <c r="CX4" s="7" t="str">
        <f>'ENTRY DATA'!FQ15</f>
        <v>-</v>
      </c>
      <c r="CY4" s="8" t="str">
        <f>'ENTRY DATA'!$FR$8</f>
        <v>-</v>
      </c>
      <c r="CZ4" s="8">
        <f t="shared" si="37"/>
        <v>75</v>
      </c>
      <c r="DA4" s="8">
        <f t="shared" si="38"/>
        <v>0</v>
      </c>
      <c r="DB4" s="8" t="str">
        <f>IFERROR(ROUND('ENTRY DATA'!FZ15,0),"-")</f>
        <v>-</v>
      </c>
      <c r="DC4" s="8" t="str">
        <f>'ENTRY DATA'!GA15</f>
        <v>-</v>
      </c>
      <c r="DD4" s="8" t="str">
        <f>IFERROR(ROUND('ENTRY DATA'!GB15,0),"-")</f>
        <v>-</v>
      </c>
      <c r="DE4" s="8" t="str">
        <f>'ENTRY DATA'!GC15</f>
        <v>-</v>
      </c>
      <c r="DF4" s="7" t="str">
        <f>'ENTRY DATA'!$GD$8</f>
        <v>-</v>
      </c>
      <c r="DG4" s="7">
        <f t="shared" si="39"/>
        <v>75</v>
      </c>
      <c r="DH4" s="7">
        <f t="shared" si="40"/>
        <v>0</v>
      </c>
      <c r="DI4" s="7" t="str">
        <f>IFERROR(ROUND('ENTRY DATA'!GL15,0),"-")</f>
        <v>-</v>
      </c>
      <c r="DJ4" s="7" t="str">
        <f>'ENTRY DATA'!GM15</f>
        <v>-</v>
      </c>
      <c r="DK4" s="7" t="str">
        <f>IFERROR(ROUND('ENTRY DATA'!GN15,0),"-")</f>
        <v>-</v>
      </c>
      <c r="DL4" s="7" t="str">
        <f>'ENTRY DATA'!GO15</f>
        <v>-</v>
      </c>
      <c r="DM4" s="16" t="str">
        <f>'ENTRY DATA'!HJ15</f>
        <v>-</v>
      </c>
      <c r="DN4" s="16" t="str">
        <f>'ENTRY DATA'!HK15</f>
        <v>-</v>
      </c>
      <c r="DO4" s="16" t="str">
        <f>'ENTRY DATA'!IF15</f>
        <v>-</v>
      </c>
      <c r="DP4" s="16" t="str">
        <f>'ENTRY DATA'!IG15</f>
        <v>-</v>
      </c>
      <c r="DQ4" s="2" t="str">
        <f>'ENTRY DATA'!IH15</f>
        <v>Pramuka</v>
      </c>
      <c r="DR4" s="2" t="str">
        <f>'ENTRY DATA'!II15</f>
        <v>B</v>
      </c>
      <c r="DS4" s="2" t="str">
        <f>'ENTRY DATA'!IJ15</f>
        <v>Aktif dalam mengikuti kegiatan</v>
      </c>
      <c r="DT4" s="2" t="str">
        <f>'ENTRY DATA'!IK15</f>
        <v>-</v>
      </c>
      <c r="DU4" s="2" t="str">
        <f>'ENTRY DATA'!IL15</f>
        <v>-</v>
      </c>
      <c r="DV4" s="2" t="str">
        <f>'ENTRY DATA'!IM15</f>
        <v>-</v>
      </c>
      <c r="DW4" s="2" t="str">
        <f>'ENTRY DATA'!IN15</f>
        <v>-</v>
      </c>
      <c r="DX4" s="2" t="str">
        <f>'ENTRY DATA'!IO15</f>
        <v>-</v>
      </c>
      <c r="DY4" s="2" t="str">
        <f>'ENTRY DATA'!IP15</f>
        <v>-</v>
      </c>
      <c r="DZ4" s="2" t="str">
        <f>'ENTRY DATA'!IQ15</f>
        <v>-</v>
      </c>
      <c r="EA4" s="2" t="str">
        <f>'ENTRY DATA'!IR15</f>
        <v>-</v>
      </c>
      <c r="EB4" s="2" t="str">
        <f>'ENTRY DATA'!IS15</f>
        <v>-</v>
      </c>
      <c r="EC4" s="2" t="str">
        <f>'ENTRY DATA'!IT15</f>
        <v>-</v>
      </c>
      <c r="ED4" s="2" t="str">
        <f>'ENTRY DATA'!IU15</f>
        <v>-</v>
      </c>
      <c r="EE4" s="2" t="str">
        <f>'ENTRY DATA'!IV15</f>
        <v>-</v>
      </c>
      <c r="EF4" s="2" t="str">
        <f>'ENTRY DATA'!IW15</f>
        <v>-</v>
      </c>
      <c r="EG4" s="2" t="str">
        <f>'ENTRY DATA'!IX15</f>
        <v>-</v>
      </c>
      <c r="EH4" s="2" t="str">
        <f>'ENTRY DATA'!IY15</f>
        <v>-</v>
      </c>
      <c r="EI4" s="2" t="str">
        <f>'ENTRY DATA'!IZ15</f>
        <v>-</v>
      </c>
      <c r="EJ4" s="2">
        <f>'ENTRY DATA'!JA15</f>
        <v>0</v>
      </c>
      <c r="EK4" s="2">
        <f>'ENTRY DATA'!JB15</f>
        <v>1</v>
      </c>
    </row>
    <row r="5" spans="1:141" x14ac:dyDescent="0.25">
      <c r="A5" s="2" t="str">
        <f t="shared" si="0"/>
        <v>MIPA</v>
      </c>
      <c r="B5" s="2" t="str">
        <f t="shared" si="1"/>
        <v>Bandung, 10 Oktober 2022</v>
      </c>
      <c r="C5" s="2" t="str">
        <f t="shared" si="2"/>
        <v>Drs. Ahmad Fathony</v>
      </c>
      <c r="D5" s="2" t="str">
        <f t="shared" si="3"/>
        <v>12345678 123456 1 123</v>
      </c>
      <c r="E5" s="2" t="str">
        <f t="shared" si="4"/>
        <v>H. Abdul Basith, M.Pd.</v>
      </c>
      <c r="F5" s="2" t="str">
        <f t="shared" si="5"/>
        <v>12341234 123123 1 234</v>
      </c>
      <c r="G5" s="74">
        <f>'ENTRY DATA'!B16</f>
        <v>0</v>
      </c>
      <c r="H5" s="74">
        <f>'ENTRY DATA'!C16</f>
        <v>0</v>
      </c>
      <c r="I5" s="74">
        <f>'ENTRY DATA'!D16</f>
        <v>0</v>
      </c>
      <c r="J5" s="74">
        <f>'ENTRY DATA'!E16</f>
        <v>0</v>
      </c>
      <c r="K5" s="7" t="str">
        <f t="shared" si="6"/>
        <v>X MIPA-1</v>
      </c>
      <c r="L5" s="7">
        <f t="shared" si="7"/>
        <v>1</v>
      </c>
      <c r="M5" s="7" t="str">
        <f t="shared" si="41"/>
        <v>Ganjil</v>
      </c>
      <c r="N5" s="7" t="str">
        <f t="shared" si="8"/>
        <v>2022/2023</v>
      </c>
      <c r="O5" s="8">
        <f t="shared" si="9"/>
        <v>75</v>
      </c>
      <c r="P5" s="8">
        <f t="shared" si="10"/>
        <v>0</v>
      </c>
      <c r="Q5" s="8" t="str">
        <f>IFERROR(ROUND('ENTRY DATA'!N16,0),"-")</f>
        <v>-</v>
      </c>
      <c r="R5" s="8" t="str">
        <f>'ENTRY DATA'!O16</f>
        <v>-</v>
      </c>
      <c r="S5" s="8" t="str">
        <f>IFERROR(ROUND('ENTRY DATA'!P16,0),"-")</f>
        <v>-</v>
      </c>
      <c r="T5" s="8" t="str">
        <f>'ENTRY DATA'!Q16</f>
        <v>-</v>
      </c>
      <c r="U5" s="7">
        <f t="shared" si="11"/>
        <v>75</v>
      </c>
      <c r="V5" s="7">
        <f t="shared" si="12"/>
        <v>0</v>
      </c>
      <c r="W5" s="7" t="str">
        <f>IFERROR(ROUND('ENTRY DATA'!Z16,0),"-")</f>
        <v>-</v>
      </c>
      <c r="X5" s="7" t="str">
        <f>'ENTRY DATA'!AA16</f>
        <v>-</v>
      </c>
      <c r="Y5" s="7" t="str">
        <f>IFERROR(ROUND('ENTRY DATA'!AB16,0),"-")</f>
        <v>-</v>
      </c>
      <c r="Z5" s="7" t="str">
        <f>'ENTRY DATA'!AC16</f>
        <v>-</v>
      </c>
      <c r="AA5" s="8">
        <f t="shared" si="13"/>
        <v>75</v>
      </c>
      <c r="AB5" s="8">
        <f t="shared" si="14"/>
        <v>0</v>
      </c>
      <c r="AC5" s="8" t="str">
        <f>IFERROR(ROUND('ENTRY DATA'!AL16,0),"-")</f>
        <v>-</v>
      </c>
      <c r="AD5" s="8" t="str">
        <f>'ENTRY DATA'!AM16</f>
        <v>-</v>
      </c>
      <c r="AE5" s="8" t="str">
        <f>IFERROR(ROUND('ENTRY DATA'!AN16,0),"-")</f>
        <v>-</v>
      </c>
      <c r="AF5" s="8" t="str">
        <f>'ENTRY DATA'!AO16</f>
        <v>-</v>
      </c>
      <c r="AG5" s="7">
        <f t="shared" si="15"/>
        <v>75</v>
      </c>
      <c r="AH5" s="7">
        <f t="shared" si="16"/>
        <v>0</v>
      </c>
      <c r="AI5" s="7" t="str">
        <f>IFERROR(ROUND('ENTRY DATA'!AX16,0),"-")</f>
        <v>-</v>
      </c>
      <c r="AJ5" s="7" t="str">
        <f>'ENTRY DATA'!AY16</f>
        <v>-</v>
      </c>
      <c r="AK5" s="7" t="str">
        <f>IFERROR(ROUND('ENTRY DATA'!AZ16,0),"-")</f>
        <v>-</v>
      </c>
      <c r="AL5" s="7" t="str">
        <f>'ENTRY DATA'!BA16</f>
        <v>-</v>
      </c>
      <c r="AM5" s="8">
        <f t="shared" si="17"/>
        <v>75</v>
      </c>
      <c r="AN5" s="8">
        <f t="shared" si="18"/>
        <v>0</v>
      </c>
      <c r="AO5" s="8" t="str">
        <f>IFERROR(ROUND('ENTRY DATA'!BJ16,0),"-")</f>
        <v>-</v>
      </c>
      <c r="AP5" s="8" t="str">
        <f>'ENTRY DATA'!BK16</f>
        <v>-</v>
      </c>
      <c r="AQ5" s="8" t="str">
        <f>IFERROR(ROUND('ENTRY DATA'!BL16,0),"-")</f>
        <v>-</v>
      </c>
      <c r="AR5" s="8" t="str">
        <f>'ENTRY DATA'!BM16</f>
        <v>-</v>
      </c>
      <c r="AS5" s="7">
        <f t="shared" si="19"/>
        <v>75</v>
      </c>
      <c r="AT5" s="7">
        <f t="shared" si="20"/>
        <v>0</v>
      </c>
      <c r="AU5" s="7" t="str">
        <f>IFERROR(ROUND('ENTRY DATA'!BV16,0),"-")</f>
        <v>-</v>
      </c>
      <c r="AV5" s="7" t="str">
        <f>'ENTRY DATA'!BW16</f>
        <v>-</v>
      </c>
      <c r="AW5" s="7" t="str">
        <f>IFERROR(ROUND('ENTRY DATA'!BX16,0),"-")</f>
        <v>-</v>
      </c>
      <c r="AX5" s="7" t="str">
        <f>'ENTRY DATA'!BY16</f>
        <v>-</v>
      </c>
      <c r="AY5" s="8">
        <f t="shared" si="21"/>
        <v>75</v>
      </c>
      <c r="AZ5" s="8">
        <f t="shared" si="22"/>
        <v>0</v>
      </c>
      <c r="BA5" s="8" t="str">
        <f>IFERROR(ROUND('ENTRY DATA'!CH16,0),"-")</f>
        <v>-</v>
      </c>
      <c r="BB5" s="8" t="str">
        <f>'ENTRY DATA'!CI16</f>
        <v>-</v>
      </c>
      <c r="BC5" s="8" t="str">
        <f>IFERROR(ROUND('ENTRY DATA'!CJ16,0),"-")</f>
        <v>-</v>
      </c>
      <c r="BD5" s="8" t="str">
        <f>'ENTRY DATA'!CK16</f>
        <v>-</v>
      </c>
      <c r="BE5" s="7">
        <f t="shared" si="23"/>
        <v>75</v>
      </c>
      <c r="BF5" s="7">
        <f t="shared" si="24"/>
        <v>0</v>
      </c>
      <c r="BG5" s="7" t="str">
        <f>IFERROR(ROUND('ENTRY DATA'!CT16,0),"-")</f>
        <v>-</v>
      </c>
      <c r="BH5" s="7" t="str">
        <f>'ENTRY DATA'!CU16</f>
        <v>-</v>
      </c>
      <c r="BI5" s="7" t="str">
        <f>IFERROR(ROUND('ENTRY DATA'!CV16,0),"-")</f>
        <v>-</v>
      </c>
      <c r="BJ5" s="7" t="str">
        <f>'ENTRY DATA'!CW16</f>
        <v>-</v>
      </c>
      <c r="BK5" s="8">
        <f t="shared" si="25"/>
        <v>75</v>
      </c>
      <c r="BL5" s="8">
        <f t="shared" si="26"/>
        <v>0</v>
      </c>
      <c r="BM5" s="8" t="str">
        <f>IFERROR(ROUND('ENTRY DATA'!DF16,0),"-")</f>
        <v>-</v>
      </c>
      <c r="BN5" s="8" t="str">
        <f>'ENTRY DATA'!DG16</f>
        <v>-</v>
      </c>
      <c r="BO5" s="8" t="str">
        <f>IFERROR(ROUND('ENTRY DATA'!DH16,0),"-")</f>
        <v>-</v>
      </c>
      <c r="BP5" s="8" t="str">
        <f>'ENTRY DATA'!DI16</f>
        <v>-</v>
      </c>
      <c r="BQ5" s="7">
        <f t="shared" si="27"/>
        <v>75</v>
      </c>
      <c r="BR5" s="7">
        <f t="shared" si="28"/>
        <v>0</v>
      </c>
      <c r="BS5" s="7" t="str">
        <f>IFERROR(ROUND('ENTRY DATA'!DR16,0),"-")</f>
        <v>-</v>
      </c>
      <c r="BT5" s="7" t="str">
        <f>'ENTRY DATA'!DS16</f>
        <v>-</v>
      </c>
      <c r="BU5" s="7" t="str">
        <f>IFERROR(ROUND('ENTRY DATA'!DT16,0),"-")</f>
        <v>-</v>
      </c>
      <c r="BV5" s="7" t="str">
        <f>'ENTRY DATA'!DU16</f>
        <v>-</v>
      </c>
      <c r="BW5" s="8" t="str">
        <f>'ENTRY DATA'!$DV$8</f>
        <v>Matematika</v>
      </c>
      <c r="BX5" s="8">
        <f t="shared" si="29"/>
        <v>75</v>
      </c>
      <c r="BY5" s="8">
        <f t="shared" si="30"/>
        <v>0</v>
      </c>
      <c r="BZ5" s="8" t="str">
        <f>IFERROR(ROUND('ENTRY DATA'!ED16,0),"-")</f>
        <v>-</v>
      </c>
      <c r="CA5" s="8" t="str">
        <f>'ENTRY DATA'!EE16</f>
        <v>-</v>
      </c>
      <c r="CB5" s="8" t="str">
        <f>IFERROR(ROUND('ENTRY DATA'!EF16,0),"-")</f>
        <v>-</v>
      </c>
      <c r="CC5" s="8" t="str">
        <f>'ENTRY DATA'!EG16</f>
        <v>-</v>
      </c>
      <c r="CD5" s="7" t="str">
        <f>'ENTRY DATA'!$EH$8</f>
        <v>Biologi</v>
      </c>
      <c r="CE5" s="7">
        <f t="shared" si="31"/>
        <v>75</v>
      </c>
      <c r="CF5" s="7">
        <f t="shared" si="32"/>
        <v>0</v>
      </c>
      <c r="CG5" s="7" t="str">
        <f>IFERROR(ROUND('ENTRY DATA'!EP16,0),"-")</f>
        <v>-</v>
      </c>
      <c r="CH5" s="7" t="str">
        <f>'ENTRY DATA'!EQ16</f>
        <v>-</v>
      </c>
      <c r="CI5" s="7" t="str">
        <f>IFERROR(ROUND('ENTRY DATA'!ER16,0),"-")</f>
        <v>-</v>
      </c>
      <c r="CJ5" s="7" t="str">
        <f>'ENTRY DATA'!ES16</f>
        <v>-</v>
      </c>
      <c r="CK5" s="8" t="str">
        <f>'ENTRY DATA'!$ET$8</f>
        <v>Fisika</v>
      </c>
      <c r="CL5" s="8">
        <f t="shared" si="33"/>
        <v>75</v>
      </c>
      <c r="CM5" s="8">
        <f t="shared" si="34"/>
        <v>0</v>
      </c>
      <c r="CN5" s="8" t="str">
        <f>IFERROR(ROUND('ENTRY DATA'!FB16,0),"-")</f>
        <v>-</v>
      </c>
      <c r="CO5" s="8" t="str">
        <f>'ENTRY DATA'!FC16</f>
        <v>-</v>
      </c>
      <c r="CP5" s="8" t="str">
        <f>IFERROR(ROUND('ENTRY DATA'!FD16,0),"-")</f>
        <v>-</v>
      </c>
      <c r="CQ5" s="8" t="str">
        <f>'ENTRY DATA'!FE16</f>
        <v>-</v>
      </c>
      <c r="CR5" s="7" t="str">
        <f>'ENTRY DATA'!$FF$8</f>
        <v>Kimia</v>
      </c>
      <c r="CS5" s="7">
        <f t="shared" si="35"/>
        <v>75</v>
      </c>
      <c r="CT5" s="7">
        <f t="shared" si="36"/>
        <v>0</v>
      </c>
      <c r="CU5" s="7" t="str">
        <f>IFERROR(ROUND('ENTRY DATA'!FN16,0),"-")</f>
        <v>-</v>
      </c>
      <c r="CV5" s="7" t="str">
        <f>'ENTRY DATA'!FO16</f>
        <v>-</v>
      </c>
      <c r="CW5" s="7" t="str">
        <f>IFERROR(ROUND('ENTRY DATA'!FP16,0),"-")</f>
        <v>-</v>
      </c>
      <c r="CX5" s="7" t="str">
        <f>'ENTRY DATA'!FQ16</f>
        <v>-</v>
      </c>
      <c r="CY5" s="8" t="str">
        <f>'ENTRY DATA'!$FR$8</f>
        <v>-</v>
      </c>
      <c r="CZ5" s="8">
        <f t="shared" si="37"/>
        <v>75</v>
      </c>
      <c r="DA5" s="8">
        <f t="shared" si="38"/>
        <v>0</v>
      </c>
      <c r="DB5" s="8" t="str">
        <f>IFERROR(ROUND('ENTRY DATA'!FZ16,0),"-")</f>
        <v>-</v>
      </c>
      <c r="DC5" s="8" t="str">
        <f>'ENTRY DATA'!GA16</f>
        <v>-</v>
      </c>
      <c r="DD5" s="8" t="str">
        <f>IFERROR(ROUND('ENTRY DATA'!GB16,0),"-")</f>
        <v>-</v>
      </c>
      <c r="DE5" s="8" t="str">
        <f>'ENTRY DATA'!GC16</f>
        <v>-</v>
      </c>
      <c r="DF5" s="7" t="str">
        <f>'ENTRY DATA'!$GD$8</f>
        <v>-</v>
      </c>
      <c r="DG5" s="7">
        <f t="shared" si="39"/>
        <v>75</v>
      </c>
      <c r="DH5" s="7">
        <f t="shared" si="40"/>
        <v>0</v>
      </c>
      <c r="DI5" s="7" t="str">
        <f>IFERROR(ROUND('ENTRY DATA'!GL16,0),"-")</f>
        <v>-</v>
      </c>
      <c r="DJ5" s="7" t="str">
        <f>'ENTRY DATA'!GM16</f>
        <v>-</v>
      </c>
      <c r="DK5" s="7" t="str">
        <f>IFERROR(ROUND('ENTRY DATA'!GN16,0),"-")</f>
        <v>-</v>
      </c>
      <c r="DL5" s="7" t="str">
        <f>'ENTRY DATA'!GO16</f>
        <v>-</v>
      </c>
      <c r="DM5" s="16" t="str">
        <f>'ENTRY DATA'!HJ16</f>
        <v>-</v>
      </c>
      <c r="DN5" s="16" t="str">
        <f>'ENTRY DATA'!HK16</f>
        <v>-</v>
      </c>
      <c r="DO5" s="16" t="str">
        <f>'ENTRY DATA'!IF16</f>
        <v>-</v>
      </c>
      <c r="DP5" s="16" t="str">
        <f>'ENTRY DATA'!IG16</f>
        <v>-</v>
      </c>
      <c r="DQ5" s="2" t="str">
        <f>'ENTRY DATA'!IH16</f>
        <v>Pramuka</v>
      </c>
      <c r="DR5" s="2" t="str">
        <f>'ENTRY DATA'!II16</f>
        <v>B</v>
      </c>
      <c r="DS5" s="2" t="str">
        <f>'ENTRY DATA'!IJ16</f>
        <v>Aktif dalam mengikuti kegiatan</v>
      </c>
      <c r="DT5" s="2" t="str">
        <f>'ENTRY DATA'!IK16</f>
        <v>-</v>
      </c>
      <c r="DU5" s="2" t="str">
        <f>'ENTRY DATA'!IL16</f>
        <v>-</v>
      </c>
      <c r="DV5" s="2" t="str">
        <f>'ENTRY DATA'!IM16</f>
        <v>-</v>
      </c>
      <c r="DW5" s="2" t="str">
        <f>'ENTRY DATA'!IN16</f>
        <v>-</v>
      </c>
      <c r="DX5" s="2" t="str">
        <f>'ENTRY DATA'!IO16</f>
        <v>-</v>
      </c>
      <c r="DY5" s="2" t="str">
        <f>'ENTRY DATA'!IP16</f>
        <v>-</v>
      </c>
      <c r="DZ5" s="2" t="str">
        <f>'ENTRY DATA'!IQ16</f>
        <v>-</v>
      </c>
      <c r="EA5" s="2" t="str">
        <f>'ENTRY DATA'!IR16</f>
        <v>-</v>
      </c>
      <c r="EB5" s="2" t="str">
        <f>'ENTRY DATA'!IS16</f>
        <v>-</v>
      </c>
      <c r="EC5" s="2" t="str">
        <f>'ENTRY DATA'!IT16</f>
        <v>-</v>
      </c>
      <c r="ED5" s="2" t="str">
        <f>'ENTRY DATA'!IU16</f>
        <v>-</v>
      </c>
      <c r="EE5" s="2" t="str">
        <f>'ENTRY DATA'!IV16</f>
        <v>-</v>
      </c>
      <c r="EF5" s="2" t="str">
        <f>'ENTRY DATA'!IW16</f>
        <v>-</v>
      </c>
      <c r="EG5" s="2" t="str">
        <f>'ENTRY DATA'!IX16</f>
        <v>-</v>
      </c>
      <c r="EH5" s="2" t="str">
        <f>'ENTRY DATA'!IY16</f>
        <v>-</v>
      </c>
      <c r="EI5" s="2" t="str">
        <f>'ENTRY DATA'!IZ16</f>
        <v>-</v>
      </c>
      <c r="EJ5" s="2">
        <f>'ENTRY DATA'!JA16</f>
        <v>0</v>
      </c>
      <c r="EK5" s="2">
        <f>'ENTRY DATA'!JB16</f>
        <v>1</v>
      </c>
    </row>
    <row r="6" spans="1:141" x14ac:dyDescent="0.25">
      <c r="A6" s="2" t="str">
        <f t="shared" si="0"/>
        <v>MIPA</v>
      </c>
      <c r="B6" s="2" t="str">
        <f t="shared" si="1"/>
        <v>Bandung, 10 Oktober 2022</v>
      </c>
      <c r="C6" s="2" t="str">
        <f t="shared" si="2"/>
        <v>Drs. Ahmad Fathony</v>
      </c>
      <c r="D6" s="2" t="str">
        <f t="shared" si="3"/>
        <v>12345678 123456 1 123</v>
      </c>
      <c r="E6" s="2" t="str">
        <f t="shared" si="4"/>
        <v>H. Abdul Basith, M.Pd.</v>
      </c>
      <c r="F6" s="2" t="str">
        <f t="shared" si="5"/>
        <v>12341234 123123 1 234</v>
      </c>
      <c r="G6" s="74">
        <f>'ENTRY DATA'!B17</f>
        <v>0</v>
      </c>
      <c r="H6" s="74">
        <f>'ENTRY DATA'!C17</f>
        <v>0</v>
      </c>
      <c r="I6" s="74">
        <f>'ENTRY DATA'!D17</f>
        <v>0</v>
      </c>
      <c r="J6" s="74">
        <f>'ENTRY DATA'!E17</f>
        <v>0</v>
      </c>
      <c r="K6" s="7" t="str">
        <f t="shared" si="6"/>
        <v>X MIPA-1</v>
      </c>
      <c r="L6" s="7">
        <f t="shared" si="7"/>
        <v>1</v>
      </c>
      <c r="M6" s="7" t="str">
        <f t="shared" si="41"/>
        <v>Ganjil</v>
      </c>
      <c r="N6" s="7" t="str">
        <f t="shared" si="8"/>
        <v>2022/2023</v>
      </c>
      <c r="O6" s="8">
        <f t="shared" si="9"/>
        <v>75</v>
      </c>
      <c r="P6" s="8">
        <f t="shared" si="10"/>
        <v>0</v>
      </c>
      <c r="Q6" s="8" t="str">
        <f>IFERROR(ROUND('ENTRY DATA'!N17,0),"-")</f>
        <v>-</v>
      </c>
      <c r="R6" s="8" t="str">
        <f>'ENTRY DATA'!O17</f>
        <v>-</v>
      </c>
      <c r="S6" s="8" t="str">
        <f>IFERROR(ROUND('ENTRY DATA'!P17,0),"-")</f>
        <v>-</v>
      </c>
      <c r="T6" s="8" t="str">
        <f>'ENTRY DATA'!Q17</f>
        <v>-</v>
      </c>
      <c r="U6" s="7">
        <f t="shared" si="11"/>
        <v>75</v>
      </c>
      <c r="V6" s="7">
        <f t="shared" si="12"/>
        <v>0</v>
      </c>
      <c r="W6" s="7" t="str">
        <f>IFERROR(ROUND('ENTRY DATA'!Z17,0),"-")</f>
        <v>-</v>
      </c>
      <c r="X6" s="7" t="str">
        <f>'ENTRY DATA'!AA17</f>
        <v>-</v>
      </c>
      <c r="Y6" s="7" t="str">
        <f>IFERROR(ROUND('ENTRY DATA'!AB17,0),"-")</f>
        <v>-</v>
      </c>
      <c r="Z6" s="7" t="str">
        <f>'ENTRY DATA'!AC17</f>
        <v>-</v>
      </c>
      <c r="AA6" s="8">
        <f t="shared" si="13"/>
        <v>75</v>
      </c>
      <c r="AB6" s="8">
        <f t="shared" si="14"/>
        <v>0</v>
      </c>
      <c r="AC6" s="8" t="str">
        <f>IFERROR(ROUND('ENTRY DATA'!AL17,0),"-")</f>
        <v>-</v>
      </c>
      <c r="AD6" s="8" t="str">
        <f>'ENTRY DATA'!AM17</f>
        <v>-</v>
      </c>
      <c r="AE6" s="8" t="str">
        <f>IFERROR(ROUND('ENTRY DATA'!AN17,0),"-")</f>
        <v>-</v>
      </c>
      <c r="AF6" s="8" t="str">
        <f>'ENTRY DATA'!AO17</f>
        <v>-</v>
      </c>
      <c r="AG6" s="7">
        <f t="shared" si="15"/>
        <v>75</v>
      </c>
      <c r="AH6" s="7">
        <f t="shared" si="16"/>
        <v>0</v>
      </c>
      <c r="AI6" s="7" t="str">
        <f>IFERROR(ROUND('ENTRY DATA'!AX17,0),"-")</f>
        <v>-</v>
      </c>
      <c r="AJ6" s="7" t="str">
        <f>'ENTRY DATA'!AY17</f>
        <v>-</v>
      </c>
      <c r="AK6" s="7" t="str">
        <f>IFERROR(ROUND('ENTRY DATA'!AZ17,0),"-")</f>
        <v>-</v>
      </c>
      <c r="AL6" s="7" t="str">
        <f>'ENTRY DATA'!BA17</f>
        <v>-</v>
      </c>
      <c r="AM6" s="8">
        <f t="shared" si="17"/>
        <v>75</v>
      </c>
      <c r="AN6" s="8">
        <f t="shared" si="18"/>
        <v>0</v>
      </c>
      <c r="AO6" s="8" t="str">
        <f>IFERROR(ROUND('ENTRY DATA'!BJ17,0),"-")</f>
        <v>-</v>
      </c>
      <c r="AP6" s="8" t="str">
        <f>'ENTRY DATA'!BK17</f>
        <v>-</v>
      </c>
      <c r="AQ6" s="8" t="str">
        <f>IFERROR(ROUND('ENTRY DATA'!BL17,0),"-")</f>
        <v>-</v>
      </c>
      <c r="AR6" s="8" t="str">
        <f>'ENTRY DATA'!BM17</f>
        <v>-</v>
      </c>
      <c r="AS6" s="7">
        <f t="shared" si="19"/>
        <v>75</v>
      </c>
      <c r="AT6" s="7">
        <f t="shared" si="20"/>
        <v>0</v>
      </c>
      <c r="AU6" s="7" t="str">
        <f>IFERROR(ROUND('ENTRY DATA'!BV17,0),"-")</f>
        <v>-</v>
      </c>
      <c r="AV6" s="7" t="str">
        <f>'ENTRY DATA'!BW17</f>
        <v>-</v>
      </c>
      <c r="AW6" s="7" t="str">
        <f>IFERROR(ROUND('ENTRY DATA'!BX17,0),"-")</f>
        <v>-</v>
      </c>
      <c r="AX6" s="7" t="str">
        <f>'ENTRY DATA'!BY17</f>
        <v>-</v>
      </c>
      <c r="AY6" s="8">
        <f t="shared" si="21"/>
        <v>75</v>
      </c>
      <c r="AZ6" s="8">
        <f t="shared" si="22"/>
        <v>0</v>
      </c>
      <c r="BA6" s="8" t="str">
        <f>IFERROR(ROUND('ENTRY DATA'!CH17,0),"-")</f>
        <v>-</v>
      </c>
      <c r="BB6" s="8" t="str">
        <f>'ENTRY DATA'!CI17</f>
        <v>-</v>
      </c>
      <c r="BC6" s="8" t="str">
        <f>IFERROR(ROUND('ENTRY DATA'!CJ17,0),"-")</f>
        <v>-</v>
      </c>
      <c r="BD6" s="8" t="str">
        <f>'ENTRY DATA'!CK17</f>
        <v>-</v>
      </c>
      <c r="BE6" s="7">
        <f t="shared" si="23"/>
        <v>75</v>
      </c>
      <c r="BF6" s="7">
        <f t="shared" si="24"/>
        <v>0</v>
      </c>
      <c r="BG6" s="7" t="str">
        <f>IFERROR(ROUND('ENTRY DATA'!CT17,0),"-")</f>
        <v>-</v>
      </c>
      <c r="BH6" s="7" t="str">
        <f>'ENTRY DATA'!CU17</f>
        <v>-</v>
      </c>
      <c r="BI6" s="7" t="str">
        <f>IFERROR(ROUND('ENTRY DATA'!CV17,0),"-")</f>
        <v>-</v>
      </c>
      <c r="BJ6" s="7" t="str">
        <f>'ENTRY DATA'!CW17</f>
        <v>-</v>
      </c>
      <c r="BK6" s="8">
        <f t="shared" si="25"/>
        <v>75</v>
      </c>
      <c r="BL6" s="8">
        <f t="shared" si="26"/>
        <v>0</v>
      </c>
      <c r="BM6" s="8" t="str">
        <f>IFERROR(ROUND('ENTRY DATA'!DF17,0),"-")</f>
        <v>-</v>
      </c>
      <c r="BN6" s="8" t="str">
        <f>'ENTRY DATA'!DG17</f>
        <v>-</v>
      </c>
      <c r="BO6" s="8" t="str">
        <f>IFERROR(ROUND('ENTRY DATA'!DH17,0),"-")</f>
        <v>-</v>
      </c>
      <c r="BP6" s="8" t="str">
        <f>'ENTRY DATA'!DI17</f>
        <v>-</v>
      </c>
      <c r="BQ6" s="7">
        <f t="shared" si="27"/>
        <v>75</v>
      </c>
      <c r="BR6" s="7">
        <f t="shared" si="28"/>
        <v>0</v>
      </c>
      <c r="BS6" s="7" t="str">
        <f>IFERROR(ROUND('ENTRY DATA'!DR17,0),"-")</f>
        <v>-</v>
      </c>
      <c r="BT6" s="7" t="str">
        <f>'ENTRY DATA'!DS17</f>
        <v>-</v>
      </c>
      <c r="BU6" s="7" t="str">
        <f>IFERROR(ROUND('ENTRY DATA'!DT17,0),"-")</f>
        <v>-</v>
      </c>
      <c r="BV6" s="7" t="str">
        <f>'ENTRY DATA'!DU17</f>
        <v>-</v>
      </c>
      <c r="BW6" s="8" t="str">
        <f>'ENTRY DATA'!$DV$8</f>
        <v>Matematika</v>
      </c>
      <c r="BX6" s="8">
        <f t="shared" si="29"/>
        <v>75</v>
      </c>
      <c r="BY6" s="8">
        <f t="shared" si="30"/>
        <v>0</v>
      </c>
      <c r="BZ6" s="8" t="str">
        <f>IFERROR(ROUND('ENTRY DATA'!ED17,0),"-")</f>
        <v>-</v>
      </c>
      <c r="CA6" s="8" t="str">
        <f>'ENTRY DATA'!EE17</f>
        <v>-</v>
      </c>
      <c r="CB6" s="8" t="str">
        <f>IFERROR(ROUND('ENTRY DATA'!EF17,0),"-")</f>
        <v>-</v>
      </c>
      <c r="CC6" s="8" t="str">
        <f>'ENTRY DATA'!EG17</f>
        <v>-</v>
      </c>
      <c r="CD6" s="7" t="str">
        <f>'ENTRY DATA'!$EH$8</f>
        <v>Biologi</v>
      </c>
      <c r="CE6" s="7">
        <f t="shared" si="31"/>
        <v>75</v>
      </c>
      <c r="CF6" s="7">
        <f t="shared" si="32"/>
        <v>0</v>
      </c>
      <c r="CG6" s="7" t="str">
        <f>IFERROR(ROUND('ENTRY DATA'!EP17,0),"-")</f>
        <v>-</v>
      </c>
      <c r="CH6" s="7" t="str">
        <f>'ENTRY DATA'!EQ17</f>
        <v>-</v>
      </c>
      <c r="CI6" s="7" t="str">
        <f>IFERROR(ROUND('ENTRY DATA'!ER17,0),"-")</f>
        <v>-</v>
      </c>
      <c r="CJ6" s="7" t="str">
        <f>'ENTRY DATA'!ES17</f>
        <v>-</v>
      </c>
      <c r="CK6" s="8" t="str">
        <f>'ENTRY DATA'!$ET$8</f>
        <v>Fisika</v>
      </c>
      <c r="CL6" s="8">
        <f t="shared" si="33"/>
        <v>75</v>
      </c>
      <c r="CM6" s="8">
        <f t="shared" si="34"/>
        <v>0</v>
      </c>
      <c r="CN6" s="8" t="str">
        <f>IFERROR(ROUND('ENTRY DATA'!FB17,0),"-")</f>
        <v>-</v>
      </c>
      <c r="CO6" s="8" t="str">
        <f>'ENTRY DATA'!FC17</f>
        <v>-</v>
      </c>
      <c r="CP6" s="8" t="str">
        <f>IFERROR(ROUND('ENTRY DATA'!FD17,0),"-")</f>
        <v>-</v>
      </c>
      <c r="CQ6" s="8" t="str">
        <f>'ENTRY DATA'!FE17</f>
        <v>-</v>
      </c>
      <c r="CR6" s="7" t="str">
        <f>'ENTRY DATA'!$FF$8</f>
        <v>Kimia</v>
      </c>
      <c r="CS6" s="7">
        <f t="shared" si="35"/>
        <v>75</v>
      </c>
      <c r="CT6" s="7">
        <f t="shared" si="36"/>
        <v>0</v>
      </c>
      <c r="CU6" s="7" t="str">
        <f>IFERROR(ROUND('ENTRY DATA'!FN17,0),"-")</f>
        <v>-</v>
      </c>
      <c r="CV6" s="7" t="str">
        <f>'ENTRY DATA'!FO17</f>
        <v>-</v>
      </c>
      <c r="CW6" s="7" t="str">
        <f>IFERROR(ROUND('ENTRY DATA'!FP17,0),"-")</f>
        <v>-</v>
      </c>
      <c r="CX6" s="7" t="str">
        <f>'ENTRY DATA'!FQ17</f>
        <v>-</v>
      </c>
      <c r="CY6" s="8" t="str">
        <f>'ENTRY DATA'!$FR$8</f>
        <v>-</v>
      </c>
      <c r="CZ6" s="8">
        <f t="shared" si="37"/>
        <v>75</v>
      </c>
      <c r="DA6" s="8">
        <f t="shared" si="38"/>
        <v>0</v>
      </c>
      <c r="DB6" s="8" t="str">
        <f>IFERROR(ROUND('ENTRY DATA'!FZ17,0),"-")</f>
        <v>-</v>
      </c>
      <c r="DC6" s="8" t="str">
        <f>'ENTRY DATA'!GA17</f>
        <v>-</v>
      </c>
      <c r="DD6" s="8" t="str">
        <f>IFERROR(ROUND('ENTRY DATA'!GB17,0),"-")</f>
        <v>-</v>
      </c>
      <c r="DE6" s="8" t="str">
        <f>'ENTRY DATA'!GC17</f>
        <v>-</v>
      </c>
      <c r="DF6" s="7" t="str">
        <f>'ENTRY DATA'!$GD$8</f>
        <v>-</v>
      </c>
      <c r="DG6" s="7">
        <f t="shared" si="39"/>
        <v>75</v>
      </c>
      <c r="DH6" s="7">
        <f t="shared" si="40"/>
        <v>0</v>
      </c>
      <c r="DI6" s="7" t="str">
        <f>IFERROR(ROUND('ENTRY DATA'!GL17,0),"-")</f>
        <v>-</v>
      </c>
      <c r="DJ6" s="7" t="str">
        <f>'ENTRY DATA'!GM17</f>
        <v>-</v>
      </c>
      <c r="DK6" s="7" t="str">
        <f>IFERROR(ROUND('ENTRY DATA'!GN17,0),"-")</f>
        <v>-</v>
      </c>
      <c r="DL6" s="7" t="str">
        <f>'ENTRY DATA'!GO17</f>
        <v>-</v>
      </c>
      <c r="DM6" s="16" t="str">
        <f>'ENTRY DATA'!HJ17</f>
        <v>-</v>
      </c>
      <c r="DN6" s="16" t="str">
        <f>'ENTRY DATA'!HK17</f>
        <v>-</v>
      </c>
      <c r="DO6" s="16" t="str">
        <f>'ENTRY DATA'!IF17</f>
        <v>-</v>
      </c>
      <c r="DP6" s="16" t="str">
        <f>'ENTRY DATA'!IG17</f>
        <v>-</v>
      </c>
      <c r="DQ6" s="2" t="str">
        <f>'ENTRY DATA'!IH17</f>
        <v>Pramuka</v>
      </c>
      <c r="DR6" s="2" t="str">
        <f>'ENTRY DATA'!II17</f>
        <v>B</v>
      </c>
      <c r="DS6" s="2" t="str">
        <f>'ENTRY DATA'!IJ17</f>
        <v>Aktif dalam mengikuti kegiatan</v>
      </c>
      <c r="DT6" s="2" t="str">
        <f>'ENTRY DATA'!IK17</f>
        <v>-</v>
      </c>
      <c r="DU6" s="2" t="str">
        <f>'ENTRY DATA'!IL17</f>
        <v>-</v>
      </c>
      <c r="DV6" s="2" t="str">
        <f>'ENTRY DATA'!IM17</f>
        <v>-</v>
      </c>
      <c r="DW6" s="2" t="str">
        <f>'ENTRY DATA'!IN17</f>
        <v>-</v>
      </c>
      <c r="DX6" s="2" t="str">
        <f>'ENTRY DATA'!IO17</f>
        <v>-</v>
      </c>
      <c r="DY6" s="2" t="str">
        <f>'ENTRY DATA'!IP17</f>
        <v>-</v>
      </c>
      <c r="DZ6" s="2" t="str">
        <f>'ENTRY DATA'!IQ17</f>
        <v>-</v>
      </c>
      <c r="EA6" s="2" t="str">
        <f>'ENTRY DATA'!IR17</f>
        <v>-</v>
      </c>
      <c r="EB6" s="2" t="str">
        <f>'ENTRY DATA'!IS17</f>
        <v>-</v>
      </c>
      <c r="EC6" s="2" t="str">
        <f>'ENTRY DATA'!IT17</f>
        <v>-</v>
      </c>
      <c r="ED6" s="2" t="str">
        <f>'ENTRY DATA'!IU17</f>
        <v>-</v>
      </c>
      <c r="EE6" s="2" t="str">
        <f>'ENTRY DATA'!IV17</f>
        <v>-</v>
      </c>
      <c r="EF6" s="2" t="str">
        <f>'ENTRY DATA'!IW17</f>
        <v>-</v>
      </c>
      <c r="EG6" s="2" t="str">
        <f>'ENTRY DATA'!IX17</f>
        <v>-</v>
      </c>
      <c r="EH6" s="2" t="str">
        <f>'ENTRY DATA'!IY17</f>
        <v>-</v>
      </c>
      <c r="EI6" s="2" t="str">
        <f>'ENTRY DATA'!IZ17</f>
        <v>-</v>
      </c>
      <c r="EJ6" s="2">
        <f>'ENTRY DATA'!JA17</f>
        <v>0</v>
      </c>
      <c r="EK6" s="2">
        <f>'ENTRY DATA'!JB17</f>
        <v>1</v>
      </c>
    </row>
    <row r="7" spans="1:141" x14ac:dyDescent="0.25">
      <c r="A7" s="2" t="str">
        <f t="shared" si="0"/>
        <v>MIPA</v>
      </c>
      <c r="B7" s="2" t="str">
        <f t="shared" si="1"/>
        <v>Bandung, 10 Oktober 2022</v>
      </c>
      <c r="C7" s="2" t="str">
        <f t="shared" si="2"/>
        <v>Drs. Ahmad Fathony</v>
      </c>
      <c r="D7" s="2" t="str">
        <f t="shared" si="3"/>
        <v>12345678 123456 1 123</v>
      </c>
      <c r="E7" s="2" t="str">
        <f t="shared" si="4"/>
        <v>H. Abdul Basith, M.Pd.</v>
      </c>
      <c r="F7" s="2" t="str">
        <f t="shared" si="5"/>
        <v>12341234 123123 1 234</v>
      </c>
      <c r="G7" s="74">
        <f>'ENTRY DATA'!B18</f>
        <v>0</v>
      </c>
      <c r="H7" s="74">
        <f>'ENTRY DATA'!C18</f>
        <v>0</v>
      </c>
      <c r="I7" s="74">
        <f>'ENTRY DATA'!D18</f>
        <v>0</v>
      </c>
      <c r="J7" s="74">
        <f>'ENTRY DATA'!E18</f>
        <v>0</v>
      </c>
      <c r="K7" s="7" t="str">
        <f t="shared" si="6"/>
        <v>X MIPA-1</v>
      </c>
      <c r="L7" s="7">
        <f t="shared" si="7"/>
        <v>1</v>
      </c>
      <c r="M7" s="7" t="str">
        <f t="shared" si="41"/>
        <v>Ganjil</v>
      </c>
      <c r="N7" s="7" t="str">
        <f t="shared" si="8"/>
        <v>2022/2023</v>
      </c>
      <c r="O7" s="8">
        <f t="shared" si="9"/>
        <v>75</v>
      </c>
      <c r="P7" s="8">
        <f t="shared" si="10"/>
        <v>0</v>
      </c>
      <c r="Q7" s="8" t="str">
        <f>IFERROR(ROUND('ENTRY DATA'!N18,0),"-")</f>
        <v>-</v>
      </c>
      <c r="R7" s="8" t="str">
        <f>'ENTRY DATA'!O18</f>
        <v>-</v>
      </c>
      <c r="S7" s="8" t="str">
        <f>IFERROR(ROUND('ENTRY DATA'!P18,0),"-")</f>
        <v>-</v>
      </c>
      <c r="T7" s="8" t="str">
        <f>'ENTRY DATA'!Q18</f>
        <v>-</v>
      </c>
      <c r="U7" s="7">
        <f t="shared" si="11"/>
        <v>75</v>
      </c>
      <c r="V7" s="7">
        <f t="shared" si="12"/>
        <v>0</v>
      </c>
      <c r="W7" s="7" t="str">
        <f>IFERROR(ROUND('ENTRY DATA'!Z18,0),"-")</f>
        <v>-</v>
      </c>
      <c r="X7" s="7" t="str">
        <f>'ENTRY DATA'!AA18</f>
        <v>-</v>
      </c>
      <c r="Y7" s="7" t="str">
        <f>IFERROR(ROUND('ENTRY DATA'!AB18,0),"-")</f>
        <v>-</v>
      </c>
      <c r="Z7" s="7" t="str">
        <f>'ENTRY DATA'!AC18</f>
        <v>-</v>
      </c>
      <c r="AA7" s="8">
        <f t="shared" si="13"/>
        <v>75</v>
      </c>
      <c r="AB7" s="8">
        <f t="shared" si="14"/>
        <v>0</v>
      </c>
      <c r="AC7" s="8" t="str">
        <f>IFERROR(ROUND('ENTRY DATA'!AL18,0),"-")</f>
        <v>-</v>
      </c>
      <c r="AD7" s="8" t="str">
        <f>'ENTRY DATA'!AM18</f>
        <v>-</v>
      </c>
      <c r="AE7" s="8" t="str">
        <f>IFERROR(ROUND('ENTRY DATA'!AN18,0),"-")</f>
        <v>-</v>
      </c>
      <c r="AF7" s="8" t="str">
        <f>'ENTRY DATA'!AO18</f>
        <v>-</v>
      </c>
      <c r="AG7" s="7">
        <f t="shared" si="15"/>
        <v>75</v>
      </c>
      <c r="AH7" s="7">
        <f t="shared" si="16"/>
        <v>0</v>
      </c>
      <c r="AI7" s="7" t="str">
        <f>IFERROR(ROUND('ENTRY DATA'!AX18,0),"-")</f>
        <v>-</v>
      </c>
      <c r="AJ7" s="7" t="str">
        <f>'ENTRY DATA'!AY18</f>
        <v>-</v>
      </c>
      <c r="AK7" s="7" t="str">
        <f>IFERROR(ROUND('ENTRY DATA'!AZ18,0),"-")</f>
        <v>-</v>
      </c>
      <c r="AL7" s="7" t="str">
        <f>'ENTRY DATA'!BA18</f>
        <v>-</v>
      </c>
      <c r="AM7" s="8">
        <f t="shared" si="17"/>
        <v>75</v>
      </c>
      <c r="AN7" s="8">
        <f t="shared" si="18"/>
        <v>0</v>
      </c>
      <c r="AO7" s="8" t="str">
        <f>IFERROR(ROUND('ENTRY DATA'!BJ18,0),"-")</f>
        <v>-</v>
      </c>
      <c r="AP7" s="8" t="str">
        <f>'ENTRY DATA'!BK18</f>
        <v>-</v>
      </c>
      <c r="AQ7" s="8" t="str">
        <f>IFERROR(ROUND('ENTRY DATA'!BL18,0),"-")</f>
        <v>-</v>
      </c>
      <c r="AR7" s="8" t="str">
        <f>'ENTRY DATA'!BM18</f>
        <v>-</v>
      </c>
      <c r="AS7" s="7">
        <f t="shared" si="19"/>
        <v>75</v>
      </c>
      <c r="AT7" s="7">
        <f t="shared" si="20"/>
        <v>0</v>
      </c>
      <c r="AU7" s="7" t="str">
        <f>IFERROR(ROUND('ENTRY DATA'!BV18,0),"-")</f>
        <v>-</v>
      </c>
      <c r="AV7" s="7" t="str">
        <f>'ENTRY DATA'!BW18</f>
        <v>-</v>
      </c>
      <c r="AW7" s="7" t="str">
        <f>IFERROR(ROUND('ENTRY DATA'!BX18,0),"-")</f>
        <v>-</v>
      </c>
      <c r="AX7" s="7" t="str">
        <f>'ENTRY DATA'!BY18</f>
        <v>-</v>
      </c>
      <c r="AY7" s="8">
        <f t="shared" si="21"/>
        <v>75</v>
      </c>
      <c r="AZ7" s="8">
        <f t="shared" si="22"/>
        <v>0</v>
      </c>
      <c r="BA7" s="8" t="str">
        <f>IFERROR(ROUND('ENTRY DATA'!CH18,0),"-")</f>
        <v>-</v>
      </c>
      <c r="BB7" s="8" t="str">
        <f>'ENTRY DATA'!CI18</f>
        <v>-</v>
      </c>
      <c r="BC7" s="8" t="str">
        <f>IFERROR(ROUND('ENTRY DATA'!CJ18,0),"-")</f>
        <v>-</v>
      </c>
      <c r="BD7" s="8" t="str">
        <f>'ENTRY DATA'!CK18</f>
        <v>-</v>
      </c>
      <c r="BE7" s="7">
        <f t="shared" si="23"/>
        <v>75</v>
      </c>
      <c r="BF7" s="7">
        <f t="shared" si="24"/>
        <v>0</v>
      </c>
      <c r="BG7" s="7" t="str">
        <f>IFERROR(ROUND('ENTRY DATA'!CT18,0),"-")</f>
        <v>-</v>
      </c>
      <c r="BH7" s="7" t="str">
        <f>'ENTRY DATA'!CU18</f>
        <v>-</v>
      </c>
      <c r="BI7" s="7" t="str">
        <f>IFERROR(ROUND('ENTRY DATA'!CV18,0),"-")</f>
        <v>-</v>
      </c>
      <c r="BJ7" s="7" t="str">
        <f>'ENTRY DATA'!CW18</f>
        <v>-</v>
      </c>
      <c r="BK7" s="8">
        <f t="shared" si="25"/>
        <v>75</v>
      </c>
      <c r="BL7" s="8">
        <f t="shared" si="26"/>
        <v>0</v>
      </c>
      <c r="BM7" s="8" t="str">
        <f>IFERROR(ROUND('ENTRY DATA'!DF18,0),"-")</f>
        <v>-</v>
      </c>
      <c r="BN7" s="8" t="str">
        <f>'ENTRY DATA'!DG18</f>
        <v>-</v>
      </c>
      <c r="BO7" s="8" t="str">
        <f>IFERROR(ROUND('ENTRY DATA'!DH18,0),"-")</f>
        <v>-</v>
      </c>
      <c r="BP7" s="8" t="str">
        <f>'ENTRY DATA'!DI18</f>
        <v>-</v>
      </c>
      <c r="BQ7" s="7">
        <f t="shared" si="27"/>
        <v>75</v>
      </c>
      <c r="BR7" s="7">
        <f t="shared" si="28"/>
        <v>0</v>
      </c>
      <c r="BS7" s="7" t="str">
        <f>IFERROR(ROUND('ENTRY DATA'!DR18,0),"-")</f>
        <v>-</v>
      </c>
      <c r="BT7" s="7" t="str">
        <f>'ENTRY DATA'!DS18</f>
        <v>-</v>
      </c>
      <c r="BU7" s="7" t="str">
        <f>IFERROR(ROUND('ENTRY DATA'!DT18,0),"-")</f>
        <v>-</v>
      </c>
      <c r="BV7" s="7" t="str">
        <f>'ENTRY DATA'!DU18</f>
        <v>-</v>
      </c>
      <c r="BW7" s="8" t="str">
        <f>'ENTRY DATA'!$DV$8</f>
        <v>Matematika</v>
      </c>
      <c r="BX7" s="8">
        <f t="shared" si="29"/>
        <v>75</v>
      </c>
      <c r="BY7" s="8">
        <f t="shared" si="30"/>
        <v>0</v>
      </c>
      <c r="BZ7" s="8" t="str">
        <f>IFERROR(ROUND('ENTRY DATA'!ED18,0),"-")</f>
        <v>-</v>
      </c>
      <c r="CA7" s="8" t="str">
        <f>'ENTRY DATA'!EE18</f>
        <v>-</v>
      </c>
      <c r="CB7" s="8" t="str">
        <f>IFERROR(ROUND('ENTRY DATA'!EF18,0),"-")</f>
        <v>-</v>
      </c>
      <c r="CC7" s="8" t="str">
        <f>'ENTRY DATA'!EG18</f>
        <v>-</v>
      </c>
      <c r="CD7" s="7" t="str">
        <f>'ENTRY DATA'!$EH$8</f>
        <v>Biologi</v>
      </c>
      <c r="CE7" s="7">
        <f t="shared" si="31"/>
        <v>75</v>
      </c>
      <c r="CF7" s="7">
        <f t="shared" si="32"/>
        <v>0</v>
      </c>
      <c r="CG7" s="7" t="str">
        <f>IFERROR(ROUND('ENTRY DATA'!EP18,0),"-")</f>
        <v>-</v>
      </c>
      <c r="CH7" s="7" t="str">
        <f>'ENTRY DATA'!EQ18</f>
        <v>-</v>
      </c>
      <c r="CI7" s="7" t="str">
        <f>IFERROR(ROUND('ENTRY DATA'!ER18,0),"-")</f>
        <v>-</v>
      </c>
      <c r="CJ7" s="7" t="str">
        <f>'ENTRY DATA'!ES18</f>
        <v>-</v>
      </c>
      <c r="CK7" s="8" t="str">
        <f>'ENTRY DATA'!$ET$8</f>
        <v>Fisika</v>
      </c>
      <c r="CL7" s="8">
        <f t="shared" si="33"/>
        <v>75</v>
      </c>
      <c r="CM7" s="8">
        <f t="shared" si="34"/>
        <v>0</v>
      </c>
      <c r="CN7" s="8" t="str">
        <f>IFERROR(ROUND('ENTRY DATA'!FB18,0),"-")</f>
        <v>-</v>
      </c>
      <c r="CO7" s="8" t="str">
        <f>'ENTRY DATA'!FC18</f>
        <v>-</v>
      </c>
      <c r="CP7" s="8" t="str">
        <f>IFERROR(ROUND('ENTRY DATA'!FD18,0),"-")</f>
        <v>-</v>
      </c>
      <c r="CQ7" s="8" t="str">
        <f>'ENTRY DATA'!FE18</f>
        <v>-</v>
      </c>
      <c r="CR7" s="7" t="str">
        <f>'ENTRY DATA'!$FF$8</f>
        <v>Kimia</v>
      </c>
      <c r="CS7" s="7">
        <f t="shared" si="35"/>
        <v>75</v>
      </c>
      <c r="CT7" s="7">
        <f t="shared" si="36"/>
        <v>0</v>
      </c>
      <c r="CU7" s="7" t="str">
        <f>IFERROR(ROUND('ENTRY DATA'!FN18,0),"-")</f>
        <v>-</v>
      </c>
      <c r="CV7" s="7" t="str">
        <f>'ENTRY DATA'!FO18</f>
        <v>-</v>
      </c>
      <c r="CW7" s="7" t="str">
        <f>IFERROR(ROUND('ENTRY DATA'!FP18,0),"-")</f>
        <v>-</v>
      </c>
      <c r="CX7" s="7" t="str">
        <f>'ENTRY DATA'!FQ18</f>
        <v>-</v>
      </c>
      <c r="CY7" s="8" t="str">
        <f>'ENTRY DATA'!$FR$8</f>
        <v>-</v>
      </c>
      <c r="CZ7" s="8">
        <f t="shared" si="37"/>
        <v>75</v>
      </c>
      <c r="DA7" s="8">
        <f t="shared" si="38"/>
        <v>0</v>
      </c>
      <c r="DB7" s="8" t="str">
        <f>IFERROR(ROUND('ENTRY DATA'!FZ18,0),"-")</f>
        <v>-</v>
      </c>
      <c r="DC7" s="8" t="str">
        <f>'ENTRY DATA'!GA18</f>
        <v>-</v>
      </c>
      <c r="DD7" s="8" t="str">
        <f>IFERROR(ROUND('ENTRY DATA'!GB18,0),"-")</f>
        <v>-</v>
      </c>
      <c r="DE7" s="8" t="str">
        <f>'ENTRY DATA'!GC18</f>
        <v>-</v>
      </c>
      <c r="DF7" s="7" t="str">
        <f>'ENTRY DATA'!$GD$8</f>
        <v>-</v>
      </c>
      <c r="DG7" s="7">
        <f t="shared" si="39"/>
        <v>75</v>
      </c>
      <c r="DH7" s="7">
        <f t="shared" si="40"/>
        <v>0</v>
      </c>
      <c r="DI7" s="7" t="str">
        <f>IFERROR(ROUND('ENTRY DATA'!GL18,0),"-")</f>
        <v>-</v>
      </c>
      <c r="DJ7" s="7" t="str">
        <f>'ENTRY DATA'!GM18</f>
        <v>-</v>
      </c>
      <c r="DK7" s="7" t="str">
        <f>IFERROR(ROUND('ENTRY DATA'!GN18,0),"-")</f>
        <v>-</v>
      </c>
      <c r="DL7" s="7" t="str">
        <f>'ENTRY DATA'!GO18</f>
        <v>-</v>
      </c>
      <c r="DM7" s="16" t="str">
        <f>'ENTRY DATA'!HJ18</f>
        <v>-</v>
      </c>
      <c r="DN7" s="16" t="str">
        <f>'ENTRY DATA'!HK18</f>
        <v>-</v>
      </c>
      <c r="DO7" s="16" t="str">
        <f>'ENTRY DATA'!IF18</f>
        <v>-</v>
      </c>
      <c r="DP7" s="16" t="str">
        <f>'ENTRY DATA'!IG18</f>
        <v>-</v>
      </c>
      <c r="DQ7" s="2" t="str">
        <f>'ENTRY DATA'!IH18</f>
        <v>Pramuka</v>
      </c>
      <c r="DR7" s="2" t="str">
        <f>'ENTRY DATA'!II18</f>
        <v>B</v>
      </c>
      <c r="DS7" s="2" t="str">
        <f>'ENTRY DATA'!IJ18</f>
        <v>Aktif dalam mengikuti kegiatan</v>
      </c>
      <c r="DT7" s="2" t="str">
        <f>'ENTRY DATA'!IK18</f>
        <v>-</v>
      </c>
      <c r="DU7" s="2" t="str">
        <f>'ENTRY DATA'!IL18</f>
        <v>-</v>
      </c>
      <c r="DV7" s="2" t="str">
        <f>'ENTRY DATA'!IM18</f>
        <v>-</v>
      </c>
      <c r="DW7" s="2" t="str">
        <f>'ENTRY DATA'!IN18</f>
        <v>-</v>
      </c>
      <c r="DX7" s="2" t="str">
        <f>'ENTRY DATA'!IO18</f>
        <v>-</v>
      </c>
      <c r="DY7" s="2" t="str">
        <f>'ENTRY DATA'!IP18</f>
        <v>-</v>
      </c>
      <c r="DZ7" s="2" t="str">
        <f>'ENTRY DATA'!IQ18</f>
        <v>-</v>
      </c>
      <c r="EA7" s="2" t="str">
        <f>'ENTRY DATA'!IR18</f>
        <v>-</v>
      </c>
      <c r="EB7" s="2" t="str">
        <f>'ENTRY DATA'!IS18</f>
        <v>-</v>
      </c>
      <c r="EC7" s="2" t="str">
        <f>'ENTRY DATA'!IT18</f>
        <v>-</v>
      </c>
      <c r="ED7" s="2" t="str">
        <f>'ENTRY DATA'!IU18</f>
        <v>-</v>
      </c>
      <c r="EE7" s="2" t="str">
        <f>'ENTRY DATA'!IV18</f>
        <v>-</v>
      </c>
      <c r="EF7" s="2" t="str">
        <f>'ENTRY DATA'!IW18</f>
        <v>-</v>
      </c>
      <c r="EG7" s="2" t="str">
        <f>'ENTRY DATA'!IX18</f>
        <v>-</v>
      </c>
      <c r="EH7" s="2" t="str">
        <f>'ENTRY DATA'!IY18</f>
        <v>-</v>
      </c>
      <c r="EI7" s="2" t="str">
        <f>'ENTRY DATA'!IZ18</f>
        <v>-</v>
      </c>
      <c r="EJ7" s="2">
        <f>'ENTRY DATA'!JA18</f>
        <v>0</v>
      </c>
      <c r="EK7" s="2">
        <f>'ENTRY DATA'!JB18</f>
        <v>1</v>
      </c>
    </row>
    <row r="8" spans="1:141" x14ac:dyDescent="0.25">
      <c r="A8" s="2" t="str">
        <f t="shared" si="0"/>
        <v>MIPA</v>
      </c>
      <c r="B8" s="2" t="str">
        <f t="shared" si="1"/>
        <v>Bandung, 10 Oktober 2022</v>
      </c>
      <c r="C8" s="2" t="str">
        <f t="shared" si="2"/>
        <v>Drs. Ahmad Fathony</v>
      </c>
      <c r="D8" s="2" t="str">
        <f t="shared" si="3"/>
        <v>12345678 123456 1 123</v>
      </c>
      <c r="E8" s="2" t="str">
        <f t="shared" si="4"/>
        <v>H. Abdul Basith, M.Pd.</v>
      </c>
      <c r="F8" s="2" t="str">
        <f t="shared" si="5"/>
        <v>12341234 123123 1 234</v>
      </c>
      <c r="G8" s="74">
        <f>'ENTRY DATA'!B19</f>
        <v>0</v>
      </c>
      <c r="H8" s="74">
        <f>'ENTRY DATA'!C19</f>
        <v>0</v>
      </c>
      <c r="I8" s="74">
        <f>'ENTRY DATA'!D19</f>
        <v>0</v>
      </c>
      <c r="J8" s="74">
        <f>'ENTRY DATA'!E19</f>
        <v>0</v>
      </c>
      <c r="K8" s="7" t="str">
        <f t="shared" si="6"/>
        <v>X MIPA-1</v>
      </c>
      <c r="L8" s="7">
        <f t="shared" si="7"/>
        <v>1</v>
      </c>
      <c r="M8" s="7" t="str">
        <f t="shared" si="41"/>
        <v>Ganjil</v>
      </c>
      <c r="N8" s="7" t="str">
        <f t="shared" si="8"/>
        <v>2022/2023</v>
      </c>
      <c r="O8" s="8">
        <f t="shared" si="9"/>
        <v>75</v>
      </c>
      <c r="P8" s="8">
        <f t="shared" si="10"/>
        <v>0</v>
      </c>
      <c r="Q8" s="8" t="str">
        <f>IFERROR(ROUND('ENTRY DATA'!N19,0),"-")</f>
        <v>-</v>
      </c>
      <c r="R8" s="8" t="str">
        <f>'ENTRY DATA'!O19</f>
        <v>-</v>
      </c>
      <c r="S8" s="8" t="str">
        <f>IFERROR(ROUND('ENTRY DATA'!P19,0),"-")</f>
        <v>-</v>
      </c>
      <c r="T8" s="8" t="str">
        <f>'ENTRY DATA'!Q19</f>
        <v>-</v>
      </c>
      <c r="U8" s="7">
        <f t="shared" si="11"/>
        <v>75</v>
      </c>
      <c r="V8" s="7">
        <f t="shared" si="12"/>
        <v>0</v>
      </c>
      <c r="W8" s="7" t="str">
        <f>IFERROR(ROUND('ENTRY DATA'!Z19,0),"-")</f>
        <v>-</v>
      </c>
      <c r="X8" s="7" t="str">
        <f>'ENTRY DATA'!AA19</f>
        <v>-</v>
      </c>
      <c r="Y8" s="7" t="str">
        <f>IFERROR(ROUND('ENTRY DATA'!AB19,0),"-")</f>
        <v>-</v>
      </c>
      <c r="Z8" s="7" t="str">
        <f>'ENTRY DATA'!AC19</f>
        <v>-</v>
      </c>
      <c r="AA8" s="8">
        <f t="shared" si="13"/>
        <v>75</v>
      </c>
      <c r="AB8" s="8">
        <f t="shared" si="14"/>
        <v>0</v>
      </c>
      <c r="AC8" s="8" t="str">
        <f>IFERROR(ROUND('ENTRY DATA'!AL19,0),"-")</f>
        <v>-</v>
      </c>
      <c r="AD8" s="8" t="str">
        <f>'ENTRY DATA'!AM19</f>
        <v>-</v>
      </c>
      <c r="AE8" s="8" t="str">
        <f>IFERROR(ROUND('ENTRY DATA'!AN19,0),"-")</f>
        <v>-</v>
      </c>
      <c r="AF8" s="8" t="str">
        <f>'ENTRY DATA'!AO19</f>
        <v>-</v>
      </c>
      <c r="AG8" s="7">
        <f t="shared" si="15"/>
        <v>75</v>
      </c>
      <c r="AH8" s="7">
        <f t="shared" si="16"/>
        <v>0</v>
      </c>
      <c r="AI8" s="7" t="str">
        <f>IFERROR(ROUND('ENTRY DATA'!AX19,0),"-")</f>
        <v>-</v>
      </c>
      <c r="AJ8" s="7" t="str">
        <f>'ENTRY DATA'!AY19</f>
        <v>-</v>
      </c>
      <c r="AK8" s="7" t="str">
        <f>IFERROR(ROUND('ENTRY DATA'!AZ19,0),"-")</f>
        <v>-</v>
      </c>
      <c r="AL8" s="7" t="str">
        <f>'ENTRY DATA'!BA19</f>
        <v>-</v>
      </c>
      <c r="AM8" s="8">
        <f t="shared" si="17"/>
        <v>75</v>
      </c>
      <c r="AN8" s="8">
        <f t="shared" si="18"/>
        <v>0</v>
      </c>
      <c r="AO8" s="8" t="str">
        <f>IFERROR(ROUND('ENTRY DATA'!BJ19,0),"-")</f>
        <v>-</v>
      </c>
      <c r="AP8" s="8" t="str">
        <f>'ENTRY DATA'!BK19</f>
        <v>-</v>
      </c>
      <c r="AQ8" s="8" t="str">
        <f>IFERROR(ROUND('ENTRY DATA'!BL19,0),"-")</f>
        <v>-</v>
      </c>
      <c r="AR8" s="8" t="str">
        <f>'ENTRY DATA'!BM19</f>
        <v>-</v>
      </c>
      <c r="AS8" s="7">
        <f t="shared" si="19"/>
        <v>75</v>
      </c>
      <c r="AT8" s="7">
        <f t="shared" si="20"/>
        <v>0</v>
      </c>
      <c r="AU8" s="7" t="str">
        <f>IFERROR(ROUND('ENTRY DATA'!BV19,0),"-")</f>
        <v>-</v>
      </c>
      <c r="AV8" s="7" t="str">
        <f>'ENTRY DATA'!BW19</f>
        <v>-</v>
      </c>
      <c r="AW8" s="7" t="str">
        <f>IFERROR(ROUND('ENTRY DATA'!BX19,0),"-")</f>
        <v>-</v>
      </c>
      <c r="AX8" s="7" t="str">
        <f>'ENTRY DATA'!BY19</f>
        <v>-</v>
      </c>
      <c r="AY8" s="8">
        <f t="shared" si="21"/>
        <v>75</v>
      </c>
      <c r="AZ8" s="8">
        <f t="shared" si="22"/>
        <v>0</v>
      </c>
      <c r="BA8" s="8" t="str">
        <f>IFERROR(ROUND('ENTRY DATA'!CH19,0),"-")</f>
        <v>-</v>
      </c>
      <c r="BB8" s="8" t="str">
        <f>'ENTRY DATA'!CI19</f>
        <v>-</v>
      </c>
      <c r="BC8" s="8" t="str">
        <f>IFERROR(ROUND('ENTRY DATA'!CJ19,0),"-")</f>
        <v>-</v>
      </c>
      <c r="BD8" s="8" t="str">
        <f>'ENTRY DATA'!CK19</f>
        <v>-</v>
      </c>
      <c r="BE8" s="7">
        <f t="shared" si="23"/>
        <v>75</v>
      </c>
      <c r="BF8" s="7">
        <f t="shared" si="24"/>
        <v>0</v>
      </c>
      <c r="BG8" s="7" t="str">
        <f>IFERROR(ROUND('ENTRY DATA'!CT19,0),"-")</f>
        <v>-</v>
      </c>
      <c r="BH8" s="7" t="str">
        <f>'ENTRY DATA'!CU19</f>
        <v>-</v>
      </c>
      <c r="BI8" s="7" t="str">
        <f>IFERROR(ROUND('ENTRY DATA'!CV19,0),"-")</f>
        <v>-</v>
      </c>
      <c r="BJ8" s="7" t="str">
        <f>'ENTRY DATA'!CW19</f>
        <v>-</v>
      </c>
      <c r="BK8" s="8">
        <f t="shared" si="25"/>
        <v>75</v>
      </c>
      <c r="BL8" s="8">
        <f t="shared" si="26"/>
        <v>0</v>
      </c>
      <c r="BM8" s="8" t="str">
        <f>IFERROR(ROUND('ENTRY DATA'!DF19,0),"-")</f>
        <v>-</v>
      </c>
      <c r="BN8" s="8" t="str">
        <f>'ENTRY DATA'!DG19</f>
        <v>-</v>
      </c>
      <c r="BO8" s="8" t="str">
        <f>IFERROR(ROUND('ENTRY DATA'!DH19,0),"-")</f>
        <v>-</v>
      </c>
      <c r="BP8" s="8" t="str">
        <f>'ENTRY DATA'!DI19</f>
        <v>-</v>
      </c>
      <c r="BQ8" s="7">
        <f t="shared" si="27"/>
        <v>75</v>
      </c>
      <c r="BR8" s="7">
        <f t="shared" si="28"/>
        <v>0</v>
      </c>
      <c r="BS8" s="7" t="str">
        <f>IFERROR(ROUND('ENTRY DATA'!DR19,0),"-")</f>
        <v>-</v>
      </c>
      <c r="BT8" s="7" t="str">
        <f>'ENTRY DATA'!DS19</f>
        <v>-</v>
      </c>
      <c r="BU8" s="7" t="str">
        <f>IFERROR(ROUND('ENTRY DATA'!DT19,0),"-")</f>
        <v>-</v>
      </c>
      <c r="BV8" s="7" t="str">
        <f>'ENTRY DATA'!DU19</f>
        <v>-</v>
      </c>
      <c r="BW8" s="8" t="str">
        <f>'ENTRY DATA'!$DV$8</f>
        <v>Matematika</v>
      </c>
      <c r="BX8" s="8">
        <f t="shared" si="29"/>
        <v>75</v>
      </c>
      <c r="BY8" s="8">
        <f t="shared" si="30"/>
        <v>0</v>
      </c>
      <c r="BZ8" s="8" t="str">
        <f>IFERROR(ROUND('ENTRY DATA'!ED19,0),"-")</f>
        <v>-</v>
      </c>
      <c r="CA8" s="8" t="str">
        <f>'ENTRY DATA'!EE19</f>
        <v>-</v>
      </c>
      <c r="CB8" s="8" t="str">
        <f>IFERROR(ROUND('ENTRY DATA'!EF19,0),"-")</f>
        <v>-</v>
      </c>
      <c r="CC8" s="8" t="str">
        <f>'ENTRY DATA'!EG19</f>
        <v>-</v>
      </c>
      <c r="CD8" s="7" t="str">
        <f>'ENTRY DATA'!$EH$8</f>
        <v>Biologi</v>
      </c>
      <c r="CE8" s="7">
        <f t="shared" si="31"/>
        <v>75</v>
      </c>
      <c r="CF8" s="7">
        <f t="shared" si="32"/>
        <v>0</v>
      </c>
      <c r="CG8" s="7" t="str">
        <f>IFERROR(ROUND('ENTRY DATA'!EP19,0),"-")</f>
        <v>-</v>
      </c>
      <c r="CH8" s="7" t="str">
        <f>'ENTRY DATA'!EQ19</f>
        <v>-</v>
      </c>
      <c r="CI8" s="7" t="str">
        <f>IFERROR(ROUND('ENTRY DATA'!ER19,0),"-")</f>
        <v>-</v>
      </c>
      <c r="CJ8" s="7" t="str">
        <f>'ENTRY DATA'!ES19</f>
        <v>-</v>
      </c>
      <c r="CK8" s="8" t="str">
        <f>'ENTRY DATA'!$ET$8</f>
        <v>Fisika</v>
      </c>
      <c r="CL8" s="8">
        <f t="shared" si="33"/>
        <v>75</v>
      </c>
      <c r="CM8" s="8">
        <f t="shared" si="34"/>
        <v>0</v>
      </c>
      <c r="CN8" s="8" t="str">
        <f>IFERROR(ROUND('ENTRY DATA'!FB19,0),"-")</f>
        <v>-</v>
      </c>
      <c r="CO8" s="8" t="str">
        <f>'ENTRY DATA'!FC19</f>
        <v>-</v>
      </c>
      <c r="CP8" s="8" t="str">
        <f>IFERROR(ROUND('ENTRY DATA'!FD19,0),"-")</f>
        <v>-</v>
      </c>
      <c r="CQ8" s="8" t="str">
        <f>'ENTRY DATA'!FE19</f>
        <v>-</v>
      </c>
      <c r="CR8" s="7" t="str">
        <f>'ENTRY DATA'!$FF$8</f>
        <v>Kimia</v>
      </c>
      <c r="CS8" s="7">
        <f t="shared" si="35"/>
        <v>75</v>
      </c>
      <c r="CT8" s="7">
        <f t="shared" si="36"/>
        <v>0</v>
      </c>
      <c r="CU8" s="7" t="str">
        <f>IFERROR(ROUND('ENTRY DATA'!FN19,0),"-")</f>
        <v>-</v>
      </c>
      <c r="CV8" s="7" t="str">
        <f>'ENTRY DATA'!FO19</f>
        <v>-</v>
      </c>
      <c r="CW8" s="7" t="str">
        <f>IFERROR(ROUND('ENTRY DATA'!FP19,0),"-")</f>
        <v>-</v>
      </c>
      <c r="CX8" s="7" t="str">
        <f>'ENTRY DATA'!FQ19</f>
        <v>-</v>
      </c>
      <c r="CY8" s="8" t="str">
        <f>'ENTRY DATA'!$FR$8</f>
        <v>-</v>
      </c>
      <c r="CZ8" s="8">
        <f t="shared" si="37"/>
        <v>75</v>
      </c>
      <c r="DA8" s="8">
        <f t="shared" si="38"/>
        <v>0</v>
      </c>
      <c r="DB8" s="8" t="str">
        <f>IFERROR(ROUND('ENTRY DATA'!FZ19,0),"-")</f>
        <v>-</v>
      </c>
      <c r="DC8" s="8" t="str">
        <f>'ENTRY DATA'!GA19</f>
        <v>-</v>
      </c>
      <c r="DD8" s="8" t="str">
        <f>IFERROR(ROUND('ENTRY DATA'!GB19,0),"-")</f>
        <v>-</v>
      </c>
      <c r="DE8" s="8" t="str">
        <f>'ENTRY DATA'!GC19</f>
        <v>-</v>
      </c>
      <c r="DF8" s="7" t="str">
        <f>'ENTRY DATA'!$GD$8</f>
        <v>-</v>
      </c>
      <c r="DG8" s="7">
        <f t="shared" si="39"/>
        <v>75</v>
      </c>
      <c r="DH8" s="7">
        <f t="shared" si="40"/>
        <v>0</v>
      </c>
      <c r="DI8" s="7" t="str">
        <f>IFERROR(ROUND('ENTRY DATA'!GL19,0),"-")</f>
        <v>-</v>
      </c>
      <c r="DJ8" s="7" t="str">
        <f>'ENTRY DATA'!GM19</f>
        <v>-</v>
      </c>
      <c r="DK8" s="7" t="str">
        <f>IFERROR(ROUND('ENTRY DATA'!GN19,0),"-")</f>
        <v>-</v>
      </c>
      <c r="DL8" s="7" t="str">
        <f>'ENTRY DATA'!GO19</f>
        <v>-</v>
      </c>
      <c r="DM8" s="16" t="str">
        <f>'ENTRY DATA'!HJ19</f>
        <v>-</v>
      </c>
      <c r="DN8" s="16" t="str">
        <f>'ENTRY DATA'!HK19</f>
        <v>-</v>
      </c>
      <c r="DO8" s="16" t="str">
        <f>'ENTRY DATA'!IF19</f>
        <v>-</v>
      </c>
      <c r="DP8" s="16" t="str">
        <f>'ENTRY DATA'!IG19</f>
        <v>-</v>
      </c>
      <c r="DQ8" s="2" t="str">
        <f>'ENTRY DATA'!IH19</f>
        <v>Pramuka</v>
      </c>
      <c r="DR8" s="2" t="str">
        <f>'ENTRY DATA'!II19</f>
        <v>B</v>
      </c>
      <c r="DS8" s="2" t="str">
        <f>'ENTRY DATA'!IJ19</f>
        <v>Aktif dalam mengikuti kegiatan</v>
      </c>
      <c r="DT8" s="2" t="str">
        <f>'ENTRY DATA'!IK19</f>
        <v>-</v>
      </c>
      <c r="DU8" s="2" t="str">
        <f>'ENTRY DATA'!IL19</f>
        <v>-</v>
      </c>
      <c r="DV8" s="2" t="str">
        <f>'ENTRY DATA'!IM19</f>
        <v>-</v>
      </c>
      <c r="DW8" s="2" t="str">
        <f>'ENTRY DATA'!IN19</f>
        <v>-</v>
      </c>
      <c r="DX8" s="2" t="str">
        <f>'ENTRY DATA'!IO19</f>
        <v>-</v>
      </c>
      <c r="DY8" s="2" t="str">
        <f>'ENTRY DATA'!IP19</f>
        <v>-</v>
      </c>
      <c r="DZ8" s="2" t="str">
        <f>'ENTRY DATA'!IQ19</f>
        <v>-</v>
      </c>
      <c r="EA8" s="2" t="str">
        <f>'ENTRY DATA'!IR19</f>
        <v>-</v>
      </c>
      <c r="EB8" s="2" t="str">
        <f>'ENTRY DATA'!IS19</f>
        <v>-</v>
      </c>
      <c r="EC8" s="2" t="str">
        <f>'ENTRY DATA'!IT19</f>
        <v>-</v>
      </c>
      <c r="ED8" s="2" t="str">
        <f>'ENTRY DATA'!IU19</f>
        <v>-</v>
      </c>
      <c r="EE8" s="2" t="str">
        <f>'ENTRY DATA'!IV19</f>
        <v>-</v>
      </c>
      <c r="EF8" s="2" t="str">
        <f>'ENTRY DATA'!IW19</f>
        <v>-</v>
      </c>
      <c r="EG8" s="2" t="str">
        <f>'ENTRY DATA'!IX19</f>
        <v>-</v>
      </c>
      <c r="EH8" s="2" t="str">
        <f>'ENTRY DATA'!IY19</f>
        <v>-</v>
      </c>
      <c r="EI8" s="2" t="str">
        <f>'ENTRY DATA'!IZ19</f>
        <v>-</v>
      </c>
      <c r="EJ8" s="2">
        <f>'ENTRY DATA'!JA19</f>
        <v>0</v>
      </c>
      <c r="EK8" s="2">
        <f>'ENTRY DATA'!JB19</f>
        <v>1</v>
      </c>
    </row>
    <row r="9" spans="1:141" x14ac:dyDescent="0.25">
      <c r="A9" s="2" t="str">
        <f t="shared" si="0"/>
        <v>MIPA</v>
      </c>
      <c r="B9" s="2" t="str">
        <f t="shared" si="1"/>
        <v>Bandung, 10 Oktober 2022</v>
      </c>
      <c r="C9" s="2" t="str">
        <f t="shared" si="2"/>
        <v>Drs. Ahmad Fathony</v>
      </c>
      <c r="D9" s="2" t="str">
        <f t="shared" si="3"/>
        <v>12345678 123456 1 123</v>
      </c>
      <c r="E9" s="2" t="str">
        <f t="shared" si="4"/>
        <v>H. Abdul Basith, M.Pd.</v>
      </c>
      <c r="F9" s="2" t="str">
        <f t="shared" si="5"/>
        <v>12341234 123123 1 234</v>
      </c>
      <c r="G9" s="74">
        <f>'ENTRY DATA'!B20</f>
        <v>0</v>
      </c>
      <c r="H9" s="74">
        <f>'ENTRY DATA'!C20</f>
        <v>0</v>
      </c>
      <c r="I9" s="74">
        <f>'ENTRY DATA'!D20</f>
        <v>0</v>
      </c>
      <c r="J9" s="74">
        <f>'ENTRY DATA'!E20</f>
        <v>0</v>
      </c>
      <c r="K9" s="7" t="str">
        <f t="shared" si="6"/>
        <v>X MIPA-1</v>
      </c>
      <c r="L9" s="7">
        <f t="shared" si="7"/>
        <v>1</v>
      </c>
      <c r="M9" s="7" t="str">
        <f t="shared" si="41"/>
        <v>Ganjil</v>
      </c>
      <c r="N9" s="7" t="str">
        <f t="shared" si="8"/>
        <v>2022/2023</v>
      </c>
      <c r="O9" s="8">
        <f t="shared" si="9"/>
        <v>75</v>
      </c>
      <c r="P9" s="8">
        <f t="shared" si="10"/>
        <v>0</v>
      </c>
      <c r="Q9" s="8" t="str">
        <f>IFERROR(ROUND('ENTRY DATA'!N20,0),"-")</f>
        <v>-</v>
      </c>
      <c r="R9" s="8" t="str">
        <f>'ENTRY DATA'!O20</f>
        <v>-</v>
      </c>
      <c r="S9" s="8" t="str">
        <f>IFERROR(ROUND('ENTRY DATA'!P20,0),"-")</f>
        <v>-</v>
      </c>
      <c r="T9" s="8" t="str">
        <f>'ENTRY DATA'!Q20</f>
        <v>-</v>
      </c>
      <c r="U9" s="7">
        <f t="shared" si="11"/>
        <v>75</v>
      </c>
      <c r="V9" s="7">
        <f t="shared" si="12"/>
        <v>0</v>
      </c>
      <c r="W9" s="7" t="str">
        <f>IFERROR(ROUND('ENTRY DATA'!Z20,0),"-")</f>
        <v>-</v>
      </c>
      <c r="X9" s="7" t="str">
        <f>'ENTRY DATA'!AA20</f>
        <v>-</v>
      </c>
      <c r="Y9" s="7" t="str">
        <f>IFERROR(ROUND('ENTRY DATA'!AB20,0),"-")</f>
        <v>-</v>
      </c>
      <c r="Z9" s="7" t="str">
        <f>'ENTRY DATA'!AC20</f>
        <v>-</v>
      </c>
      <c r="AA9" s="8">
        <f t="shared" si="13"/>
        <v>75</v>
      </c>
      <c r="AB9" s="8">
        <f t="shared" si="14"/>
        <v>0</v>
      </c>
      <c r="AC9" s="8" t="str">
        <f>IFERROR(ROUND('ENTRY DATA'!AL20,0),"-")</f>
        <v>-</v>
      </c>
      <c r="AD9" s="8" t="str">
        <f>'ENTRY DATA'!AM20</f>
        <v>-</v>
      </c>
      <c r="AE9" s="8" t="str">
        <f>IFERROR(ROUND('ENTRY DATA'!AN20,0),"-")</f>
        <v>-</v>
      </c>
      <c r="AF9" s="8" t="str">
        <f>'ENTRY DATA'!AO20</f>
        <v>-</v>
      </c>
      <c r="AG9" s="7">
        <f t="shared" si="15"/>
        <v>75</v>
      </c>
      <c r="AH9" s="7">
        <f t="shared" si="16"/>
        <v>0</v>
      </c>
      <c r="AI9" s="7" t="str">
        <f>IFERROR(ROUND('ENTRY DATA'!AX20,0),"-")</f>
        <v>-</v>
      </c>
      <c r="AJ9" s="7" t="str">
        <f>'ENTRY DATA'!AY20</f>
        <v>-</v>
      </c>
      <c r="AK9" s="7" t="str">
        <f>IFERROR(ROUND('ENTRY DATA'!AZ20,0),"-")</f>
        <v>-</v>
      </c>
      <c r="AL9" s="7" t="str">
        <f>'ENTRY DATA'!BA20</f>
        <v>-</v>
      </c>
      <c r="AM9" s="8">
        <f t="shared" si="17"/>
        <v>75</v>
      </c>
      <c r="AN9" s="8">
        <f t="shared" si="18"/>
        <v>0</v>
      </c>
      <c r="AO9" s="8" t="str">
        <f>IFERROR(ROUND('ENTRY DATA'!BJ20,0),"-")</f>
        <v>-</v>
      </c>
      <c r="AP9" s="8" t="str">
        <f>'ENTRY DATA'!BK20</f>
        <v>-</v>
      </c>
      <c r="AQ9" s="8" t="str">
        <f>IFERROR(ROUND('ENTRY DATA'!BL20,0),"-")</f>
        <v>-</v>
      </c>
      <c r="AR9" s="8" t="str">
        <f>'ENTRY DATA'!BM20</f>
        <v>-</v>
      </c>
      <c r="AS9" s="7">
        <f t="shared" si="19"/>
        <v>75</v>
      </c>
      <c r="AT9" s="7">
        <f t="shared" si="20"/>
        <v>0</v>
      </c>
      <c r="AU9" s="7" t="str">
        <f>IFERROR(ROUND('ENTRY DATA'!BV20,0),"-")</f>
        <v>-</v>
      </c>
      <c r="AV9" s="7" t="str">
        <f>'ENTRY DATA'!BW20</f>
        <v>-</v>
      </c>
      <c r="AW9" s="7" t="str">
        <f>IFERROR(ROUND('ENTRY DATA'!BX20,0),"-")</f>
        <v>-</v>
      </c>
      <c r="AX9" s="7" t="str">
        <f>'ENTRY DATA'!BY20</f>
        <v>-</v>
      </c>
      <c r="AY9" s="8">
        <f t="shared" si="21"/>
        <v>75</v>
      </c>
      <c r="AZ9" s="8">
        <f t="shared" si="22"/>
        <v>0</v>
      </c>
      <c r="BA9" s="8" t="str">
        <f>IFERROR(ROUND('ENTRY DATA'!CH20,0),"-")</f>
        <v>-</v>
      </c>
      <c r="BB9" s="8" t="str">
        <f>'ENTRY DATA'!CI20</f>
        <v>-</v>
      </c>
      <c r="BC9" s="8" t="str">
        <f>IFERROR(ROUND('ENTRY DATA'!CJ20,0),"-")</f>
        <v>-</v>
      </c>
      <c r="BD9" s="8" t="str">
        <f>'ENTRY DATA'!CK20</f>
        <v>-</v>
      </c>
      <c r="BE9" s="7">
        <f t="shared" si="23"/>
        <v>75</v>
      </c>
      <c r="BF9" s="7">
        <f t="shared" si="24"/>
        <v>0</v>
      </c>
      <c r="BG9" s="7" t="str">
        <f>IFERROR(ROUND('ENTRY DATA'!CT20,0),"-")</f>
        <v>-</v>
      </c>
      <c r="BH9" s="7" t="str">
        <f>'ENTRY DATA'!CU20</f>
        <v>-</v>
      </c>
      <c r="BI9" s="7" t="str">
        <f>IFERROR(ROUND('ENTRY DATA'!CV20,0),"-")</f>
        <v>-</v>
      </c>
      <c r="BJ9" s="7" t="str">
        <f>'ENTRY DATA'!CW20</f>
        <v>-</v>
      </c>
      <c r="BK9" s="8">
        <f t="shared" si="25"/>
        <v>75</v>
      </c>
      <c r="BL9" s="8">
        <f t="shared" si="26"/>
        <v>0</v>
      </c>
      <c r="BM9" s="8" t="str">
        <f>IFERROR(ROUND('ENTRY DATA'!DF20,0),"-")</f>
        <v>-</v>
      </c>
      <c r="BN9" s="8" t="str">
        <f>'ENTRY DATA'!DG20</f>
        <v>-</v>
      </c>
      <c r="BO9" s="8" t="str">
        <f>IFERROR(ROUND('ENTRY DATA'!DH20,0),"-")</f>
        <v>-</v>
      </c>
      <c r="BP9" s="8" t="str">
        <f>'ENTRY DATA'!DI20</f>
        <v>-</v>
      </c>
      <c r="BQ9" s="7">
        <f t="shared" si="27"/>
        <v>75</v>
      </c>
      <c r="BR9" s="7">
        <f t="shared" si="28"/>
        <v>0</v>
      </c>
      <c r="BS9" s="7" t="str">
        <f>IFERROR(ROUND('ENTRY DATA'!DR20,0),"-")</f>
        <v>-</v>
      </c>
      <c r="BT9" s="7" t="str">
        <f>'ENTRY DATA'!DS20</f>
        <v>-</v>
      </c>
      <c r="BU9" s="7" t="str">
        <f>IFERROR(ROUND('ENTRY DATA'!DT20,0),"-")</f>
        <v>-</v>
      </c>
      <c r="BV9" s="7" t="str">
        <f>'ENTRY DATA'!DU20</f>
        <v>-</v>
      </c>
      <c r="BW9" s="8" t="str">
        <f>'ENTRY DATA'!$DV$8</f>
        <v>Matematika</v>
      </c>
      <c r="BX9" s="8">
        <f t="shared" si="29"/>
        <v>75</v>
      </c>
      <c r="BY9" s="8">
        <f t="shared" si="30"/>
        <v>0</v>
      </c>
      <c r="BZ9" s="8" t="str">
        <f>IFERROR(ROUND('ENTRY DATA'!ED20,0),"-")</f>
        <v>-</v>
      </c>
      <c r="CA9" s="8" t="str">
        <f>'ENTRY DATA'!EE20</f>
        <v>-</v>
      </c>
      <c r="CB9" s="8" t="str">
        <f>IFERROR(ROUND('ENTRY DATA'!EF20,0),"-")</f>
        <v>-</v>
      </c>
      <c r="CC9" s="8" t="str">
        <f>'ENTRY DATA'!EG20</f>
        <v>-</v>
      </c>
      <c r="CD9" s="7" t="str">
        <f>'ENTRY DATA'!$EH$8</f>
        <v>Biologi</v>
      </c>
      <c r="CE9" s="7">
        <f t="shared" si="31"/>
        <v>75</v>
      </c>
      <c r="CF9" s="7">
        <f t="shared" si="32"/>
        <v>0</v>
      </c>
      <c r="CG9" s="7" t="str">
        <f>IFERROR(ROUND('ENTRY DATA'!EP20,0),"-")</f>
        <v>-</v>
      </c>
      <c r="CH9" s="7" t="str">
        <f>'ENTRY DATA'!EQ20</f>
        <v>-</v>
      </c>
      <c r="CI9" s="7" t="str">
        <f>IFERROR(ROUND('ENTRY DATA'!ER20,0),"-")</f>
        <v>-</v>
      </c>
      <c r="CJ9" s="7" t="str">
        <f>'ENTRY DATA'!ES20</f>
        <v>-</v>
      </c>
      <c r="CK9" s="8" t="str">
        <f>'ENTRY DATA'!$ET$8</f>
        <v>Fisika</v>
      </c>
      <c r="CL9" s="8">
        <f t="shared" si="33"/>
        <v>75</v>
      </c>
      <c r="CM9" s="8">
        <f t="shared" si="34"/>
        <v>0</v>
      </c>
      <c r="CN9" s="8" t="str">
        <f>IFERROR(ROUND('ENTRY DATA'!FB20,0),"-")</f>
        <v>-</v>
      </c>
      <c r="CO9" s="8" t="str">
        <f>'ENTRY DATA'!FC20</f>
        <v>-</v>
      </c>
      <c r="CP9" s="8" t="str">
        <f>IFERROR(ROUND('ENTRY DATA'!FD20,0),"-")</f>
        <v>-</v>
      </c>
      <c r="CQ9" s="8" t="str">
        <f>'ENTRY DATA'!FE20</f>
        <v>-</v>
      </c>
      <c r="CR9" s="7" t="str">
        <f>'ENTRY DATA'!$FF$8</f>
        <v>Kimia</v>
      </c>
      <c r="CS9" s="7">
        <f t="shared" si="35"/>
        <v>75</v>
      </c>
      <c r="CT9" s="7">
        <f t="shared" si="36"/>
        <v>0</v>
      </c>
      <c r="CU9" s="7" t="str">
        <f>IFERROR(ROUND('ENTRY DATA'!FN20,0),"-")</f>
        <v>-</v>
      </c>
      <c r="CV9" s="7" t="str">
        <f>'ENTRY DATA'!FO20</f>
        <v>-</v>
      </c>
      <c r="CW9" s="7" t="str">
        <f>IFERROR(ROUND('ENTRY DATA'!FP20,0),"-")</f>
        <v>-</v>
      </c>
      <c r="CX9" s="7" t="str">
        <f>'ENTRY DATA'!FQ20</f>
        <v>-</v>
      </c>
      <c r="CY9" s="8" t="str">
        <f>'ENTRY DATA'!$FR$8</f>
        <v>-</v>
      </c>
      <c r="CZ9" s="8">
        <f t="shared" si="37"/>
        <v>75</v>
      </c>
      <c r="DA9" s="8">
        <f t="shared" si="38"/>
        <v>0</v>
      </c>
      <c r="DB9" s="8" t="str">
        <f>IFERROR(ROUND('ENTRY DATA'!FZ20,0),"-")</f>
        <v>-</v>
      </c>
      <c r="DC9" s="8" t="str">
        <f>'ENTRY DATA'!GA20</f>
        <v>-</v>
      </c>
      <c r="DD9" s="8" t="str">
        <f>IFERROR(ROUND('ENTRY DATA'!GB20,0),"-")</f>
        <v>-</v>
      </c>
      <c r="DE9" s="8" t="str">
        <f>'ENTRY DATA'!GC20</f>
        <v>-</v>
      </c>
      <c r="DF9" s="7" t="str">
        <f>'ENTRY DATA'!$GD$8</f>
        <v>-</v>
      </c>
      <c r="DG9" s="7">
        <f t="shared" si="39"/>
        <v>75</v>
      </c>
      <c r="DH9" s="7">
        <f t="shared" si="40"/>
        <v>0</v>
      </c>
      <c r="DI9" s="7" t="str">
        <f>IFERROR(ROUND('ENTRY DATA'!GL20,0),"-")</f>
        <v>-</v>
      </c>
      <c r="DJ9" s="7" t="str">
        <f>'ENTRY DATA'!GM20</f>
        <v>-</v>
      </c>
      <c r="DK9" s="7" t="str">
        <f>IFERROR(ROUND('ENTRY DATA'!GN20,0),"-")</f>
        <v>-</v>
      </c>
      <c r="DL9" s="7" t="str">
        <f>'ENTRY DATA'!GO20</f>
        <v>-</v>
      </c>
      <c r="DM9" s="16" t="str">
        <f>'ENTRY DATA'!HJ20</f>
        <v>-</v>
      </c>
      <c r="DN9" s="16" t="str">
        <f>'ENTRY DATA'!HK20</f>
        <v>-</v>
      </c>
      <c r="DO9" s="16" t="str">
        <f>'ENTRY DATA'!IF20</f>
        <v>-</v>
      </c>
      <c r="DP9" s="16" t="str">
        <f>'ENTRY DATA'!IG20</f>
        <v>-</v>
      </c>
      <c r="DQ9" s="2" t="str">
        <f>'ENTRY DATA'!IH20</f>
        <v>Pramuka</v>
      </c>
      <c r="DR9" s="2" t="str">
        <f>'ENTRY DATA'!II20</f>
        <v>B</v>
      </c>
      <c r="DS9" s="2" t="str">
        <f>'ENTRY DATA'!IJ20</f>
        <v>Aktif dalam mengikuti kegiatan</v>
      </c>
      <c r="DT9" s="2" t="str">
        <f>'ENTRY DATA'!IK20</f>
        <v>-</v>
      </c>
      <c r="DU9" s="2" t="str">
        <f>'ENTRY DATA'!IL20</f>
        <v>-</v>
      </c>
      <c r="DV9" s="2" t="str">
        <f>'ENTRY DATA'!IM20</f>
        <v>-</v>
      </c>
      <c r="DW9" s="2" t="str">
        <f>'ENTRY DATA'!IN20</f>
        <v>-</v>
      </c>
      <c r="DX9" s="2" t="str">
        <f>'ENTRY DATA'!IO20</f>
        <v>-</v>
      </c>
      <c r="DY9" s="2" t="str">
        <f>'ENTRY DATA'!IP20</f>
        <v>-</v>
      </c>
      <c r="DZ9" s="2" t="str">
        <f>'ENTRY DATA'!IQ20</f>
        <v>-</v>
      </c>
      <c r="EA9" s="2" t="str">
        <f>'ENTRY DATA'!IR20</f>
        <v>-</v>
      </c>
      <c r="EB9" s="2" t="str">
        <f>'ENTRY DATA'!IS20</f>
        <v>-</v>
      </c>
      <c r="EC9" s="2" t="str">
        <f>'ENTRY DATA'!IT20</f>
        <v>-</v>
      </c>
      <c r="ED9" s="2" t="str">
        <f>'ENTRY DATA'!IU20</f>
        <v>-</v>
      </c>
      <c r="EE9" s="2" t="str">
        <f>'ENTRY DATA'!IV20</f>
        <v>-</v>
      </c>
      <c r="EF9" s="2" t="str">
        <f>'ENTRY DATA'!IW20</f>
        <v>-</v>
      </c>
      <c r="EG9" s="2" t="str">
        <f>'ENTRY DATA'!IX20</f>
        <v>-</v>
      </c>
      <c r="EH9" s="2" t="str">
        <f>'ENTRY DATA'!IY20</f>
        <v>-</v>
      </c>
      <c r="EI9" s="2" t="str">
        <f>'ENTRY DATA'!IZ20</f>
        <v>-</v>
      </c>
      <c r="EJ9" s="2">
        <f>'ENTRY DATA'!JA20</f>
        <v>0</v>
      </c>
      <c r="EK9" s="2">
        <f>'ENTRY DATA'!JB20</f>
        <v>1</v>
      </c>
    </row>
    <row r="10" spans="1:141" x14ac:dyDescent="0.25">
      <c r="A10" s="2" t="str">
        <f t="shared" si="0"/>
        <v>MIPA</v>
      </c>
      <c r="B10" s="2" t="str">
        <f t="shared" si="1"/>
        <v>Bandung, 10 Oktober 2022</v>
      </c>
      <c r="C10" s="2" t="str">
        <f t="shared" si="2"/>
        <v>Drs. Ahmad Fathony</v>
      </c>
      <c r="D10" s="2" t="str">
        <f t="shared" si="3"/>
        <v>12345678 123456 1 123</v>
      </c>
      <c r="E10" s="2" t="str">
        <f t="shared" si="4"/>
        <v>H. Abdul Basith, M.Pd.</v>
      </c>
      <c r="F10" s="2" t="str">
        <f t="shared" si="5"/>
        <v>12341234 123123 1 234</v>
      </c>
      <c r="G10" s="74">
        <f>'ENTRY DATA'!B21</f>
        <v>0</v>
      </c>
      <c r="H10" s="74">
        <f>'ENTRY DATA'!C21</f>
        <v>0</v>
      </c>
      <c r="I10" s="74">
        <f>'ENTRY DATA'!D21</f>
        <v>0</v>
      </c>
      <c r="J10" s="74">
        <f>'ENTRY DATA'!E21</f>
        <v>0</v>
      </c>
      <c r="K10" s="7" t="str">
        <f t="shared" si="6"/>
        <v>X MIPA-1</v>
      </c>
      <c r="L10" s="7">
        <f t="shared" si="7"/>
        <v>1</v>
      </c>
      <c r="M10" s="7" t="str">
        <f t="shared" si="41"/>
        <v>Ganjil</v>
      </c>
      <c r="N10" s="7" t="str">
        <f t="shared" si="8"/>
        <v>2022/2023</v>
      </c>
      <c r="O10" s="8">
        <f t="shared" si="9"/>
        <v>75</v>
      </c>
      <c r="P10" s="8">
        <f t="shared" si="10"/>
        <v>0</v>
      </c>
      <c r="Q10" s="8" t="str">
        <f>IFERROR(ROUND('ENTRY DATA'!N21,0),"-")</f>
        <v>-</v>
      </c>
      <c r="R10" s="8" t="str">
        <f>'ENTRY DATA'!O21</f>
        <v>-</v>
      </c>
      <c r="S10" s="8" t="str">
        <f>IFERROR(ROUND('ENTRY DATA'!P21,0),"-")</f>
        <v>-</v>
      </c>
      <c r="T10" s="8" t="str">
        <f>'ENTRY DATA'!Q21</f>
        <v>-</v>
      </c>
      <c r="U10" s="7">
        <f t="shared" si="11"/>
        <v>75</v>
      </c>
      <c r="V10" s="7">
        <f t="shared" si="12"/>
        <v>0</v>
      </c>
      <c r="W10" s="7" t="str">
        <f>IFERROR(ROUND('ENTRY DATA'!Z21,0),"-")</f>
        <v>-</v>
      </c>
      <c r="X10" s="7" t="str">
        <f>'ENTRY DATA'!AA21</f>
        <v>-</v>
      </c>
      <c r="Y10" s="7" t="str">
        <f>IFERROR(ROUND('ENTRY DATA'!AB21,0),"-")</f>
        <v>-</v>
      </c>
      <c r="Z10" s="7" t="str">
        <f>'ENTRY DATA'!AC21</f>
        <v>-</v>
      </c>
      <c r="AA10" s="8">
        <f t="shared" si="13"/>
        <v>75</v>
      </c>
      <c r="AB10" s="8">
        <f t="shared" si="14"/>
        <v>0</v>
      </c>
      <c r="AC10" s="8" t="str">
        <f>IFERROR(ROUND('ENTRY DATA'!AL21,0),"-")</f>
        <v>-</v>
      </c>
      <c r="AD10" s="8" t="str">
        <f>'ENTRY DATA'!AM21</f>
        <v>-</v>
      </c>
      <c r="AE10" s="8" t="str">
        <f>IFERROR(ROUND('ENTRY DATA'!AN21,0),"-")</f>
        <v>-</v>
      </c>
      <c r="AF10" s="8" t="str">
        <f>'ENTRY DATA'!AO21</f>
        <v>-</v>
      </c>
      <c r="AG10" s="7">
        <f t="shared" si="15"/>
        <v>75</v>
      </c>
      <c r="AH10" s="7">
        <f t="shared" si="16"/>
        <v>0</v>
      </c>
      <c r="AI10" s="7" t="str">
        <f>IFERROR(ROUND('ENTRY DATA'!AX21,0),"-")</f>
        <v>-</v>
      </c>
      <c r="AJ10" s="7" t="str">
        <f>'ENTRY DATA'!AY21</f>
        <v>-</v>
      </c>
      <c r="AK10" s="7" t="str">
        <f>IFERROR(ROUND('ENTRY DATA'!AZ21,0),"-")</f>
        <v>-</v>
      </c>
      <c r="AL10" s="7" t="str">
        <f>'ENTRY DATA'!BA21</f>
        <v>-</v>
      </c>
      <c r="AM10" s="8">
        <f t="shared" si="17"/>
        <v>75</v>
      </c>
      <c r="AN10" s="8">
        <f t="shared" si="18"/>
        <v>0</v>
      </c>
      <c r="AO10" s="8" t="str">
        <f>IFERROR(ROUND('ENTRY DATA'!BJ21,0),"-")</f>
        <v>-</v>
      </c>
      <c r="AP10" s="8" t="str">
        <f>'ENTRY DATA'!BK21</f>
        <v>-</v>
      </c>
      <c r="AQ10" s="8" t="str">
        <f>IFERROR(ROUND('ENTRY DATA'!BL21,0),"-")</f>
        <v>-</v>
      </c>
      <c r="AR10" s="8" t="str">
        <f>'ENTRY DATA'!BM21</f>
        <v>-</v>
      </c>
      <c r="AS10" s="7">
        <f t="shared" si="19"/>
        <v>75</v>
      </c>
      <c r="AT10" s="7">
        <f t="shared" si="20"/>
        <v>0</v>
      </c>
      <c r="AU10" s="7" t="str">
        <f>IFERROR(ROUND('ENTRY DATA'!BV21,0),"-")</f>
        <v>-</v>
      </c>
      <c r="AV10" s="7" t="str">
        <f>'ENTRY DATA'!BW21</f>
        <v>-</v>
      </c>
      <c r="AW10" s="7" t="str">
        <f>IFERROR(ROUND('ENTRY DATA'!BX21,0),"-")</f>
        <v>-</v>
      </c>
      <c r="AX10" s="7" t="str">
        <f>'ENTRY DATA'!BY21</f>
        <v>-</v>
      </c>
      <c r="AY10" s="8">
        <f t="shared" si="21"/>
        <v>75</v>
      </c>
      <c r="AZ10" s="8">
        <f t="shared" si="22"/>
        <v>0</v>
      </c>
      <c r="BA10" s="8" t="str">
        <f>IFERROR(ROUND('ENTRY DATA'!CH21,0),"-")</f>
        <v>-</v>
      </c>
      <c r="BB10" s="8" t="str">
        <f>'ENTRY DATA'!CI21</f>
        <v>-</v>
      </c>
      <c r="BC10" s="8" t="str">
        <f>IFERROR(ROUND('ENTRY DATA'!CJ21,0),"-")</f>
        <v>-</v>
      </c>
      <c r="BD10" s="8" t="str">
        <f>'ENTRY DATA'!CK21</f>
        <v>-</v>
      </c>
      <c r="BE10" s="7">
        <f t="shared" si="23"/>
        <v>75</v>
      </c>
      <c r="BF10" s="7">
        <f t="shared" si="24"/>
        <v>0</v>
      </c>
      <c r="BG10" s="7" t="str">
        <f>IFERROR(ROUND('ENTRY DATA'!CT21,0),"-")</f>
        <v>-</v>
      </c>
      <c r="BH10" s="7" t="str">
        <f>'ENTRY DATA'!CU21</f>
        <v>-</v>
      </c>
      <c r="BI10" s="7" t="str">
        <f>IFERROR(ROUND('ENTRY DATA'!CV21,0),"-")</f>
        <v>-</v>
      </c>
      <c r="BJ10" s="7" t="str">
        <f>'ENTRY DATA'!CW21</f>
        <v>-</v>
      </c>
      <c r="BK10" s="8">
        <f t="shared" si="25"/>
        <v>75</v>
      </c>
      <c r="BL10" s="8">
        <f t="shared" si="26"/>
        <v>0</v>
      </c>
      <c r="BM10" s="8" t="str">
        <f>IFERROR(ROUND('ENTRY DATA'!DF21,0),"-")</f>
        <v>-</v>
      </c>
      <c r="BN10" s="8" t="str">
        <f>'ENTRY DATA'!DG21</f>
        <v>-</v>
      </c>
      <c r="BO10" s="8" t="str">
        <f>IFERROR(ROUND('ENTRY DATA'!DH21,0),"-")</f>
        <v>-</v>
      </c>
      <c r="BP10" s="8" t="str">
        <f>'ENTRY DATA'!DI21</f>
        <v>-</v>
      </c>
      <c r="BQ10" s="7">
        <f t="shared" si="27"/>
        <v>75</v>
      </c>
      <c r="BR10" s="7">
        <f t="shared" si="28"/>
        <v>0</v>
      </c>
      <c r="BS10" s="7" t="str">
        <f>IFERROR(ROUND('ENTRY DATA'!DR21,0),"-")</f>
        <v>-</v>
      </c>
      <c r="BT10" s="7" t="str">
        <f>'ENTRY DATA'!DS21</f>
        <v>-</v>
      </c>
      <c r="BU10" s="7" t="str">
        <f>IFERROR(ROUND('ENTRY DATA'!DT21,0),"-")</f>
        <v>-</v>
      </c>
      <c r="BV10" s="7" t="str">
        <f>'ENTRY DATA'!DU21</f>
        <v>-</v>
      </c>
      <c r="BW10" s="8" t="str">
        <f>'ENTRY DATA'!$DV$8</f>
        <v>Matematika</v>
      </c>
      <c r="BX10" s="8">
        <f t="shared" si="29"/>
        <v>75</v>
      </c>
      <c r="BY10" s="8">
        <f t="shared" si="30"/>
        <v>0</v>
      </c>
      <c r="BZ10" s="8" t="str">
        <f>IFERROR(ROUND('ENTRY DATA'!ED21,0),"-")</f>
        <v>-</v>
      </c>
      <c r="CA10" s="8" t="str">
        <f>'ENTRY DATA'!EE21</f>
        <v>-</v>
      </c>
      <c r="CB10" s="8" t="str">
        <f>IFERROR(ROUND('ENTRY DATA'!EF21,0),"-")</f>
        <v>-</v>
      </c>
      <c r="CC10" s="8" t="str">
        <f>'ENTRY DATA'!EG21</f>
        <v>-</v>
      </c>
      <c r="CD10" s="7" t="str">
        <f>'ENTRY DATA'!$EH$8</f>
        <v>Biologi</v>
      </c>
      <c r="CE10" s="7">
        <f t="shared" si="31"/>
        <v>75</v>
      </c>
      <c r="CF10" s="7">
        <f t="shared" si="32"/>
        <v>0</v>
      </c>
      <c r="CG10" s="7" t="str">
        <f>IFERROR(ROUND('ENTRY DATA'!EP21,0),"-")</f>
        <v>-</v>
      </c>
      <c r="CH10" s="7" t="str">
        <f>'ENTRY DATA'!EQ21</f>
        <v>-</v>
      </c>
      <c r="CI10" s="7" t="str">
        <f>IFERROR(ROUND('ENTRY DATA'!ER21,0),"-")</f>
        <v>-</v>
      </c>
      <c r="CJ10" s="7" t="str">
        <f>'ENTRY DATA'!ES21</f>
        <v>-</v>
      </c>
      <c r="CK10" s="8" t="str">
        <f>'ENTRY DATA'!$ET$8</f>
        <v>Fisika</v>
      </c>
      <c r="CL10" s="8">
        <f t="shared" si="33"/>
        <v>75</v>
      </c>
      <c r="CM10" s="8">
        <f t="shared" si="34"/>
        <v>0</v>
      </c>
      <c r="CN10" s="8" t="str">
        <f>IFERROR(ROUND('ENTRY DATA'!FB21,0),"-")</f>
        <v>-</v>
      </c>
      <c r="CO10" s="8" t="str">
        <f>'ENTRY DATA'!FC21</f>
        <v>-</v>
      </c>
      <c r="CP10" s="8" t="str">
        <f>IFERROR(ROUND('ENTRY DATA'!FD21,0),"-")</f>
        <v>-</v>
      </c>
      <c r="CQ10" s="8" t="str">
        <f>'ENTRY DATA'!FE21</f>
        <v>-</v>
      </c>
      <c r="CR10" s="7" t="str">
        <f>'ENTRY DATA'!$FF$8</f>
        <v>Kimia</v>
      </c>
      <c r="CS10" s="7">
        <f t="shared" si="35"/>
        <v>75</v>
      </c>
      <c r="CT10" s="7">
        <f t="shared" si="36"/>
        <v>0</v>
      </c>
      <c r="CU10" s="7" t="str">
        <f>IFERROR(ROUND('ENTRY DATA'!FN21,0),"-")</f>
        <v>-</v>
      </c>
      <c r="CV10" s="7" t="str">
        <f>'ENTRY DATA'!FO21</f>
        <v>-</v>
      </c>
      <c r="CW10" s="7" t="str">
        <f>IFERROR(ROUND('ENTRY DATA'!FP21,0),"-")</f>
        <v>-</v>
      </c>
      <c r="CX10" s="7" t="str">
        <f>'ENTRY DATA'!FQ21</f>
        <v>-</v>
      </c>
      <c r="CY10" s="8" t="str">
        <f>'ENTRY DATA'!$FR$8</f>
        <v>-</v>
      </c>
      <c r="CZ10" s="8">
        <f t="shared" si="37"/>
        <v>75</v>
      </c>
      <c r="DA10" s="8">
        <f t="shared" si="38"/>
        <v>0</v>
      </c>
      <c r="DB10" s="8" t="str">
        <f>IFERROR(ROUND('ENTRY DATA'!FZ21,0),"-")</f>
        <v>-</v>
      </c>
      <c r="DC10" s="8" t="str">
        <f>'ENTRY DATA'!GA21</f>
        <v>-</v>
      </c>
      <c r="DD10" s="8" t="str">
        <f>IFERROR(ROUND('ENTRY DATA'!GB21,0),"-")</f>
        <v>-</v>
      </c>
      <c r="DE10" s="8" t="str">
        <f>'ENTRY DATA'!GC21</f>
        <v>-</v>
      </c>
      <c r="DF10" s="7" t="str">
        <f>'ENTRY DATA'!$GD$8</f>
        <v>-</v>
      </c>
      <c r="DG10" s="7">
        <f t="shared" si="39"/>
        <v>75</v>
      </c>
      <c r="DH10" s="7">
        <f t="shared" si="40"/>
        <v>0</v>
      </c>
      <c r="DI10" s="7" t="str">
        <f>IFERROR(ROUND('ENTRY DATA'!GL21,0),"-")</f>
        <v>-</v>
      </c>
      <c r="DJ10" s="7" t="str">
        <f>'ENTRY DATA'!GM21</f>
        <v>-</v>
      </c>
      <c r="DK10" s="7" t="str">
        <f>IFERROR(ROUND('ENTRY DATA'!GN21,0),"-")</f>
        <v>-</v>
      </c>
      <c r="DL10" s="7" t="str">
        <f>'ENTRY DATA'!GO21</f>
        <v>-</v>
      </c>
      <c r="DM10" s="16" t="str">
        <f>'ENTRY DATA'!HJ21</f>
        <v>-</v>
      </c>
      <c r="DN10" s="16" t="str">
        <f>'ENTRY DATA'!HK21</f>
        <v>-</v>
      </c>
      <c r="DO10" s="16" t="str">
        <f>'ENTRY DATA'!IF21</f>
        <v>-</v>
      </c>
      <c r="DP10" s="16" t="str">
        <f>'ENTRY DATA'!IG21</f>
        <v>-</v>
      </c>
      <c r="DQ10" s="2" t="str">
        <f>'ENTRY DATA'!IH21</f>
        <v>Pramuka</v>
      </c>
      <c r="DR10" s="2" t="str">
        <f>'ENTRY DATA'!II21</f>
        <v>B</v>
      </c>
      <c r="DS10" s="2" t="str">
        <f>'ENTRY DATA'!IJ21</f>
        <v>Aktif dalam mengikuti kegiatan</v>
      </c>
      <c r="DT10" s="2" t="str">
        <f>'ENTRY DATA'!IK21</f>
        <v>-</v>
      </c>
      <c r="DU10" s="2" t="str">
        <f>'ENTRY DATA'!IL21</f>
        <v>-</v>
      </c>
      <c r="DV10" s="2" t="str">
        <f>'ENTRY DATA'!IM21</f>
        <v>-</v>
      </c>
      <c r="DW10" s="2" t="str">
        <f>'ENTRY DATA'!IN21</f>
        <v>-</v>
      </c>
      <c r="DX10" s="2" t="str">
        <f>'ENTRY DATA'!IO21</f>
        <v>-</v>
      </c>
      <c r="DY10" s="2" t="str">
        <f>'ENTRY DATA'!IP21</f>
        <v>-</v>
      </c>
      <c r="DZ10" s="2" t="str">
        <f>'ENTRY DATA'!IQ21</f>
        <v>-</v>
      </c>
      <c r="EA10" s="2" t="str">
        <f>'ENTRY DATA'!IR21</f>
        <v>-</v>
      </c>
      <c r="EB10" s="2" t="str">
        <f>'ENTRY DATA'!IS21</f>
        <v>-</v>
      </c>
      <c r="EC10" s="2" t="str">
        <f>'ENTRY DATA'!IT21</f>
        <v>-</v>
      </c>
      <c r="ED10" s="2" t="str">
        <f>'ENTRY DATA'!IU21</f>
        <v>-</v>
      </c>
      <c r="EE10" s="2" t="str">
        <f>'ENTRY DATA'!IV21</f>
        <v>-</v>
      </c>
      <c r="EF10" s="2" t="str">
        <f>'ENTRY DATA'!IW21</f>
        <v>-</v>
      </c>
      <c r="EG10" s="2" t="str">
        <f>'ENTRY DATA'!IX21</f>
        <v>-</v>
      </c>
      <c r="EH10" s="2" t="str">
        <f>'ENTRY DATA'!IY21</f>
        <v>-</v>
      </c>
      <c r="EI10" s="2" t="str">
        <f>'ENTRY DATA'!IZ21</f>
        <v>-</v>
      </c>
      <c r="EJ10" s="2">
        <f>'ENTRY DATA'!JA21</f>
        <v>0</v>
      </c>
      <c r="EK10" s="2">
        <f>'ENTRY DATA'!JB21</f>
        <v>1</v>
      </c>
    </row>
    <row r="11" spans="1:141" x14ac:dyDescent="0.25">
      <c r="A11" s="2" t="str">
        <f t="shared" si="0"/>
        <v>MIPA</v>
      </c>
      <c r="B11" s="2" t="str">
        <f t="shared" si="1"/>
        <v>Bandung, 10 Oktober 2022</v>
      </c>
      <c r="C11" s="2" t="str">
        <f t="shared" si="2"/>
        <v>Drs. Ahmad Fathony</v>
      </c>
      <c r="D11" s="2" t="str">
        <f t="shared" si="3"/>
        <v>12345678 123456 1 123</v>
      </c>
      <c r="E11" s="2" t="str">
        <f t="shared" si="4"/>
        <v>H. Abdul Basith, M.Pd.</v>
      </c>
      <c r="F11" s="2" t="str">
        <f t="shared" si="5"/>
        <v>12341234 123123 1 234</v>
      </c>
      <c r="G11" s="74">
        <f>'ENTRY DATA'!B22</f>
        <v>0</v>
      </c>
      <c r="H11" s="74">
        <f>'ENTRY DATA'!C22</f>
        <v>0</v>
      </c>
      <c r="I11" s="74">
        <f>'ENTRY DATA'!D22</f>
        <v>0</v>
      </c>
      <c r="J11" s="74">
        <f>'ENTRY DATA'!E22</f>
        <v>0</v>
      </c>
      <c r="K11" s="7" t="str">
        <f t="shared" si="6"/>
        <v>X MIPA-1</v>
      </c>
      <c r="L11" s="7">
        <f t="shared" si="7"/>
        <v>1</v>
      </c>
      <c r="M11" s="7" t="str">
        <f t="shared" si="41"/>
        <v>Ganjil</v>
      </c>
      <c r="N11" s="7" t="str">
        <f t="shared" si="8"/>
        <v>2022/2023</v>
      </c>
      <c r="O11" s="8">
        <f t="shared" si="9"/>
        <v>75</v>
      </c>
      <c r="P11" s="8">
        <f t="shared" si="10"/>
        <v>0</v>
      </c>
      <c r="Q11" s="8" t="str">
        <f>IFERROR(ROUND('ENTRY DATA'!N22,0),"-")</f>
        <v>-</v>
      </c>
      <c r="R11" s="8" t="str">
        <f>'ENTRY DATA'!O22</f>
        <v>-</v>
      </c>
      <c r="S11" s="8" t="str">
        <f>IFERROR(ROUND('ENTRY DATA'!P22,0),"-")</f>
        <v>-</v>
      </c>
      <c r="T11" s="8" t="str">
        <f>'ENTRY DATA'!Q22</f>
        <v>-</v>
      </c>
      <c r="U11" s="7">
        <f t="shared" si="11"/>
        <v>75</v>
      </c>
      <c r="V11" s="7">
        <f t="shared" si="12"/>
        <v>0</v>
      </c>
      <c r="W11" s="7" t="str">
        <f>IFERROR(ROUND('ENTRY DATA'!Z22,0),"-")</f>
        <v>-</v>
      </c>
      <c r="X11" s="7" t="str">
        <f>'ENTRY DATA'!AA22</f>
        <v>-</v>
      </c>
      <c r="Y11" s="7" t="str">
        <f>IFERROR(ROUND('ENTRY DATA'!AB22,0),"-")</f>
        <v>-</v>
      </c>
      <c r="Z11" s="7" t="str">
        <f>'ENTRY DATA'!AC22</f>
        <v>-</v>
      </c>
      <c r="AA11" s="8">
        <f t="shared" si="13"/>
        <v>75</v>
      </c>
      <c r="AB11" s="8">
        <f t="shared" si="14"/>
        <v>0</v>
      </c>
      <c r="AC11" s="8" t="str">
        <f>IFERROR(ROUND('ENTRY DATA'!AL22,0),"-")</f>
        <v>-</v>
      </c>
      <c r="AD11" s="8" t="str">
        <f>'ENTRY DATA'!AM22</f>
        <v>-</v>
      </c>
      <c r="AE11" s="8" t="str">
        <f>IFERROR(ROUND('ENTRY DATA'!AN22,0),"-")</f>
        <v>-</v>
      </c>
      <c r="AF11" s="8" t="str">
        <f>'ENTRY DATA'!AO22</f>
        <v>-</v>
      </c>
      <c r="AG11" s="7">
        <f t="shared" si="15"/>
        <v>75</v>
      </c>
      <c r="AH11" s="7">
        <f t="shared" si="16"/>
        <v>0</v>
      </c>
      <c r="AI11" s="7" t="str">
        <f>IFERROR(ROUND('ENTRY DATA'!AX22,0),"-")</f>
        <v>-</v>
      </c>
      <c r="AJ11" s="7" t="str">
        <f>'ENTRY DATA'!AY22</f>
        <v>-</v>
      </c>
      <c r="AK11" s="7" t="str">
        <f>IFERROR(ROUND('ENTRY DATA'!AZ22,0),"-")</f>
        <v>-</v>
      </c>
      <c r="AL11" s="7" t="str">
        <f>'ENTRY DATA'!BA22</f>
        <v>-</v>
      </c>
      <c r="AM11" s="8">
        <f t="shared" si="17"/>
        <v>75</v>
      </c>
      <c r="AN11" s="8">
        <f t="shared" si="18"/>
        <v>0</v>
      </c>
      <c r="AO11" s="8" t="str">
        <f>IFERROR(ROUND('ENTRY DATA'!BJ22,0),"-")</f>
        <v>-</v>
      </c>
      <c r="AP11" s="8" t="str">
        <f>'ENTRY DATA'!BK22</f>
        <v>-</v>
      </c>
      <c r="AQ11" s="8" t="str">
        <f>IFERROR(ROUND('ENTRY DATA'!BL22,0),"-")</f>
        <v>-</v>
      </c>
      <c r="AR11" s="8" t="str">
        <f>'ENTRY DATA'!BM22</f>
        <v>-</v>
      </c>
      <c r="AS11" s="7">
        <f t="shared" si="19"/>
        <v>75</v>
      </c>
      <c r="AT11" s="7">
        <f t="shared" si="20"/>
        <v>0</v>
      </c>
      <c r="AU11" s="7" t="str">
        <f>IFERROR(ROUND('ENTRY DATA'!BV22,0),"-")</f>
        <v>-</v>
      </c>
      <c r="AV11" s="7" t="str">
        <f>'ENTRY DATA'!BW22</f>
        <v>-</v>
      </c>
      <c r="AW11" s="7" t="str">
        <f>IFERROR(ROUND('ENTRY DATA'!BX22,0),"-")</f>
        <v>-</v>
      </c>
      <c r="AX11" s="7" t="str">
        <f>'ENTRY DATA'!BY22</f>
        <v>-</v>
      </c>
      <c r="AY11" s="8">
        <f t="shared" si="21"/>
        <v>75</v>
      </c>
      <c r="AZ11" s="8">
        <f t="shared" si="22"/>
        <v>0</v>
      </c>
      <c r="BA11" s="8" t="str">
        <f>IFERROR(ROUND('ENTRY DATA'!CH22,0),"-")</f>
        <v>-</v>
      </c>
      <c r="BB11" s="8" t="str">
        <f>'ENTRY DATA'!CI22</f>
        <v>-</v>
      </c>
      <c r="BC11" s="8" t="str">
        <f>IFERROR(ROUND('ENTRY DATA'!CJ22,0),"-")</f>
        <v>-</v>
      </c>
      <c r="BD11" s="8" t="str">
        <f>'ENTRY DATA'!CK22</f>
        <v>-</v>
      </c>
      <c r="BE11" s="7">
        <f t="shared" si="23"/>
        <v>75</v>
      </c>
      <c r="BF11" s="7">
        <f t="shared" si="24"/>
        <v>0</v>
      </c>
      <c r="BG11" s="7" t="str">
        <f>IFERROR(ROUND('ENTRY DATA'!CT22,0),"-")</f>
        <v>-</v>
      </c>
      <c r="BH11" s="7" t="str">
        <f>'ENTRY DATA'!CU22</f>
        <v>-</v>
      </c>
      <c r="BI11" s="7" t="str">
        <f>IFERROR(ROUND('ENTRY DATA'!CV22,0),"-")</f>
        <v>-</v>
      </c>
      <c r="BJ11" s="7" t="str">
        <f>'ENTRY DATA'!CW22</f>
        <v>-</v>
      </c>
      <c r="BK11" s="8">
        <f t="shared" si="25"/>
        <v>75</v>
      </c>
      <c r="BL11" s="8">
        <f t="shared" si="26"/>
        <v>0</v>
      </c>
      <c r="BM11" s="8" t="str">
        <f>IFERROR(ROUND('ENTRY DATA'!DF22,0),"-")</f>
        <v>-</v>
      </c>
      <c r="BN11" s="8" t="str">
        <f>'ENTRY DATA'!DG22</f>
        <v>-</v>
      </c>
      <c r="BO11" s="8" t="str">
        <f>IFERROR(ROUND('ENTRY DATA'!DH22,0),"-")</f>
        <v>-</v>
      </c>
      <c r="BP11" s="8" t="str">
        <f>'ENTRY DATA'!DI22</f>
        <v>-</v>
      </c>
      <c r="BQ11" s="7">
        <f t="shared" si="27"/>
        <v>75</v>
      </c>
      <c r="BR11" s="7">
        <f t="shared" si="28"/>
        <v>0</v>
      </c>
      <c r="BS11" s="7" t="str">
        <f>IFERROR(ROUND('ENTRY DATA'!DR22,0),"-")</f>
        <v>-</v>
      </c>
      <c r="BT11" s="7" t="str">
        <f>'ENTRY DATA'!DS22</f>
        <v>-</v>
      </c>
      <c r="BU11" s="7" t="str">
        <f>IFERROR(ROUND('ENTRY DATA'!DT22,0),"-")</f>
        <v>-</v>
      </c>
      <c r="BV11" s="7" t="str">
        <f>'ENTRY DATA'!DU22</f>
        <v>-</v>
      </c>
      <c r="BW11" s="8" t="str">
        <f>'ENTRY DATA'!$DV$8</f>
        <v>Matematika</v>
      </c>
      <c r="BX11" s="8">
        <f t="shared" si="29"/>
        <v>75</v>
      </c>
      <c r="BY11" s="8">
        <f t="shared" si="30"/>
        <v>0</v>
      </c>
      <c r="BZ11" s="8" t="str">
        <f>IFERROR(ROUND('ENTRY DATA'!ED22,0),"-")</f>
        <v>-</v>
      </c>
      <c r="CA11" s="8" t="str">
        <f>'ENTRY DATA'!EE22</f>
        <v>-</v>
      </c>
      <c r="CB11" s="8" t="str">
        <f>IFERROR(ROUND('ENTRY DATA'!EF22,0),"-")</f>
        <v>-</v>
      </c>
      <c r="CC11" s="8" t="str">
        <f>'ENTRY DATA'!EG22</f>
        <v>-</v>
      </c>
      <c r="CD11" s="7" t="str">
        <f>'ENTRY DATA'!$EH$8</f>
        <v>Biologi</v>
      </c>
      <c r="CE11" s="7">
        <f t="shared" si="31"/>
        <v>75</v>
      </c>
      <c r="CF11" s="7">
        <f t="shared" si="32"/>
        <v>0</v>
      </c>
      <c r="CG11" s="7" t="str">
        <f>IFERROR(ROUND('ENTRY DATA'!EP22,0),"-")</f>
        <v>-</v>
      </c>
      <c r="CH11" s="7" t="str">
        <f>'ENTRY DATA'!EQ22</f>
        <v>-</v>
      </c>
      <c r="CI11" s="7" t="str">
        <f>IFERROR(ROUND('ENTRY DATA'!ER22,0),"-")</f>
        <v>-</v>
      </c>
      <c r="CJ11" s="7" t="str">
        <f>'ENTRY DATA'!ES22</f>
        <v>-</v>
      </c>
      <c r="CK11" s="8" t="str">
        <f>'ENTRY DATA'!$ET$8</f>
        <v>Fisika</v>
      </c>
      <c r="CL11" s="8">
        <f t="shared" si="33"/>
        <v>75</v>
      </c>
      <c r="CM11" s="8">
        <f t="shared" si="34"/>
        <v>0</v>
      </c>
      <c r="CN11" s="8" t="str">
        <f>IFERROR(ROUND('ENTRY DATA'!FB22,0),"-")</f>
        <v>-</v>
      </c>
      <c r="CO11" s="8" t="str">
        <f>'ENTRY DATA'!FC22</f>
        <v>-</v>
      </c>
      <c r="CP11" s="8" t="str">
        <f>IFERROR(ROUND('ENTRY DATA'!FD22,0),"-")</f>
        <v>-</v>
      </c>
      <c r="CQ11" s="8" t="str">
        <f>'ENTRY DATA'!FE22</f>
        <v>-</v>
      </c>
      <c r="CR11" s="7" t="str">
        <f>'ENTRY DATA'!$FF$8</f>
        <v>Kimia</v>
      </c>
      <c r="CS11" s="7">
        <f t="shared" si="35"/>
        <v>75</v>
      </c>
      <c r="CT11" s="7">
        <f t="shared" si="36"/>
        <v>0</v>
      </c>
      <c r="CU11" s="7" t="str">
        <f>IFERROR(ROUND('ENTRY DATA'!FN22,0),"-")</f>
        <v>-</v>
      </c>
      <c r="CV11" s="7" t="str">
        <f>'ENTRY DATA'!FO22</f>
        <v>-</v>
      </c>
      <c r="CW11" s="7" t="str">
        <f>IFERROR(ROUND('ENTRY DATA'!FP22,0),"-")</f>
        <v>-</v>
      </c>
      <c r="CX11" s="7" t="str">
        <f>'ENTRY DATA'!FQ22</f>
        <v>-</v>
      </c>
      <c r="CY11" s="8" t="str">
        <f>'ENTRY DATA'!$FR$8</f>
        <v>-</v>
      </c>
      <c r="CZ11" s="8">
        <f t="shared" si="37"/>
        <v>75</v>
      </c>
      <c r="DA11" s="8">
        <f t="shared" si="38"/>
        <v>0</v>
      </c>
      <c r="DB11" s="8" t="str">
        <f>IFERROR(ROUND('ENTRY DATA'!FZ22,0),"-")</f>
        <v>-</v>
      </c>
      <c r="DC11" s="8" t="str">
        <f>'ENTRY DATA'!GA22</f>
        <v>-</v>
      </c>
      <c r="DD11" s="8" t="str">
        <f>IFERROR(ROUND('ENTRY DATA'!GB22,0),"-")</f>
        <v>-</v>
      </c>
      <c r="DE11" s="8" t="str">
        <f>'ENTRY DATA'!GC22</f>
        <v>-</v>
      </c>
      <c r="DF11" s="7" t="str">
        <f>'ENTRY DATA'!$GD$8</f>
        <v>-</v>
      </c>
      <c r="DG11" s="7">
        <f t="shared" si="39"/>
        <v>75</v>
      </c>
      <c r="DH11" s="7">
        <f t="shared" si="40"/>
        <v>0</v>
      </c>
      <c r="DI11" s="7" t="str">
        <f>IFERROR(ROUND('ENTRY DATA'!GL22,0),"-")</f>
        <v>-</v>
      </c>
      <c r="DJ11" s="7" t="str">
        <f>'ENTRY DATA'!GM22</f>
        <v>-</v>
      </c>
      <c r="DK11" s="7" t="str">
        <f>IFERROR(ROUND('ENTRY DATA'!GN22,0),"-")</f>
        <v>-</v>
      </c>
      <c r="DL11" s="7" t="str">
        <f>'ENTRY DATA'!GO22</f>
        <v>-</v>
      </c>
      <c r="DM11" s="16" t="str">
        <f>'ENTRY DATA'!HJ22</f>
        <v>-</v>
      </c>
      <c r="DN11" s="16" t="str">
        <f>'ENTRY DATA'!HK22</f>
        <v>-</v>
      </c>
      <c r="DO11" s="16" t="str">
        <f>'ENTRY DATA'!IF22</f>
        <v>-</v>
      </c>
      <c r="DP11" s="16" t="str">
        <f>'ENTRY DATA'!IG22</f>
        <v>-</v>
      </c>
      <c r="DQ11" s="2" t="str">
        <f>'ENTRY DATA'!IH22</f>
        <v>Pramuka</v>
      </c>
      <c r="DR11" s="2" t="str">
        <f>'ENTRY DATA'!II22</f>
        <v>B</v>
      </c>
      <c r="DS11" s="2" t="str">
        <f>'ENTRY DATA'!IJ22</f>
        <v>Aktif dalam mengikuti kegiatan</v>
      </c>
      <c r="DT11" s="2" t="str">
        <f>'ENTRY DATA'!IK22</f>
        <v>-</v>
      </c>
      <c r="DU11" s="2" t="str">
        <f>'ENTRY DATA'!IL22</f>
        <v>-</v>
      </c>
      <c r="DV11" s="2" t="str">
        <f>'ENTRY DATA'!IM22</f>
        <v>-</v>
      </c>
      <c r="DW11" s="2" t="str">
        <f>'ENTRY DATA'!IN22</f>
        <v>-</v>
      </c>
      <c r="DX11" s="2" t="str">
        <f>'ENTRY DATA'!IO22</f>
        <v>-</v>
      </c>
      <c r="DY11" s="2" t="str">
        <f>'ENTRY DATA'!IP22</f>
        <v>-</v>
      </c>
      <c r="DZ11" s="2" t="str">
        <f>'ENTRY DATA'!IQ22</f>
        <v>-</v>
      </c>
      <c r="EA11" s="2" t="str">
        <f>'ENTRY DATA'!IR22</f>
        <v>-</v>
      </c>
      <c r="EB11" s="2" t="str">
        <f>'ENTRY DATA'!IS22</f>
        <v>-</v>
      </c>
      <c r="EC11" s="2" t="str">
        <f>'ENTRY DATA'!IT22</f>
        <v>-</v>
      </c>
      <c r="ED11" s="2" t="str">
        <f>'ENTRY DATA'!IU22</f>
        <v>-</v>
      </c>
      <c r="EE11" s="2" t="str">
        <f>'ENTRY DATA'!IV22</f>
        <v>-</v>
      </c>
      <c r="EF11" s="2" t="str">
        <f>'ENTRY DATA'!IW22</f>
        <v>-</v>
      </c>
      <c r="EG11" s="2" t="str">
        <f>'ENTRY DATA'!IX22</f>
        <v>-</v>
      </c>
      <c r="EH11" s="2" t="str">
        <f>'ENTRY DATA'!IY22</f>
        <v>-</v>
      </c>
      <c r="EI11" s="2" t="str">
        <f>'ENTRY DATA'!IZ22</f>
        <v>-</v>
      </c>
      <c r="EJ11" s="2">
        <f>'ENTRY DATA'!JA22</f>
        <v>0</v>
      </c>
      <c r="EK11" s="2">
        <f>'ENTRY DATA'!JB22</f>
        <v>1</v>
      </c>
    </row>
    <row r="12" spans="1:141" x14ac:dyDescent="0.25">
      <c r="A12" s="2" t="str">
        <f t="shared" si="0"/>
        <v>MIPA</v>
      </c>
      <c r="B12" s="2" t="str">
        <f t="shared" si="1"/>
        <v>Bandung, 10 Oktober 2022</v>
      </c>
      <c r="C12" s="2" t="str">
        <f t="shared" si="2"/>
        <v>Drs. Ahmad Fathony</v>
      </c>
      <c r="D12" s="2" t="str">
        <f t="shared" si="3"/>
        <v>12345678 123456 1 123</v>
      </c>
      <c r="E12" s="2" t="str">
        <f t="shared" si="4"/>
        <v>H. Abdul Basith, M.Pd.</v>
      </c>
      <c r="F12" s="2" t="str">
        <f t="shared" si="5"/>
        <v>12341234 123123 1 234</v>
      </c>
      <c r="G12" s="74">
        <f>'ENTRY DATA'!B23</f>
        <v>0</v>
      </c>
      <c r="H12" s="74">
        <f>'ENTRY DATA'!C23</f>
        <v>0</v>
      </c>
      <c r="I12" s="74">
        <f>'ENTRY DATA'!D23</f>
        <v>0</v>
      </c>
      <c r="J12" s="74">
        <f>'ENTRY DATA'!E23</f>
        <v>0</v>
      </c>
      <c r="K12" s="7" t="str">
        <f t="shared" si="6"/>
        <v>X MIPA-1</v>
      </c>
      <c r="L12" s="7">
        <f t="shared" si="7"/>
        <v>1</v>
      </c>
      <c r="M12" s="7" t="str">
        <f t="shared" si="41"/>
        <v>Ganjil</v>
      </c>
      <c r="N12" s="7" t="str">
        <f t="shared" si="8"/>
        <v>2022/2023</v>
      </c>
      <c r="O12" s="8">
        <f t="shared" si="9"/>
        <v>75</v>
      </c>
      <c r="P12" s="8">
        <f t="shared" si="10"/>
        <v>0</v>
      </c>
      <c r="Q12" s="8" t="str">
        <f>IFERROR(ROUND('ENTRY DATA'!N23,0),"-")</f>
        <v>-</v>
      </c>
      <c r="R12" s="8" t="str">
        <f>'ENTRY DATA'!O23</f>
        <v>-</v>
      </c>
      <c r="S12" s="8" t="str">
        <f>IFERROR(ROUND('ENTRY DATA'!P23,0),"-")</f>
        <v>-</v>
      </c>
      <c r="T12" s="8" t="str">
        <f>'ENTRY DATA'!Q23</f>
        <v>-</v>
      </c>
      <c r="U12" s="7">
        <f t="shared" si="11"/>
        <v>75</v>
      </c>
      <c r="V12" s="7">
        <f t="shared" si="12"/>
        <v>0</v>
      </c>
      <c r="W12" s="7" t="str">
        <f>IFERROR(ROUND('ENTRY DATA'!Z23,0),"-")</f>
        <v>-</v>
      </c>
      <c r="X12" s="7" t="str">
        <f>'ENTRY DATA'!AA23</f>
        <v>-</v>
      </c>
      <c r="Y12" s="7" t="str">
        <f>IFERROR(ROUND('ENTRY DATA'!AB23,0),"-")</f>
        <v>-</v>
      </c>
      <c r="Z12" s="7" t="str">
        <f>'ENTRY DATA'!AC23</f>
        <v>-</v>
      </c>
      <c r="AA12" s="8">
        <f t="shared" si="13"/>
        <v>75</v>
      </c>
      <c r="AB12" s="8">
        <f t="shared" si="14"/>
        <v>0</v>
      </c>
      <c r="AC12" s="8" t="str">
        <f>IFERROR(ROUND('ENTRY DATA'!AL23,0),"-")</f>
        <v>-</v>
      </c>
      <c r="AD12" s="8" t="str">
        <f>'ENTRY DATA'!AM23</f>
        <v>-</v>
      </c>
      <c r="AE12" s="8" t="str">
        <f>IFERROR(ROUND('ENTRY DATA'!AN23,0),"-")</f>
        <v>-</v>
      </c>
      <c r="AF12" s="8" t="str">
        <f>'ENTRY DATA'!AO23</f>
        <v>-</v>
      </c>
      <c r="AG12" s="7">
        <f t="shared" si="15"/>
        <v>75</v>
      </c>
      <c r="AH12" s="7">
        <f t="shared" si="16"/>
        <v>0</v>
      </c>
      <c r="AI12" s="7" t="str">
        <f>IFERROR(ROUND('ENTRY DATA'!AX23,0),"-")</f>
        <v>-</v>
      </c>
      <c r="AJ12" s="7" t="str">
        <f>'ENTRY DATA'!AY23</f>
        <v>-</v>
      </c>
      <c r="AK12" s="7" t="str">
        <f>IFERROR(ROUND('ENTRY DATA'!AZ23,0),"-")</f>
        <v>-</v>
      </c>
      <c r="AL12" s="7" t="str">
        <f>'ENTRY DATA'!BA23</f>
        <v>-</v>
      </c>
      <c r="AM12" s="8">
        <f t="shared" si="17"/>
        <v>75</v>
      </c>
      <c r="AN12" s="8">
        <f t="shared" si="18"/>
        <v>0</v>
      </c>
      <c r="AO12" s="8" t="str">
        <f>IFERROR(ROUND('ENTRY DATA'!BJ23,0),"-")</f>
        <v>-</v>
      </c>
      <c r="AP12" s="8" t="str">
        <f>'ENTRY DATA'!BK23</f>
        <v>-</v>
      </c>
      <c r="AQ12" s="8" t="str">
        <f>IFERROR(ROUND('ENTRY DATA'!BL23,0),"-")</f>
        <v>-</v>
      </c>
      <c r="AR12" s="8" t="str">
        <f>'ENTRY DATA'!BM23</f>
        <v>-</v>
      </c>
      <c r="AS12" s="7">
        <f t="shared" si="19"/>
        <v>75</v>
      </c>
      <c r="AT12" s="7">
        <f t="shared" si="20"/>
        <v>0</v>
      </c>
      <c r="AU12" s="7" t="str">
        <f>IFERROR(ROUND('ENTRY DATA'!BV23,0),"-")</f>
        <v>-</v>
      </c>
      <c r="AV12" s="7" t="str">
        <f>'ENTRY DATA'!BW23</f>
        <v>-</v>
      </c>
      <c r="AW12" s="7" t="str">
        <f>IFERROR(ROUND('ENTRY DATA'!BX23,0),"-")</f>
        <v>-</v>
      </c>
      <c r="AX12" s="7" t="str">
        <f>'ENTRY DATA'!BY23</f>
        <v>-</v>
      </c>
      <c r="AY12" s="8">
        <f t="shared" si="21"/>
        <v>75</v>
      </c>
      <c r="AZ12" s="8">
        <f t="shared" si="22"/>
        <v>0</v>
      </c>
      <c r="BA12" s="8" t="str">
        <f>IFERROR(ROUND('ENTRY DATA'!CH23,0),"-")</f>
        <v>-</v>
      </c>
      <c r="BB12" s="8" t="str">
        <f>'ENTRY DATA'!CI23</f>
        <v>-</v>
      </c>
      <c r="BC12" s="8" t="str">
        <f>IFERROR(ROUND('ENTRY DATA'!CJ23,0),"-")</f>
        <v>-</v>
      </c>
      <c r="BD12" s="8" t="str">
        <f>'ENTRY DATA'!CK23</f>
        <v>-</v>
      </c>
      <c r="BE12" s="7">
        <f t="shared" si="23"/>
        <v>75</v>
      </c>
      <c r="BF12" s="7">
        <f t="shared" si="24"/>
        <v>0</v>
      </c>
      <c r="BG12" s="7" t="str">
        <f>IFERROR(ROUND('ENTRY DATA'!CT23,0),"-")</f>
        <v>-</v>
      </c>
      <c r="BH12" s="7" t="str">
        <f>'ENTRY DATA'!CU23</f>
        <v>-</v>
      </c>
      <c r="BI12" s="7" t="str">
        <f>IFERROR(ROUND('ENTRY DATA'!CV23,0),"-")</f>
        <v>-</v>
      </c>
      <c r="BJ12" s="7" t="str">
        <f>'ENTRY DATA'!CW23</f>
        <v>-</v>
      </c>
      <c r="BK12" s="8">
        <f t="shared" si="25"/>
        <v>75</v>
      </c>
      <c r="BL12" s="8">
        <f t="shared" si="26"/>
        <v>0</v>
      </c>
      <c r="BM12" s="8" t="str">
        <f>IFERROR(ROUND('ENTRY DATA'!DF23,0),"-")</f>
        <v>-</v>
      </c>
      <c r="BN12" s="8" t="str">
        <f>'ENTRY DATA'!DG23</f>
        <v>-</v>
      </c>
      <c r="BO12" s="8" t="str">
        <f>IFERROR(ROUND('ENTRY DATA'!DH23,0),"-")</f>
        <v>-</v>
      </c>
      <c r="BP12" s="8" t="str">
        <f>'ENTRY DATA'!DI23</f>
        <v>-</v>
      </c>
      <c r="BQ12" s="7">
        <f t="shared" si="27"/>
        <v>75</v>
      </c>
      <c r="BR12" s="7">
        <f t="shared" si="28"/>
        <v>0</v>
      </c>
      <c r="BS12" s="7" t="str">
        <f>IFERROR(ROUND('ENTRY DATA'!DR23,0),"-")</f>
        <v>-</v>
      </c>
      <c r="BT12" s="7" t="str">
        <f>'ENTRY DATA'!DS23</f>
        <v>-</v>
      </c>
      <c r="BU12" s="7" t="str">
        <f>IFERROR(ROUND('ENTRY DATA'!DT23,0),"-")</f>
        <v>-</v>
      </c>
      <c r="BV12" s="7" t="str">
        <f>'ENTRY DATA'!DU23</f>
        <v>-</v>
      </c>
      <c r="BW12" s="8" t="str">
        <f>'ENTRY DATA'!$DV$8</f>
        <v>Matematika</v>
      </c>
      <c r="BX12" s="8">
        <f t="shared" si="29"/>
        <v>75</v>
      </c>
      <c r="BY12" s="8">
        <f t="shared" si="30"/>
        <v>0</v>
      </c>
      <c r="BZ12" s="8" t="str">
        <f>IFERROR(ROUND('ENTRY DATA'!ED23,0),"-")</f>
        <v>-</v>
      </c>
      <c r="CA12" s="8" t="str">
        <f>'ENTRY DATA'!EE23</f>
        <v>-</v>
      </c>
      <c r="CB12" s="8" t="str">
        <f>IFERROR(ROUND('ENTRY DATA'!EF23,0),"-")</f>
        <v>-</v>
      </c>
      <c r="CC12" s="8" t="str">
        <f>'ENTRY DATA'!EG23</f>
        <v>-</v>
      </c>
      <c r="CD12" s="7" t="str">
        <f>'ENTRY DATA'!$EH$8</f>
        <v>Biologi</v>
      </c>
      <c r="CE12" s="7">
        <f t="shared" si="31"/>
        <v>75</v>
      </c>
      <c r="CF12" s="7">
        <f t="shared" si="32"/>
        <v>0</v>
      </c>
      <c r="CG12" s="7" t="str">
        <f>IFERROR(ROUND('ENTRY DATA'!EP23,0),"-")</f>
        <v>-</v>
      </c>
      <c r="CH12" s="7" t="str">
        <f>'ENTRY DATA'!EQ23</f>
        <v>-</v>
      </c>
      <c r="CI12" s="7" t="str">
        <f>IFERROR(ROUND('ENTRY DATA'!ER23,0),"-")</f>
        <v>-</v>
      </c>
      <c r="CJ12" s="7" t="str">
        <f>'ENTRY DATA'!ES23</f>
        <v>-</v>
      </c>
      <c r="CK12" s="8" t="str">
        <f>'ENTRY DATA'!$ET$8</f>
        <v>Fisika</v>
      </c>
      <c r="CL12" s="8">
        <f t="shared" si="33"/>
        <v>75</v>
      </c>
      <c r="CM12" s="8">
        <f t="shared" si="34"/>
        <v>0</v>
      </c>
      <c r="CN12" s="8" t="str">
        <f>IFERROR(ROUND('ENTRY DATA'!FB23,0),"-")</f>
        <v>-</v>
      </c>
      <c r="CO12" s="8" t="str">
        <f>'ENTRY DATA'!FC23</f>
        <v>-</v>
      </c>
      <c r="CP12" s="8" t="str">
        <f>IFERROR(ROUND('ENTRY DATA'!FD23,0),"-")</f>
        <v>-</v>
      </c>
      <c r="CQ12" s="8" t="str">
        <f>'ENTRY DATA'!FE23</f>
        <v>-</v>
      </c>
      <c r="CR12" s="7" t="str">
        <f>'ENTRY DATA'!$FF$8</f>
        <v>Kimia</v>
      </c>
      <c r="CS12" s="7">
        <f t="shared" si="35"/>
        <v>75</v>
      </c>
      <c r="CT12" s="7">
        <f t="shared" si="36"/>
        <v>0</v>
      </c>
      <c r="CU12" s="7" t="str">
        <f>IFERROR(ROUND('ENTRY DATA'!FN23,0),"-")</f>
        <v>-</v>
      </c>
      <c r="CV12" s="7" t="str">
        <f>'ENTRY DATA'!FO23</f>
        <v>-</v>
      </c>
      <c r="CW12" s="7" t="str">
        <f>IFERROR(ROUND('ENTRY DATA'!FP23,0),"-")</f>
        <v>-</v>
      </c>
      <c r="CX12" s="7" t="str">
        <f>'ENTRY DATA'!FQ23</f>
        <v>-</v>
      </c>
      <c r="CY12" s="8" t="str">
        <f>'ENTRY DATA'!$FR$8</f>
        <v>-</v>
      </c>
      <c r="CZ12" s="8">
        <f t="shared" si="37"/>
        <v>75</v>
      </c>
      <c r="DA12" s="8">
        <f t="shared" si="38"/>
        <v>0</v>
      </c>
      <c r="DB12" s="8" t="str">
        <f>IFERROR(ROUND('ENTRY DATA'!FZ23,0),"-")</f>
        <v>-</v>
      </c>
      <c r="DC12" s="8" t="str">
        <f>'ENTRY DATA'!GA23</f>
        <v>-</v>
      </c>
      <c r="DD12" s="8" t="str">
        <f>IFERROR(ROUND('ENTRY DATA'!GB23,0),"-")</f>
        <v>-</v>
      </c>
      <c r="DE12" s="8" t="str">
        <f>'ENTRY DATA'!GC23</f>
        <v>-</v>
      </c>
      <c r="DF12" s="7" t="str">
        <f>'ENTRY DATA'!$GD$8</f>
        <v>-</v>
      </c>
      <c r="DG12" s="7">
        <f t="shared" si="39"/>
        <v>75</v>
      </c>
      <c r="DH12" s="7">
        <f t="shared" si="40"/>
        <v>0</v>
      </c>
      <c r="DI12" s="7" t="str">
        <f>IFERROR(ROUND('ENTRY DATA'!GL23,0),"-")</f>
        <v>-</v>
      </c>
      <c r="DJ12" s="7" t="str">
        <f>'ENTRY DATA'!GM23</f>
        <v>-</v>
      </c>
      <c r="DK12" s="7" t="str">
        <f>IFERROR(ROUND('ENTRY DATA'!GN23,0),"-")</f>
        <v>-</v>
      </c>
      <c r="DL12" s="7" t="str">
        <f>'ENTRY DATA'!GO23</f>
        <v>-</v>
      </c>
      <c r="DM12" s="16" t="str">
        <f>'ENTRY DATA'!HJ23</f>
        <v>-</v>
      </c>
      <c r="DN12" s="16" t="str">
        <f>'ENTRY DATA'!HK23</f>
        <v>-</v>
      </c>
      <c r="DO12" s="16" t="str">
        <f>'ENTRY DATA'!IF23</f>
        <v>-</v>
      </c>
      <c r="DP12" s="16" t="str">
        <f>'ENTRY DATA'!IG23</f>
        <v>-</v>
      </c>
      <c r="DQ12" s="2" t="str">
        <f>'ENTRY DATA'!IH23</f>
        <v>Pramuka</v>
      </c>
      <c r="DR12" s="2" t="str">
        <f>'ENTRY DATA'!II23</f>
        <v>B</v>
      </c>
      <c r="DS12" s="2" t="str">
        <f>'ENTRY DATA'!IJ23</f>
        <v>Aktif dalam mengikuti kegiatan</v>
      </c>
      <c r="DT12" s="2" t="str">
        <f>'ENTRY DATA'!IK23</f>
        <v>-</v>
      </c>
      <c r="DU12" s="2" t="str">
        <f>'ENTRY DATA'!IL23</f>
        <v>-</v>
      </c>
      <c r="DV12" s="2" t="str">
        <f>'ENTRY DATA'!IM23</f>
        <v>-</v>
      </c>
      <c r="DW12" s="2" t="str">
        <f>'ENTRY DATA'!IN23</f>
        <v>-</v>
      </c>
      <c r="DX12" s="2" t="str">
        <f>'ENTRY DATA'!IO23</f>
        <v>-</v>
      </c>
      <c r="DY12" s="2" t="str">
        <f>'ENTRY DATA'!IP23</f>
        <v>-</v>
      </c>
      <c r="DZ12" s="2" t="str">
        <f>'ENTRY DATA'!IQ23</f>
        <v>-</v>
      </c>
      <c r="EA12" s="2" t="str">
        <f>'ENTRY DATA'!IR23</f>
        <v>-</v>
      </c>
      <c r="EB12" s="2" t="str">
        <f>'ENTRY DATA'!IS23</f>
        <v>-</v>
      </c>
      <c r="EC12" s="2" t="str">
        <f>'ENTRY DATA'!IT23</f>
        <v>-</v>
      </c>
      <c r="ED12" s="2" t="str">
        <f>'ENTRY DATA'!IU23</f>
        <v>-</v>
      </c>
      <c r="EE12" s="2" t="str">
        <f>'ENTRY DATA'!IV23</f>
        <v>-</v>
      </c>
      <c r="EF12" s="2" t="str">
        <f>'ENTRY DATA'!IW23</f>
        <v>-</v>
      </c>
      <c r="EG12" s="2" t="str">
        <f>'ENTRY DATA'!IX23</f>
        <v>-</v>
      </c>
      <c r="EH12" s="2" t="str">
        <f>'ENTRY DATA'!IY23</f>
        <v>-</v>
      </c>
      <c r="EI12" s="2" t="str">
        <f>'ENTRY DATA'!IZ23</f>
        <v>-</v>
      </c>
      <c r="EJ12" s="2">
        <f>'ENTRY DATA'!JA23</f>
        <v>0</v>
      </c>
      <c r="EK12" s="2">
        <f>'ENTRY DATA'!JB23</f>
        <v>1</v>
      </c>
    </row>
    <row r="13" spans="1:141" x14ac:dyDescent="0.25">
      <c r="A13" s="2" t="str">
        <f t="shared" si="0"/>
        <v>MIPA</v>
      </c>
      <c r="B13" s="2" t="str">
        <f t="shared" si="1"/>
        <v>Bandung, 10 Oktober 2022</v>
      </c>
      <c r="C13" s="2" t="str">
        <f t="shared" si="2"/>
        <v>Drs. Ahmad Fathony</v>
      </c>
      <c r="D13" s="2" t="str">
        <f t="shared" si="3"/>
        <v>12345678 123456 1 123</v>
      </c>
      <c r="E13" s="2" t="str">
        <f t="shared" si="4"/>
        <v>H. Abdul Basith, M.Pd.</v>
      </c>
      <c r="F13" s="2" t="str">
        <f t="shared" si="5"/>
        <v>12341234 123123 1 234</v>
      </c>
      <c r="G13" s="74">
        <f>'ENTRY DATA'!B24</f>
        <v>0</v>
      </c>
      <c r="H13" s="74">
        <f>'ENTRY DATA'!C24</f>
        <v>0</v>
      </c>
      <c r="I13" s="74">
        <f>'ENTRY DATA'!D24</f>
        <v>0</v>
      </c>
      <c r="J13" s="74">
        <f>'ENTRY DATA'!E24</f>
        <v>0</v>
      </c>
      <c r="K13" s="7" t="str">
        <f t="shared" si="6"/>
        <v>X MIPA-1</v>
      </c>
      <c r="L13" s="7">
        <f t="shared" si="7"/>
        <v>1</v>
      </c>
      <c r="M13" s="7" t="str">
        <f t="shared" si="41"/>
        <v>Ganjil</v>
      </c>
      <c r="N13" s="7" t="str">
        <f t="shared" si="8"/>
        <v>2022/2023</v>
      </c>
      <c r="O13" s="8">
        <f t="shared" si="9"/>
        <v>75</v>
      </c>
      <c r="P13" s="8">
        <f t="shared" si="10"/>
        <v>0</v>
      </c>
      <c r="Q13" s="8" t="str">
        <f>IFERROR(ROUND('ENTRY DATA'!N24,0),"-")</f>
        <v>-</v>
      </c>
      <c r="R13" s="8" t="str">
        <f>'ENTRY DATA'!O24</f>
        <v>-</v>
      </c>
      <c r="S13" s="8" t="str">
        <f>IFERROR(ROUND('ENTRY DATA'!P24,0),"-")</f>
        <v>-</v>
      </c>
      <c r="T13" s="8" t="str">
        <f>'ENTRY DATA'!Q24</f>
        <v>-</v>
      </c>
      <c r="U13" s="7">
        <f t="shared" si="11"/>
        <v>75</v>
      </c>
      <c r="V13" s="7">
        <f t="shared" si="12"/>
        <v>0</v>
      </c>
      <c r="W13" s="7" t="str">
        <f>IFERROR(ROUND('ENTRY DATA'!Z24,0),"-")</f>
        <v>-</v>
      </c>
      <c r="X13" s="7" t="str">
        <f>'ENTRY DATA'!AA24</f>
        <v>-</v>
      </c>
      <c r="Y13" s="7" t="str">
        <f>IFERROR(ROUND('ENTRY DATA'!AB24,0),"-")</f>
        <v>-</v>
      </c>
      <c r="Z13" s="7" t="str">
        <f>'ENTRY DATA'!AC24</f>
        <v>-</v>
      </c>
      <c r="AA13" s="8">
        <f t="shared" si="13"/>
        <v>75</v>
      </c>
      <c r="AB13" s="8">
        <f t="shared" si="14"/>
        <v>0</v>
      </c>
      <c r="AC13" s="8" t="str">
        <f>IFERROR(ROUND('ENTRY DATA'!AL24,0),"-")</f>
        <v>-</v>
      </c>
      <c r="AD13" s="8" t="str">
        <f>'ENTRY DATA'!AM24</f>
        <v>-</v>
      </c>
      <c r="AE13" s="8" t="str">
        <f>IFERROR(ROUND('ENTRY DATA'!AN24,0),"-")</f>
        <v>-</v>
      </c>
      <c r="AF13" s="8" t="str">
        <f>'ENTRY DATA'!AO24</f>
        <v>-</v>
      </c>
      <c r="AG13" s="7">
        <f t="shared" si="15"/>
        <v>75</v>
      </c>
      <c r="AH13" s="7">
        <f t="shared" si="16"/>
        <v>0</v>
      </c>
      <c r="AI13" s="7" t="str">
        <f>IFERROR(ROUND('ENTRY DATA'!AX24,0),"-")</f>
        <v>-</v>
      </c>
      <c r="AJ13" s="7" t="str">
        <f>'ENTRY DATA'!AY24</f>
        <v>-</v>
      </c>
      <c r="AK13" s="7" t="str">
        <f>IFERROR(ROUND('ENTRY DATA'!AZ24,0),"-")</f>
        <v>-</v>
      </c>
      <c r="AL13" s="7" t="str">
        <f>'ENTRY DATA'!BA24</f>
        <v>-</v>
      </c>
      <c r="AM13" s="8">
        <f t="shared" si="17"/>
        <v>75</v>
      </c>
      <c r="AN13" s="8">
        <f t="shared" si="18"/>
        <v>0</v>
      </c>
      <c r="AO13" s="8" t="str">
        <f>IFERROR(ROUND('ENTRY DATA'!BJ24,0),"-")</f>
        <v>-</v>
      </c>
      <c r="AP13" s="8" t="str">
        <f>'ENTRY DATA'!BK24</f>
        <v>-</v>
      </c>
      <c r="AQ13" s="8" t="str">
        <f>IFERROR(ROUND('ENTRY DATA'!BL24,0),"-")</f>
        <v>-</v>
      </c>
      <c r="AR13" s="8" t="str">
        <f>'ENTRY DATA'!BM24</f>
        <v>-</v>
      </c>
      <c r="AS13" s="7">
        <f t="shared" si="19"/>
        <v>75</v>
      </c>
      <c r="AT13" s="7">
        <f t="shared" si="20"/>
        <v>0</v>
      </c>
      <c r="AU13" s="7" t="str">
        <f>IFERROR(ROUND('ENTRY DATA'!BV24,0),"-")</f>
        <v>-</v>
      </c>
      <c r="AV13" s="7" t="str">
        <f>'ENTRY DATA'!BW24</f>
        <v>-</v>
      </c>
      <c r="AW13" s="7" t="str">
        <f>IFERROR(ROUND('ENTRY DATA'!BX24,0),"-")</f>
        <v>-</v>
      </c>
      <c r="AX13" s="7" t="str">
        <f>'ENTRY DATA'!BY24</f>
        <v>-</v>
      </c>
      <c r="AY13" s="8">
        <f t="shared" si="21"/>
        <v>75</v>
      </c>
      <c r="AZ13" s="8">
        <f t="shared" si="22"/>
        <v>0</v>
      </c>
      <c r="BA13" s="8" t="str">
        <f>IFERROR(ROUND('ENTRY DATA'!CH24,0),"-")</f>
        <v>-</v>
      </c>
      <c r="BB13" s="8" t="str">
        <f>'ENTRY DATA'!CI24</f>
        <v>-</v>
      </c>
      <c r="BC13" s="8" t="str">
        <f>IFERROR(ROUND('ENTRY DATA'!CJ24,0),"-")</f>
        <v>-</v>
      </c>
      <c r="BD13" s="8" t="str">
        <f>'ENTRY DATA'!CK24</f>
        <v>-</v>
      </c>
      <c r="BE13" s="7">
        <f t="shared" si="23"/>
        <v>75</v>
      </c>
      <c r="BF13" s="7">
        <f t="shared" si="24"/>
        <v>0</v>
      </c>
      <c r="BG13" s="7" t="str">
        <f>IFERROR(ROUND('ENTRY DATA'!CT24,0),"-")</f>
        <v>-</v>
      </c>
      <c r="BH13" s="7" t="str">
        <f>'ENTRY DATA'!CU24</f>
        <v>-</v>
      </c>
      <c r="BI13" s="7" t="str">
        <f>IFERROR(ROUND('ENTRY DATA'!CV24,0),"-")</f>
        <v>-</v>
      </c>
      <c r="BJ13" s="7" t="str">
        <f>'ENTRY DATA'!CW24</f>
        <v>-</v>
      </c>
      <c r="BK13" s="8">
        <f t="shared" si="25"/>
        <v>75</v>
      </c>
      <c r="BL13" s="8">
        <f t="shared" si="26"/>
        <v>0</v>
      </c>
      <c r="BM13" s="8" t="str">
        <f>IFERROR(ROUND('ENTRY DATA'!DF24,0),"-")</f>
        <v>-</v>
      </c>
      <c r="BN13" s="8" t="str">
        <f>'ENTRY DATA'!DG24</f>
        <v>-</v>
      </c>
      <c r="BO13" s="8" t="str">
        <f>IFERROR(ROUND('ENTRY DATA'!DH24,0),"-")</f>
        <v>-</v>
      </c>
      <c r="BP13" s="8" t="str">
        <f>'ENTRY DATA'!DI24</f>
        <v>-</v>
      </c>
      <c r="BQ13" s="7">
        <f t="shared" si="27"/>
        <v>75</v>
      </c>
      <c r="BR13" s="7">
        <f t="shared" si="28"/>
        <v>0</v>
      </c>
      <c r="BS13" s="7" t="str">
        <f>IFERROR(ROUND('ENTRY DATA'!DR24,0),"-")</f>
        <v>-</v>
      </c>
      <c r="BT13" s="7" t="str">
        <f>'ENTRY DATA'!DS24</f>
        <v>-</v>
      </c>
      <c r="BU13" s="7" t="str">
        <f>IFERROR(ROUND('ENTRY DATA'!DT24,0),"-")</f>
        <v>-</v>
      </c>
      <c r="BV13" s="7" t="str">
        <f>'ENTRY DATA'!DU24</f>
        <v>-</v>
      </c>
      <c r="BW13" s="8" t="str">
        <f>'ENTRY DATA'!$DV$8</f>
        <v>Matematika</v>
      </c>
      <c r="BX13" s="8">
        <f t="shared" si="29"/>
        <v>75</v>
      </c>
      <c r="BY13" s="8">
        <f t="shared" si="30"/>
        <v>0</v>
      </c>
      <c r="BZ13" s="8" t="str">
        <f>IFERROR(ROUND('ENTRY DATA'!ED24,0),"-")</f>
        <v>-</v>
      </c>
      <c r="CA13" s="8" t="str">
        <f>'ENTRY DATA'!EE24</f>
        <v>-</v>
      </c>
      <c r="CB13" s="8" t="str">
        <f>IFERROR(ROUND('ENTRY DATA'!EF24,0),"-")</f>
        <v>-</v>
      </c>
      <c r="CC13" s="8" t="str">
        <f>'ENTRY DATA'!EG24</f>
        <v>-</v>
      </c>
      <c r="CD13" s="7" t="str">
        <f>'ENTRY DATA'!$EH$8</f>
        <v>Biologi</v>
      </c>
      <c r="CE13" s="7">
        <f t="shared" si="31"/>
        <v>75</v>
      </c>
      <c r="CF13" s="7">
        <f t="shared" si="32"/>
        <v>0</v>
      </c>
      <c r="CG13" s="7" t="str">
        <f>IFERROR(ROUND('ENTRY DATA'!EP24,0),"-")</f>
        <v>-</v>
      </c>
      <c r="CH13" s="7" t="str">
        <f>'ENTRY DATA'!EQ24</f>
        <v>-</v>
      </c>
      <c r="CI13" s="7" t="str">
        <f>IFERROR(ROUND('ENTRY DATA'!ER24,0),"-")</f>
        <v>-</v>
      </c>
      <c r="CJ13" s="7" t="str">
        <f>'ENTRY DATA'!ES24</f>
        <v>-</v>
      </c>
      <c r="CK13" s="8" t="str">
        <f>'ENTRY DATA'!$ET$8</f>
        <v>Fisika</v>
      </c>
      <c r="CL13" s="8">
        <f t="shared" si="33"/>
        <v>75</v>
      </c>
      <c r="CM13" s="8">
        <f t="shared" si="34"/>
        <v>0</v>
      </c>
      <c r="CN13" s="8" t="str">
        <f>IFERROR(ROUND('ENTRY DATA'!FB24,0),"-")</f>
        <v>-</v>
      </c>
      <c r="CO13" s="8" t="str">
        <f>'ENTRY DATA'!FC24</f>
        <v>-</v>
      </c>
      <c r="CP13" s="8" t="str">
        <f>IFERROR(ROUND('ENTRY DATA'!FD24,0),"-")</f>
        <v>-</v>
      </c>
      <c r="CQ13" s="8" t="str">
        <f>'ENTRY DATA'!FE24</f>
        <v>-</v>
      </c>
      <c r="CR13" s="7" t="str">
        <f>'ENTRY DATA'!$FF$8</f>
        <v>Kimia</v>
      </c>
      <c r="CS13" s="7">
        <f t="shared" si="35"/>
        <v>75</v>
      </c>
      <c r="CT13" s="7">
        <f t="shared" si="36"/>
        <v>0</v>
      </c>
      <c r="CU13" s="7" t="str">
        <f>IFERROR(ROUND('ENTRY DATA'!FN24,0),"-")</f>
        <v>-</v>
      </c>
      <c r="CV13" s="7" t="str">
        <f>'ENTRY DATA'!FO24</f>
        <v>-</v>
      </c>
      <c r="CW13" s="7" t="str">
        <f>IFERROR(ROUND('ENTRY DATA'!FP24,0),"-")</f>
        <v>-</v>
      </c>
      <c r="CX13" s="7" t="str">
        <f>'ENTRY DATA'!FQ24</f>
        <v>-</v>
      </c>
      <c r="CY13" s="8" t="str">
        <f>'ENTRY DATA'!$FR$8</f>
        <v>-</v>
      </c>
      <c r="CZ13" s="8">
        <f t="shared" si="37"/>
        <v>75</v>
      </c>
      <c r="DA13" s="8">
        <f t="shared" si="38"/>
        <v>0</v>
      </c>
      <c r="DB13" s="8" t="str">
        <f>IFERROR(ROUND('ENTRY DATA'!FZ24,0),"-")</f>
        <v>-</v>
      </c>
      <c r="DC13" s="8" t="str">
        <f>'ENTRY DATA'!GA24</f>
        <v>-</v>
      </c>
      <c r="DD13" s="8" t="str">
        <f>IFERROR(ROUND('ENTRY DATA'!GB24,0),"-")</f>
        <v>-</v>
      </c>
      <c r="DE13" s="8" t="str">
        <f>'ENTRY DATA'!GC24</f>
        <v>-</v>
      </c>
      <c r="DF13" s="7" t="str">
        <f>'ENTRY DATA'!$GD$8</f>
        <v>-</v>
      </c>
      <c r="DG13" s="7">
        <f t="shared" si="39"/>
        <v>75</v>
      </c>
      <c r="DH13" s="7">
        <f t="shared" si="40"/>
        <v>0</v>
      </c>
      <c r="DI13" s="7" t="str">
        <f>IFERROR(ROUND('ENTRY DATA'!GL24,0),"-")</f>
        <v>-</v>
      </c>
      <c r="DJ13" s="7" t="str">
        <f>'ENTRY DATA'!GM24</f>
        <v>-</v>
      </c>
      <c r="DK13" s="7" t="str">
        <f>IFERROR(ROUND('ENTRY DATA'!GN24,0),"-")</f>
        <v>-</v>
      </c>
      <c r="DL13" s="7" t="str">
        <f>'ENTRY DATA'!GO24</f>
        <v>-</v>
      </c>
      <c r="DM13" s="16" t="str">
        <f>'ENTRY DATA'!HJ24</f>
        <v>-</v>
      </c>
      <c r="DN13" s="16" t="str">
        <f>'ENTRY DATA'!HK24</f>
        <v>-</v>
      </c>
      <c r="DO13" s="16" t="str">
        <f>'ENTRY DATA'!IF24</f>
        <v>-</v>
      </c>
      <c r="DP13" s="16" t="str">
        <f>'ENTRY DATA'!IG24</f>
        <v>-</v>
      </c>
      <c r="DQ13" s="2" t="str">
        <f>'ENTRY DATA'!IH24</f>
        <v>Pramuka</v>
      </c>
      <c r="DR13" s="2" t="str">
        <f>'ENTRY DATA'!II24</f>
        <v>B</v>
      </c>
      <c r="DS13" s="2" t="str">
        <f>'ENTRY DATA'!IJ24</f>
        <v>Aktif dalam mengikuti kegiatan</v>
      </c>
      <c r="DT13" s="2" t="str">
        <f>'ENTRY DATA'!IK24</f>
        <v>-</v>
      </c>
      <c r="DU13" s="2" t="str">
        <f>'ENTRY DATA'!IL24</f>
        <v>-</v>
      </c>
      <c r="DV13" s="2" t="str">
        <f>'ENTRY DATA'!IM24</f>
        <v>-</v>
      </c>
      <c r="DW13" s="2" t="str">
        <f>'ENTRY DATA'!IN24</f>
        <v>-</v>
      </c>
      <c r="DX13" s="2" t="str">
        <f>'ENTRY DATA'!IO24</f>
        <v>-</v>
      </c>
      <c r="DY13" s="2" t="str">
        <f>'ENTRY DATA'!IP24</f>
        <v>-</v>
      </c>
      <c r="DZ13" s="2" t="str">
        <f>'ENTRY DATA'!IQ24</f>
        <v>-</v>
      </c>
      <c r="EA13" s="2" t="str">
        <f>'ENTRY DATA'!IR24</f>
        <v>-</v>
      </c>
      <c r="EB13" s="2" t="str">
        <f>'ENTRY DATA'!IS24</f>
        <v>-</v>
      </c>
      <c r="EC13" s="2" t="str">
        <f>'ENTRY DATA'!IT24</f>
        <v>-</v>
      </c>
      <c r="ED13" s="2" t="str">
        <f>'ENTRY DATA'!IU24</f>
        <v>-</v>
      </c>
      <c r="EE13" s="2" t="str">
        <f>'ENTRY DATA'!IV24</f>
        <v>-</v>
      </c>
      <c r="EF13" s="2" t="str">
        <f>'ENTRY DATA'!IW24</f>
        <v>-</v>
      </c>
      <c r="EG13" s="2" t="str">
        <f>'ENTRY DATA'!IX24</f>
        <v>-</v>
      </c>
      <c r="EH13" s="2" t="str">
        <f>'ENTRY DATA'!IY24</f>
        <v>-</v>
      </c>
      <c r="EI13" s="2" t="str">
        <f>'ENTRY DATA'!IZ24</f>
        <v>-</v>
      </c>
      <c r="EJ13" s="2">
        <f>'ENTRY DATA'!JA24</f>
        <v>0</v>
      </c>
      <c r="EK13" s="2">
        <f>'ENTRY DATA'!JB24</f>
        <v>1</v>
      </c>
    </row>
    <row r="14" spans="1:141" x14ac:dyDescent="0.25">
      <c r="A14" s="2" t="str">
        <f t="shared" si="0"/>
        <v>MIPA</v>
      </c>
      <c r="B14" s="2" t="str">
        <f t="shared" si="1"/>
        <v>Bandung, 10 Oktober 2022</v>
      </c>
      <c r="C14" s="2" t="str">
        <f t="shared" si="2"/>
        <v>Drs. Ahmad Fathony</v>
      </c>
      <c r="D14" s="2" t="str">
        <f t="shared" si="3"/>
        <v>12345678 123456 1 123</v>
      </c>
      <c r="E14" s="2" t="str">
        <f t="shared" si="4"/>
        <v>H. Abdul Basith, M.Pd.</v>
      </c>
      <c r="F14" s="2" t="str">
        <f t="shared" si="5"/>
        <v>12341234 123123 1 234</v>
      </c>
      <c r="G14" s="74">
        <f>'ENTRY DATA'!B25</f>
        <v>0</v>
      </c>
      <c r="H14" s="74">
        <f>'ENTRY DATA'!C25</f>
        <v>0</v>
      </c>
      <c r="I14" s="74">
        <f>'ENTRY DATA'!D25</f>
        <v>0</v>
      </c>
      <c r="J14" s="74">
        <f>'ENTRY DATA'!E25</f>
        <v>0</v>
      </c>
      <c r="K14" s="7" t="str">
        <f t="shared" si="6"/>
        <v>X MIPA-1</v>
      </c>
      <c r="L14" s="7">
        <f t="shared" si="7"/>
        <v>1</v>
      </c>
      <c r="M14" s="7" t="str">
        <f t="shared" si="41"/>
        <v>Ganjil</v>
      </c>
      <c r="N14" s="7" t="str">
        <f t="shared" si="8"/>
        <v>2022/2023</v>
      </c>
      <c r="O14" s="8">
        <f t="shared" si="9"/>
        <v>75</v>
      </c>
      <c r="P14" s="8">
        <f t="shared" si="10"/>
        <v>0</v>
      </c>
      <c r="Q14" s="8" t="str">
        <f>IFERROR(ROUND('ENTRY DATA'!N25,0),"-")</f>
        <v>-</v>
      </c>
      <c r="R14" s="8" t="str">
        <f>'ENTRY DATA'!O25</f>
        <v>-</v>
      </c>
      <c r="S14" s="8" t="str">
        <f>IFERROR(ROUND('ENTRY DATA'!P25,0),"-")</f>
        <v>-</v>
      </c>
      <c r="T14" s="8" t="str">
        <f>'ENTRY DATA'!Q25</f>
        <v>-</v>
      </c>
      <c r="U14" s="7">
        <f t="shared" si="11"/>
        <v>75</v>
      </c>
      <c r="V14" s="7">
        <f t="shared" si="12"/>
        <v>0</v>
      </c>
      <c r="W14" s="7" t="str">
        <f>IFERROR(ROUND('ENTRY DATA'!Z25,0),"-")</f>
        <v>-</v>
      </c>
      <c r="X14" s="7" t="str">
        <f>'ENTRY DATA'!AA25</f>
        <v>-</v>
      </c>
      <c r="Y14" s="7" t="str">
        <f>IFERROR(ROUND('ENTRY DATA'!AB25,0),"-")</f>
        <v>-</v>
      </c>
      <c r="Z14" s="7" t="str">
        <f>'ENTRY DATA'!AC25</f>
        <v>-</v>
      </c>
      <c r="AA14" s="8">
        <f t="shared" si="13"/>
        <v>75</v>
      </c>
      <c r="AB14" s="8">
        <f t="shared" si="14"/>
        <v>0</v>
      </c>
      <c r="AC14" s="8" t="str">
        <f>IFERROR(ROUND('ENTRY DATA'!AL25,0),"-")</f>
        <v>-</v>
      </c>
      <c r="AD14" s="8" t="str">
        <f>'ENTRY DATA'!AM25</f>
        <v>-</v>
      </c>
      <c r="AE14" s="8" t="str">
        <f>IFERROR(ROUND('ENTRY DATA'!AN25,0),"-")</f>
        <v>-</v>
      </c>
      <c r="AF14" s="8" t="str">
        <f>'ENTRY DATA'!AO25</f>
        <v>-</v>
      </c>
      <c r="AG14" s="7">
        <f t="shared" si="15"/>
        <v>75</v>
      </c>
      <c r="AH14" s="7">
        <f t="shared" si="16"/>
        <v>0</v>
      </c>
      <c r="AI14" s="7" t="str">
        <f>IFERROR(ROUND('ENTRY DATA'!AX25,0),"-")</f>
        <v>-</v>
      </c>
      <c r="AJ14" s="7" t="str">
        <f>'ENTRY DATA'!AY25</f>
        <v>-</v>
      </c>
      <c r="AK14" s="7" t="str">
        <f>IFERROR(ROUND('ENTRY DATA'!AZ25,0),"-")</f>
        <v>-</v>
      </c>
      <c r="AL14" s="7" t="str">
        <f>'ENTRY DATA'!BA25</f>
        <v>-</v>
      </c>
      <c r="AM14" s="8">
        <f t="shared" si="17"/>
        <v>75</v>
      </c>
      <c r="AN14" s="8">
        <f t="shared" si="18"/>
        <v>0</v>
      </c>
      <c r="AO14" s="8" t="str">
        <f>IFERROR(ROUND('ENTRY DATA'!BJ25,0),"-")</f>
        <v>-</v>
      </c>
      <c r="AP14" s="8" t="str">
        <f>'ENTRY DATA'!BK25</f>
        <v>-</v>
      </c>
      <c r="AQ14" s="8" t="str">
        <f>IFERROR(ROUND('ENTRY DATA'!BL25,0),"-")</f>
        <v>-</v>
      </c>
      <c r="AR14" s="8" t="str">
        <f>'ENTRY DATA'!BM25</f>
        <v>-</v>
      </c>
      <c r="AS14" s="7">
        <f t="shared" si="19"/>
        <v>75</v>
      </c>
      <c r="AT14" s="7">
        <f t="shared" si="20"/>
        <v>0</v>
      </c>
      <c r="AU14" s="7" t="str">
        <f>IFERROR(ROUND('ENTRY DATA'!BV25,0),"-")</f>
        <v>-</v>
      </c>
      <c r="AV14" s="7" t="str">
        <f>'ENTRY DATA'!BW25</f>
        <v>-</v>
      </c>
      <c r="AW14" s="7" t="str">
        <f>IFERROR(ROUND('ENTRY DATA'!BX25,0),"-")</f>
        <v>-</v>
      </c>
      <c r="AX14" s="7" t="str">
        <f>'ENTRY DATA'!BY25</f>
        <v>-</v>
      </c>
      <c r="AY14" s="8">
        <f t="shared" si="21"/>
        <v>75</v>
      </c>
      <c r="AZ14" s="8">
        <f t="shared" si="22"/>
        <v>0</v>
      </c>
      <c r="BA14" s="8" t="str">
        <f>IFERROR(ROUND('ENTRY DATA'!CH25,0),"-")</f>
        <v>-</v>
      </c>
      <c r="BB14" s="8" t="str">
        <f>'ENTRY DATA'!CI25</f>
        <v>-</v>
      </c>
      <c r="BC14" s="8" t="str">
        <f>IFERROR(ROUND('ENTRY DATA'!CJ25,0),"-")</f>
        <v>-</v>
      </c>
      <c r="BD14" s="8" t="str">
        <f>'ENTRY DATA'!CK25</f>
        <v>-</v>
      </c>
      <c r="BE14" s="7">
        <f t="shared" si="23"/>
        <v>75</v>
      </c>
      <c r="BF14" s="7">
        <f t="shared" si="24"/>
        <v>0</v>
      </c>
      <c r="BG14" s="7" t="str">
        <f>IFERROR(ROUND('ENTRY DATA'!CT25,0),"-")</f>
        <v>-</v>
      </c>
      <c r="BH14" s="7" t="str">
        <f>'ENTRY DATA'!CU25</f>
        <v>-</v>
      </c>
      <c r="BI14" s="7" t="str">
        <f>IFERROR(ROUND('ENTRY DATA'!CV25,0),"-")</f>
        <v>-</v>
      </c>
      <c r="BJ14" s="7" t="str">
        <f>'ENTRY DATA'!CW25</f>
        <v>-</v>
      </c>
      <c r="BK14" s="8">
        <f t="shared" si="25"/>
        <v>75</v>
      </c>
      <c r="BL14" s="8">
        <f t="shared" si="26"/>
        <v>0</v>
      </c>
      <c r="BM14" s="8" t="str">
        <f>IFERROR(ROUND('ENTRY DATA'!DF25,0),"-")</f>
        <v>-</v>
      </c>
      <c r="BN14" s="8" t="str">
        <f>'ENTRY DATA'!DG25</f>
        <v>-</v>
      </c>
      <c r="BO14" s="8" t="str">
        <f>IFERROR(ROUND('ENTRY DATA'!DH25,0),"-")</f>
        <v>-</v>
      </c>
      <c r="BP14" s="8" t="str">
        <f>'ENTRY DATA'!DI25</f>
        <v>-</v>
      </c>
      <c r="BQ14" s="7">
        <f t="shared" si="27"/>
        <v>75</v>
      </c>
      <c r="BR14" s="7">
        <f t="shared" si="28"/>
        <v>0</v>
      </c>
      <c r="BS14" s="7" t="str">
        <f>IFERROR(ROUND('ENTRY DATA'!DR25,0),"-")</f>
        <v>-</v>
      </c>
      <c r="BT14" s="7" t="str">
        <f>'ENTRY DATA'!DS25</f>
        <v>-</v>
      </c>
      <c r="BU14" s="7" t="str">
        <f>IFERROR(ROUND('ENTRY DATA'!DT25,0),"-")</f>
        <v>-</v>
      </c>
      <c r="BV14" s="7" t="str">
        <f>'ENTRY DATA'!DU25</f>
        <v>-</v>
      </c>
      <c r="BW14" s="8" t="str">
        <f>'ENTRY DATA'!$DV$8</f>
        <v>Matematika</v>
      </c>
      <c r="BX14" s="8">
        <f t="shared" si="29"/>
        <v>75</v>
      </c>
      <c r="BY14" s="8">
        <f t="shared" si="30"/>
        <v>0</v>
      </c>
      <c r="BZ14" s="8" t="str">
        <f>IFERROR(ROUND('ENTRY DATA'!ED25,0),"-")</f>
        <v>-</v>
      </c>
      <c r="CA14" s="8" t="str">
        <f>'ENTRY DATA'!EE25</f>
        <v>-</v>
      </c>
      <c r="CB14" s="8" t="str">
        <f>IFERROR(ROUND('ENTRY DATA'!EF25,0),"-")</f>
        <v>-</v>
      </c>
      <c r="CC14" s="8" t="str">
        <f>'ENTRY DATA'!EG25</f>
        <v>-</v>
      </c>
      <c r="CD14" s="7" t="str">
        <f>'ENTRY DATA'!$EH$8</f>
        <v>Biologi</v>
      </c>
      <c r="CE14" s="7">
        <f t="shared" si="31"/>
        <v>75</v>
      </c>
      <c r="CF14" s="7">
        <f t="shared" si="32"/>
        <v>0</v>
      </c>
      <c r="CG14" s="7" t="str">
        <f>IFERROR(ROUND('ENTRY DATA'!EP25,0),"-")</f>
        <v>-</v>
      </c>
      <c r="CH14" s="7" t="str">
        <f>'ENTRY DATA'!EQ25</f>
        <v>-</v>
      </c>
      <c r="CI14" s="7" t="str">
        <f>IFERROR(ROUND('ENTRY DATA'!ER25,0),"-")</f>
        <v>-</v>
      </c>
      <c r="CJ14" s="7" t="str">
        <f>'ENTRY DATA'!ES25</f>
        <v>-</v>
      </c>
      <c r="CK14" s="8" t="str">
        <f>'ENTRY DATA'!$ET$8</f>
        <v>Fisika</v>
      </c>
      <c r="CL14" s="8">
        <f t="shared" si="33"/>
        <v>75</v>
      </c>
      <c r="CM14" s="8">
        <f t="shared" si="34"/>
        <v>0</v>
      </c>
      <c r="CN14" s="8" t="str">
        <f>IFERROR(ROUND('ENTRY DATA'!FB25,0),"-")</f>
        <v>-</v>
      </c>
      <c r="CO14" s="8" t="str">
        <f>'ENTRY DATA'!FC25</f>
        <v>-</v>
      </c>
      <c r="CP14" s="8" t="str">
        <f>IFERROR(ROUND('ENTRY DATA'!FD25,0),"-")</f>
        <v>-</v>
      </c>
      <c r="CQ14" s="8" t="str">
        <f>'ENTRY DATA'!FE25</f>
        <v>-</v>
      </c>
      <c r="CR14" s="7" t="str">
        <f>'ENTRY DATA'!$FF$8</f>
        <v>Kimia</v>
      </c>
      <c r="CS14" s="7">
        <f t="shared" si="35"/>
        <v>75</v>
      </c>
      <c r="CT14" s="7">
        <f t="shared" si="36"/>
        <v>0</v>
      </c>
      <c r="CU14" s="7" t="str">
        <f>IFERROR(ROUND('ENTRY DATA'!FN25,0),"-")</f>
        <v>-</v>
      </c>
      <c r="CV14" s="7" t="str">
        <f>'ENTRY DATA'!FO25</f>
        <v>-</v>
      </c>
      <c r="CW14" s="7" t="str">
        <f>IFERROR(ROUND('ENTRY DATA'!FP25,0),"-")</f>
        <v>-</v>
      </c>
      <c r="CX14" s="7" t="str">
        <f>'ENTRY DATA'!FQ25</f>
        <v>-</v>
      </c>
      <c r="CY14" s="8" t="str">
        <f>'ENTRY DATA'!$FR$8</f>
        <v>-</v>
      </c>
      <c r="CZ14" s="8">
        <f t="shared" si="37"/>
        <v>75</v>
      </c>
      <c r="DA14" s="8">
        <f t="shared" si="38"/>
        <v>0</v>
      </c>
      <c r="DB14" s="8" t="str">
        <f>IFERROR(ROUND('ENTRY DATA'!FZ25,0),"-")</f>
        <v>-</v>
      </c>
      <c r="DC14" s="8" t="str">
        <f>'ENTRY DATA'!GA25</f>
        <v>-</v>
      </c>
      <c r="DD14" s="8" t="str">
        <f>IFERROR(ROUND('ENTRY DATA'!GB25,0),"-")</f>
        <v>-</v>
      </c>
      <c r="DE14" s="8" t="str">
        <f>'ENTRY DATA'!GC25</f>
        <v>-</v>
      </c>
      <c r="DF14" s="7" t="str">
        <f>'ENTRY DATA'!$GD$8</f>
        <v>-</v>
      </c>
      <c r="DG14" s="7">
        <f t="shared" si="39"/>
        <v>75</v>
      </c>
      <c r="DH14" s="7">
        <f t="shared" si="40"/>
        <v>0</v>
      </c>
      <c r="DI14" s="7" t="str">
        <f>IFERROR(ROUND('ENTRY DATA'!GL25,0),"-")</f>
        <v>-</v>
      </c>
      <c r="DJ14" s="7" t="str">
        <f>'ENTRY DATA'!GM25</f>
        <v>-</v>
      </c>
      <c r="DK14" s="7" t="str">
        <f>IFERROR(ROUND('ENTRY DATA'!GN25,0),"-")</f>
        <v>-</v>
      </c>
      <c r="DL14" s="7" t="str">
        <f>'ENTRY DATA'!GO25</f>
        <v>-</v>
      </c>
      <c r="DM14" s="16" t="str">
        <f>'ENTRY DATA'!HJ25</f>
        <v>-</v>
      </c>
      <c r="DN14" s="16" t="str">
        <f>'ENTRY DATA'!HK25</f>
        <v>-</v>
      </c>
      <c r="DO14" s="16" t="str">
        <f>'ENTRY DATA'!IF25</f>
        <v>-</v>
      </c>
      <c r="DP14" s="16" t="str">
        <f>'ENTRY DATA'!IG25</f>
        <v>-</v>
      </c>
      <c r="DQ14" s="2" t="str">
        <f>'ENTRY DATA'!IH25</f>
        <v>Pramuka</v>
      </c>
      <c r="DR14" s="2" t="str">
        <f>'ENTRY DATA'!II25</f>
        <v>B</v>
      </c>
      <c r="DS14" s="2" t="str">
        <f>'ENTRY DATA'!IJ25</f>
        <v>Aktif dalam mengikuti kegiatan</v>
      </c>
      <c r="DT14" s="2" t="str">
        <f>'ENTRY DATA'!IK25</f>
        <v>-</v>
      </c>
      <c r="DU14" s="2" t="str">
        <f>'ENTRY DATA'!IL25</f>
        <v>-</v>
      </c>
      <c r="DV14" s="2" t="str">
        <f>'ENTRY DATA'!IM25</f>
        <v>-</v>
      </c>
      <c r="DW14" s="2" t="str">
        <f>'ENTRY DATA'!IN25</f>
        <v>-</v>
      </c>
      <c r="DX14" s="2" t="str">
        <f>'ENTRY DATA'!IO25</f>
        <v>-</v>
      </c>
      <c r="DY14" s="2" t="str">
        <f>'ENTRY DATA'!IP25</f>
        <v>-</v>
      </c>
      <c r="DZ14" s="2" t="str">
        <f>'ENTRY DATA'!IQ25</f>
        <v>-</v>
      </c>
      <c r="EA14" s="2" t="str">
        <f>'ENTRY DATA'!IR25</f>
        <v>-</v>
      </c>
      <c r="EB14" s="2" t="str">
        <f>'ENTRY DATA'!IS25</f>
        <v>-</v>
      </c>
      <c r="EC14" s="2" t="str">
        <f>'ENTRY DATA'!IT25</f>
        <v>-</v>
      </c>
      <c r="ED14" s="2" t="str">
        <f>'ENTRY DATA'!IU25</f>
        <v>-</v>
      </c>
      <c r="EE14" s="2" t="str">
        <f>'ENTRY DATA'!IV25</f>
        <v>-</v>
      </c>
      <c r="EF14" s="2" t="str">
        <f>'ENTRY DATA'!IW25</f>
        <v>-</v>
      </c>
      <c r="EG14" s="2" t="str">
        <f>'ENTRY DATA'!IX25</f>
        <v>-</v>
      </c>
      <c r="EH14" s="2" t="str">
        <f>'ENTRY DATA'!IY25</f>
        <v>-</v>
      </c>
      <c r="EI14" s="2" t="str">
        <f>'ENTRY DATA'!IZ25</f>
        <v>-</v>
      </c>
      <c r="EJ14" s="2">
        <f>'ENTRY DATA'!JA25</f>
        <v>0</v>
      </c>
      <c r="EK14" s="2">
        <f>'ENTRY DATA'!JB25</f>
        <v>1</v>
      </c>
    </row>
    <row r="15" spans="1:141" x14ac:dyDescent="0.25">
      <c r="A15" s="2" t="str">
        <f t="shared" si="0"/>
        <v>MIPA</v>
      </c>
      <c r="B15" s="2" t="str">
        <f t="shared" si="1"/>
        <v>Bandung, 10 Oktober 2022</v>
      </c>
      <c r="C15" s="2" t="str">
        <f t="shared" si="2"/>
        <v>Drs. Ahmad Fathony</v>
      </c>
      <c r="D15" s="2" t="str">
        <f t="shared" si="3"/>
        <v>12345678 123456 1 123</v>
      </c>
      <c r="E15" s="2" t="str">
        <f t="shared" si="4"/>
        <v>H. Abdul Basith, M.Pd.</v>
      </c>
      <c r="F15" s="2" t="str">
        <f t="shared" si="5"/>
        <v>12341234 123123 1 234</v>
      </c>
      <c r="G15" s="74">
        <f>'ENTRY DATA'!B26</f>
        <v>0</v>
      </c>
      <c r="H15" s="74">
        <f>'ENTRY DATA'!C26</f>
        <v>0</v>
      </c>
      <c r="I15" s="74">
        <f>'ENTRY DATA'!D26</f>
        <v>0</v>
      </c>
      <c r="J15" s="74">
        <f>'ENTRY DATA'!E26</f>
        <v>0</v>
      </c>
      <c r="K15" s="7" t="str">
        <f t="shared" si="6"/>
        <v>X MIPA-1</v>
      </c>
      <c r="L15" s="7">
        <f t="shared" si="7"/>
        <v>1</v>
      </c>
      <c r="M15" s="7" t="str">
        <f t="shared" si="41"/>
        <v>Ganjil</v>
      </c>
      <c r="N15" s="7" t="str">
        <f t="shared" si="8"/>
        <v>2022/2023</v>
      </c>
      <c r="O15" s="8">
        <f t="shared" si="9"/>
        <v>75</v>
      </c>
      <c r="P15" s="8">
        <f t="shared" si="10"/>
        <v>0</v>
      </c>
      <c r="Q15" s="8" t="str">
        <f>IFERROR(ROUND('ENTRY DATA'!N26,0),"-")</f>
        <v>-</v>
      </c>
      <c r="R15" s="8" t="str">
        <f>'ENTRY DATA'!O26</f>
        <v>-</v>
      </c>
      <c r="S15" s="8" t="str">
        <f>IFERROR(ROUND('ENTRY DATA'!P26,0),"-")</f>
        <v>-</v>
      </c>
      <c r="T15" s="8" t="str">
        <f>'ENTRY DATA'!Q26</f>
        <v>-</v>
      </c>
      <c r="U15" s="7">
        <f t="shared" si="11"/>
        <v>75</v>
      </c>
      <c r="V15" s="7">
        <f t="shared" si="12"/>
        <v>0</v>
      </c>
      <c r="W15" s="7" t="str">
        <f>IFERROR(ROUND('ENTRY DATA'!Z26,0),"-")</f>
        <v>-</v>
      </c>
      <c r="X15" s="7" t="str">
        <f>'ENTRY DATA'!AA26</f>
        <v>-</v>
      </c>
      <c r="Y15" s="7" t="str">
        <f>IFERROR(ROUND('ENTRY DATA'!AB26,0),"-")</f>
        <v>-</v>
      </c>
      <c r="Z15" s="7" t="str">
        <f>'ENTRY DATA'!AC26</f>
        <v>-</v>
      </c>
      <c r="AA15" s="8">
        <f t="shared" si="13"/>
        <v>75</v>
      </c>
      <c r="AB15" s="8">
        <f t="shared" si="14"/>
        <v>0</v>
      </c>
      <c r="AC15" s="8" t="str">
        <f>IFERROR(ROUND('ENTRY DATA'!AL26,0),"-")</f>
        <v>-</v>
      </c>
      <c r="AD15" s="8" t="str">
        <f>'ENTRY DATA'!AM26</f>
        <v>-</v>
      </c>
      <c r="AE15" s="8" t="str">
        <f>IFERROR(ROUND('ENTRY DATA'!AN26,0),"-")</f>
        <v>-</v>
      </c>
      <c r="AF15" s="8" t="str">
        <f>'ENTRY DATA'!AO26</f>
        <v>-</v>
      </c>
      <c r="AG15" s="7">
        <f t="shared" si="15"/>
        <v>75</v>
      </c>
      <c r="AH15" s="7">
        <f t="shared" si="16"/>
        <v>0</v>
      </c>
      <c r="AI15" s="7" t="str">
        <f>IFERROR(ROUND('ENTRY DATA'!AX26,0),"-")</f>
        <v>-</v>
      </c>
      <c r="AJ15" s="7" t="str">
        <f>'ENTRY DATA'!AY26</f>
        <v>-</v>
      </c>
      <c r="AK15" s="7" t="str">
        <f>IFERROR(ROUND('ENTRY DATA'!AZ26,0),"-")</f>
        <v>-</v>
      </c>
      <c r="AL15" s="7" t="str">
        <f>'ENTRY DATA'!BA26</f>
        <v>-</v>
      </c>
      <c r="AM15" s="8">
        <f t="shared" si="17"/>
        <v>75</v>
      </c>
      <c r="AN15" s="8">
        <f t="shared" si="18"/>
        <v>0</v>
      </c>
      <c r="AO15" s="8" t="str">
        <f>IFERROR(ROUND('ENTRY DATA'!BJ26,0),"-")</f>
        <v>-</v>
      </c>
      <c r="AP15" s="8" t="str">
        <f>'ENTRY DATA'!BK26</f>
        <v>-</v>
      </c>
      <c r="AQ15" s="8" t="str">
        <f>IFERROR(ROUND('ENTRY DATA'!BL26,0),"-")</f>
        <v>-</v>
      </c>
      <c r="AR15" s="8" t="str">
        <f>'ENTRY DATA'!BM26</f>
        <v>-</v>
      </c>
      <c r="AS15" s="7">
        <f t="shared" si="19"/>
        <v>75</v>
      </c>
      <c r="AT15" s="7">
        <f t="shared" si="20"/>
        <v>0</v>
      </c>
      <c r="AU15" s="7" t="str">
        <f>IFERROR(ROUND('ENTRY DATA'!BV26,0),"-")</f>
        <v>-</v>
      </c>
      <c r="AV15" s="7" t="str">
        <f>'ENTRY DATA'!BW26</f>
        <v>-</v>
      </c>
      <c r="AW15" s="7" t="str">
        <f>IFERROR(ROUND('ENTRY DATA'!BX26,0),"-")</f>
        <v>-</v>
      </c>
      <c r="AX15" s="7" t="str">
        <f>'ENTRY DATA'!BY26</f>
        <v>-</v>
      </c>
      <c r="AY15" s="8">
        <f t="shared" si="21"/>
        <v>75</v>
      </c>
      <c r="AZ15" s="8">
        <f t="shared" si="22"/>
        <v>0</v>
      </c>
      <c r="BA15" s="8" t="str">
        <f>IFERROR(ROUND('ENTRY DATA'!CH26,0),"-")</f>
        <v>-</v>
      </c>
      <c r="BB15" s="8" t="str">
        <f>'ENTRY DATA'!CI26</f>
        <v>-</v>
      </c>
      <c r="BC15" s="8" t="str">
        <f>IFERROR(ROUND('ENTRY DATA'!CJ26,0),"-")</f>
        <v>-</v>
      </c>
      <c r="BD15" s="8" t="str">
        <f>'ENTRY DATA'!CK26</f>
        <v>-</v>
      </c>
      <c r="BE15" s="7">
        <f t="shared" si="23"/>
        <v>75</v>
      </c>
      <c r="BF15" s="7">
        <f t="shared" si="24"/>
        <v>0</v>
      </c>
      <c r="BG15" s="7" t="str">
        <f>IFERROR(ROUND('ENTRY DATA'!CT26,0),"-")</f>
        <v>-</v>
      </c>
      <c r="BH15" s="7" t="str">
        <f>'ENTRY DATA'!CU26</f>
        <v>-</v>
      </c>
      <c r="BI15" s="7" t="str">
        <f>IFERROR(ROUND('ENTRY DATA'!CV26,0),"-")</f>
        <v>-</v>
      </c>
      <c r="BJ15" s="7" t="str">
        <f>'ENTRY DATA'!CW26</f>
        <v>-</v>
      </c>
      <c r="BK15" s="8">
        <f t="shared" si="25"/>
        <v>75</v>
      </c>
      <c r="BL15" s="8">
        <f t="shared" si="26"/>
        <v>0</v>
      </c>
      <c r="BM15" s="8" t="str">
        <f>IFERROR(ROUND('ENTRY DATA'!DF26,0),"-")</f>
        <v>-</v>
      </c>
      <c r="BN15" s="8" t="str">
        <f>'ENTRY DATA'!DG26</f>
        <v>-</v>
      </c>
      <c r="BO15" s="8" t="str">
        <f>IFERROR(ROUND('ENTRY DATA'!DH26,0),"-")</f>
        <v>-</v>
      </c>
      <c r="BP15" s="8" t="str">
        <f>'ENTRY DATA'!DI26</f>
        <v>-</v>
      </c>
      <c r="BQ15" s="7">
        <f t="shared" si="27"/>
        <v>75</v>
      </c>
      <c r="BR15" s="7">
        <f t="shared" si="28"/>
        <v>0</v>
      </c>
      <c r="BS15" s="7" t="str">
        <f>IFERROR(ROUND('ENTRY DATA'!DR26,0),"-")</f>
        <v>-</v>
      </c>
      <c r="BT15" s="7" t="str">
        <f>'ENTRY DATA'!DS26</f>
        <v>-</v>
      </c>
      <c r="BU15" s="7" t="str">
        <f>IFERROR(ROUND('ENTRY DATA'!DT26,0),"-")</f>
        <v>-</v>
      </c>
      <c r="BV15" s="7" t="str">
        <f>'ENTRY DATA'!DU26</f>
        <v>-</v>
      </c>
      <c r="BW15" s="8" t="str">
        <f>'ENTRY DATA'!$DV$8</f>
        <v>Matematika</v>
      </c>
      <c r="BX15" s="8">
        <f t="shared" si="29"/>
        <v>75</v>
      </c>
      <c r="BY15" s="8">
        <f t="shared" si="30"/>
        <v>0</v>
      </c>
      <c r="BZ15" s="8" t="str">
        <f>IFERROR(ROUND('ENTRY DATA'!ED26,0),"-")</f>
        <v>-</v>
      </c>
      <c r="CA15" s="8" t="str">
        <f>'ENTRY DATA'!EE26</f>
        <v>-</v>
      </c>
      <c r="CB15" s="8" t="str">
        <f>IFERROR(ROUND('ENTRY DATA'!EF26,0),"-")</f>
        <v>-</v>
      </c>
      <c r="CC15" s="8" t="str">
        <f>'ENTRY DATA'!EG26</f>
        <v>-</v>
      </c>
      <c r="CD15" s="7" t="str">
        <f>'ENTRY DATA'!$EH$8</f>
        <v>Biologi</v>
      </c>
      <c r="CE15" s="7">
        <f t="shared" si="31"/>
        <v>75</v>
      </c>
      <c r="CF15" s="7">
        <f t="shared" si="32"/>
        <v>0</v>
      </c>
      <c r="CG15" s="7" t="str">
        <f>IFERROR(ROUND('ENTRY DATA'!EP26,0),"-")</f>
        <v>-</v>
      </c>
      <c r="CH15" s="7" t="str">
        <f>'ENTRY DATA'!EQ26</f>
        <v>-</v>
      </c>
      <c r="CI15" s="7" t="str">
        <f>IFERROR(ROUND('ENTRY DATA'!ER26,0),"-")</f>
        <v>-</v>
      </c>
      <c r="CJ15" s="7" t="str">
        <f>'ENTRY DATA'!ES26</f>
        <v>-</v>
      </c>
      <c r="CK15" s="8" t="str">
        <f>'ENTRY DATA'!$ET$8</f>
        <v>Fisika</v>
      </c>
      <c r="CL15" s="8">
        <f t="shared" si="33"/>
        <v>75</v>
      </c>
      <c r="CM15" s="8">
        <f t="shared" si="34"/>
        <v>0</v>
      </c>
      <c r="CN15" s="8" t="str">
        <f>IFERROR(ROUND('ENTRY DATA'!FB26,0),"-")</f>
        <v>-</v>
      </c>
      <c r="CO15" s="8" t="str">
        <f>'ENTRY DATA'!FC26</f>
        <v>-</v>
      </c>
      <c r="CP15" s="8" t="str">
        <f>IFERROR(ROUND('ENTRY DATA'!FD26,0),"-")</f>
        <v>-</v>
      </c>
      <c r="CQ15" s="8" t="str">
        <f>'ENTRY DATA'!FE26</f>
        <v>-</v>
      </c>
      <c r="CR15" s="7" t="str">
        <f>'ENTRY DATA'!$FF$8</f>
        <v>Kimia</v>
      </c>
      <c r="CS15" s="7">
        <f t="shared" si="35"/>
        <v>75</v>
      </c>
      <c r="CT15" s="7">
        <f t="shared" si="36"/>
        <v>0</v>
      </c>
      <c r="CU15" s="7" t="str">
        <f>IFERROR(ROUND('ENTRY DATA'!FN26,0),"-")</f>
        <v>-</v>
      </c>
      <c r="CV15" s="7" t="str">
        <f>'ENTRY DATA'!FO26</f>
        <v>-</v>
      </c>
      <c r="CW15" s="7" t="str">
        <f>IFERROR(ROUND('ENTRY DATA'!FP26,0),"-")</f>
        <v>-</v>
      </c>
      <c r="CX15" s="7" t="str">
        <f>'ENTRY DATA'!FQ26</f>
        <v>-</v>
      </c>
      <c r="CY15" s="8" t="str">
        <f>'ENTRY DATA'!$FR$8</f>
        <v>-</v>
      </c>
      <c r="CZ15" s="8">
        <f t="shared" si="37"/>
        <v>75</v>
      </c>
      <c r="DA15" s="8">
        <f t="shared" si="38"/>
        <v>0</v>
      </c>
      <c r="DB15" s="8" t="str">
        <f>IFERROR(ROUND('ENTRY DATA'!FZ26,0),"-")</f>
        <v>-</v>
      </c>
      <c r="DC15" s="8" t="str">
        <f>'ENTRY DATA'!GA26</f>
        <v>-</v>
      </c>
      <c r="DD15" s="8" t="str">
        <f>IFERROR(ROUND('ENTRY DATA'!GB26,0),"-")</f>
        <v>-</v>
      </c>
      <c r="DE15" s="8" t="str">
        <f>'ENTRY DATA'!GC26</f>
        <v>-</v>
      </c>
      <c r="DF15" s="7" t="str">
        <f>'ENTRY DATA'!$GD$8</f>
        <v>-</v>
      </c>
      <c r="DG15" s="7">
        <f t="shared" si="39"/>
        <v>75</v>
      </c>
      <c r="DH15" s="7">
        <f t="shared" si="40"/>
        <v>0</v>
      </c>
      <c r="DI15" s="7" t="str">
        <f>IFERROR(ROUND('ENTRY DATA'!GL26,0),"-")</f>
        <v>-</v>
      </c>
      <c r="DJ15" s="7" t="str">
        <f>'ENTRY DATA'!GM26</f>
        <v>-</v>
      </c>
      <c r="DK15" s="7" t="str">
        <f>IFERROR(ROUND('ENTRY DATA'!GN26,0),"-")</f>
        <v>-</v>
      </c>
      <c r="DL15" s="7" t="str">
        <f>'ENTRY DATA'!GO26</f>
        <v>-</v>
      </c>
      <c r="DM15" s="16" t="str">
        <f>'ENTRY DATA'!HJ26</f>
        <v>-</v>
      </c>
      <c r="DN15" s="16" t="str">
        <f>'ENTRY DATA'!HK26</f>
        <v>-</v>
      </c>
      <c r="DO15" s="16" t="str">
        <f>'ENTRY DATA'!IF26</f>
        <v>-</v>
      </c>
      <c r="DP15" s="16" t="str">
        <f>'ENTRY DATA'!IG26</f>
        <v>-</v>
      </c>
      <c r="DQ15" s="2" t="str">
        <f>'ENTRY DATA'!IH26</f>
        <v>Pramuka</v>
      </c>
      <c r="DR15" s="2" t="str">
        <f>'ENTRY DATA'!II26</f>
        <v>B</v>
      </c>
      <c r="DS15" s="2" t="str">
        <f>'ENTRY DATA'!IJ26</f>
        <v>Aktif dalam mengikuti kegiatan</v>
      </c>
      <c r="DT15" s="2" t="str">
        <f>'ENTRY DATA'!IK26</f>
        <v>-</v>
      </c>
      <c r="DU15" s="2" t="str">
        <f>'ENTRY DATA'!IL26</f>
        <v>-</v>
      </c>
      <c r="DV15" s="2" t="str">
        <f>'ENTRY DATA'!IM26</f>
        <v>-</v>
      </c>
      <c r="DW15" s="2" t="str">
        <f>'ENTRY DATA'!IN26</f>
        <v>-</v>
      </c>
      <c r="DX15" s="2" t="str">
        <f>'ENTRY DATA'!IO26</f>
        <v>-</v>
      </c>
      <c r="DY15" s="2" t="str">
        <f>'ENTRY DATA'!IP26</f>
        <v>-</v>
      </c>
      <c r="DZ15" s="2" t="str">
        <f>'ENTRY DATA'!IQ26</f>
        <v>-</v>
      </c>
      <c r="EA15" s="2" t="str">
        <f>'ENTRY DATA'!IR26</f>
        <v>-</v>
      </c>
      <c r="EB15" s="2" t="str">
        <f>'ENTRY DATA'!IS26</f>
        <v>-</v>
      </c>
      <c r="EC15" s="2" t="str">
        <f>'ENTRY DATA'!IT26</f>
        <v>-</v>
      </c>
      <c r="ED15" s="2" t="str">
        <f>'ENTRY DATA'!IU26</f>
        <v>-</v>
      </c>
      <c r="EE15" s="2" t="str">
        <f>'ENTRY DATA'!IV26</f>
        <v>-</v>
      </c>
      <c r="EF15" s="2" t="str">
        <f>'ENTRY DATA'!IW26</f>
        <v>-</v>
      </c>
      <c r="EG15" s="2" t="str">
        <f>'ENTRY DATA'!IX26</f>
        <v>-</v>
      </c>
      <c r="EH15" s="2" t="str">
        <f>'ENTRY DATA'!IY26</f>
        <v>-</v>
      </c>
      <c r="EI15" s="2" t="str">
        <f>'ENTRY DATA'!IZ26</f>
        <v>-</v>
      </c>
      <c r="EJ15" s="2">
        <f>'ENTRY DATA'!JA26</f>
        <v>0</v>
      </c>
      <c r="EK15" s="2">
        <f>'ENTRY DATA'!JB26</f>
        <v>1</v>
      </c>
    </row>
    <row r="16" spans="1:141" x14ac:dyDescent="0.25">
      <c r="A16" s="2" t="str">
        <f t="shared" si="0"/>
        <v>MIPA</v>
      </c>
      <c r="B16" s="2" t="str">
        <f t="shared" si="1"/>
        <v>Bandung, 10 Oktober 2022</v>
      </c>
      <c r="C16" s="2" t="str">
        <f t="shared" si="2"/>
        <v>Drs. Ahmad Fathony</v>
      </c>
      <c r="D16" s="2" t="str">
        <f t="shared" si="3"/>
        <v>12345678 123456 1 123</v>
      </c>
      <c r="E16" s="2" t="str">
        <f t="shared" si="4"/>
        <v>H. Abdul Basith, M.Pd.</v>
      </c>
      <c r="F16" s="2" t="str">
        <f t="shared" si="5"/>
        <v>12341234 123123 1 234</v>
      </c>
      <c r="G16" s="74">
        <f>'ENTRY DATA'!B27</f>
        <v>0</v>
      </c>
      <c r="H16" s="74">
        <f>'ENTRY DATA'!C27</f>
        <v>0</v>
      </c>
      <c r="I16" s="74">
        <f>'ENTRY DATA'!D27</f>
        <v>0</v>
      </c>
      <c r="J16" s="74">
        <f>'ENTRY DATA'!E27</f>
        <v>0</v>
      </c>
      <c r="K16" s="7" t="str">
        <f t="shared" si="6"/>
        <v>X MIPA-1</v>
      </c>
      <c r="L16" s="7">
        <f t="shared" si="7"/>
        <v>1</v>
      </c>
      <c r="M16" s="7" t="str">
        <f t="shared" si="41"/>
        <v>Ganjil</v>
      </c>
      <c r="N16" s="7" t="str">
        <f t="shared" si="8"/>
        <v>2022/2023</v>
      </c>
      <c r="O16" s="8">
        <f t="shared" si="9"/>
        <v>75</v>
      </c>
      <c r="P16" s="8">
        <f t="shared" si="10"/>
        <v>0</v>
      </c>
      <c r="Q16" s="8" t="str">
        <f>IFERROR(ROUND('ENTRY DATA'!N27,0),"-")</f>
        <v>-</v>
      </c>
      <c r="R16" s="8" t="str">
        <f>'ENTRY DATA'!O27</f>
        <v>-</v>
      </c>
      <c r="S16" s="8" t="str">
        <f>IFERROR(ROUND('ENTRY DATA'!P27,0),"-")</f>
        <v>-</v>
      </c>
      <c r="T16" s="8" t="str">
        <f>'ENTRY DATA'!Q27</f>
        <v>-</v>
      </c>
      <c r="U16" s="7">
        <f t="shared" si="11"/>
        <v>75</v>
      </c>
      <c r="V16" s="7">
        <f t="shared" si="12"/>
        <v>0</v>
      </c>
      <c r="W16" s="7" t="str">
        <f>IFERROR(ROUND('ENTRY DATA'!Z27,0),"-")</f>
        <v>-</v>
      </c>
      <c r="X16" s="7" t="str">
        <f>'ENTRY DATA'!AA27</f>
        <v>-</v>
      </c>
      <c r="Y16" s="7" t="str">
        <f>IFERROR(ROUND('ENTRY DATA'!AB27,0),"-")</f>
        <v>-</v>
      </c>
      <c r="Z16" s="7" t="str">
        <f>'ENTRY DATA'!AC27</f>
        <v>-</v>
      </c>
      <c r="AA16" s="8">
        <f t="shared" si="13"/>
        <v>75</v>
      </c>
      <c r="AB16" s="8">
        <f t="shared" si="14"/>
        <v>0</v>
      </c>
      <c r="AC16" s="8" t="str">
        <f>IFERROR(ROUND('ENTRY DATA'!AL27,0),"-")</f>
        <v>-</v>
      </c>
      <c r="AD16" s="8" t="str">
        <f>'ENTRY DATA'!AM27</f>
        <v>-</v>
      </c>
      <c r="AE16" s="8" t="str">
        <f>IFERROR(ROUND('ENTRY DATA'!AN27,0),"-")</f>
        <v>-</v>
      </c>
      <c r="AF16" s="8" t="str">
        <f>'ENTRY DATA'!AO27</f>
        <v>-</v>
      </c>
      <c r="AG16" s="7">
        <f t="shared" si="15"/>
        <v>75</v>
      </c>
      <c r="AH16" s="7">
        <f t="shared" si="16"/>
        <v>0</v>
      </c>
      <c r="AI16" s="7" t="str">
        <f>IFERROR(ROUND('ENTRY DATA'!AX27,0),"-")</f>
        <v>-</v>
      </c>
      <c r="AJ16" s="7" t="str">
        <f>'ENTRY DATA'!AY27</f>
        <v>-</v>
      </c>
      <c r="AK16" s="7" t="str">
        <f>IFERROR(ROUND('ENTRY DATA'!AZ27,0),"-")</f>
        <v>-</v>
      </c>
      <c r="AL16" s="7" t="str">
        <f>'ENTRY DATA'!BA27</f>
        <v>-</v>
      </c>
      <c r="AM16" s="8">
        <f t="shared" si="17"/>
        <v>75</v>
      </c>
      <c r="AN16" s="8">
        <f t="shared" si="18"/>
        <v>0</v>
      </c>
      <c r="AO16" s="8" t="str">
        <f>IFERROR(ROUND('ENTRY DATA'!BJ27,0),"-")</f>
        <v>-</v>
      </c>
      <c r="AP16" s="8" t="str">
        <f>'ENTRY DATA'!BK27</f>
        <v>-</v>
      </c>
      <c r="AQ16" s="8" t="str">
        <f>IFERROR(ROUND('ENTRY DATA'!BL27,0),"-")</f>
        <v>-</v>
      </c>
      <c r="AR16" s="8" t="str">
        <f>'ENTRY DATA'!BM27</f>
        <v>-</v>
      </c>
      <c r="AS16" s="7">
        <f t="shared" si="19"/>
        <v>75</v>
      </c>
      <c r="AT16" s="7">
        <f t="shared" si="20"/>
        <v>0</v>
      </c>
      <c r="AU16" s="7" t="str">
        <f>IFERROR(ROUND('ENTRY DATA'!BV27,0),"-")</f>
        <v>-</v>
      </c>
      <c r="AV16" s="7" t="str">
        <f>'ENTRY DATA'!BW27</f>
        <v>-</v>
      </c>
      <c r="AW16" s="7" t="str">
        <f>IFERROR(ROUND('ENTRY DATA'!BX27,0),"-")</f>
        <v>-</v>
      </c>
      <c r="AX16" s="7" t="str">
        <f>'ENTRY DATA'!BY27</f>
        <v>-</v>
      </c>
      <c r="AY16" s="8">
        <f t="shared" si="21"/>
        <v>75</v>
      </c>
      <c r="AZ16" s="8">
        <f t="shared" si="22"/>
        <v>0</v>
      </c>
      <c r="BA16" s="8" t="str">
        <f>IFERROR(ROUND('ENTRY DATA'!CH27,0),"-")</f>
        <v>-</v>
      </c>
      <c r="BB16" s="8" t="str">
        <f>'ENTRY DATA'!CI27</f>
        <v>-</v>
      </c>
      <c r="BC16" s="8" t="str">
        <f>IFERROR(ROUND('ENTRY DATA'!CJ27,0),"-")</f>
        <v>-</v>
      </c>
      <c r="BD16" s="8" t="str">
        <f>'ENTRY DATA'!CK27</f>
        <v>-</v>
      </c>
      <c r="BE16" s="7">
        <f t="shared" si="23"/>
        <v>75</v>
      </c>
      <c r="BF16" s="7">
        <f t="shared" si="24"/>
        <v>0</v>
      </c>
      <c r="BG16" s="7" t="str">
        <f>IFERROR(ROUND('ENTRY DATA'!CT27,0),"-")</f>
        <v>-</v>
      </c>
      <c r="BH16" s="7" t="str">
        <f>'ENTRY DATA'!CU27</f>
        <v>-</v>
      </c>
      <c r="BI16" s="7" t="str">
        <f>IFERROR(ROUND('ENTRY DATA'!CV27,0),"-")</f>
        <v>-</v>
      </c>
      <c r="BJ16" s="7" t="str">
        <f>'ENTRY DATA'!CW27</f>
        <v>-</v>
      </c>
      <c r="BK16" s="8">
        <f t="shared" si="25"/>
        <v>75</v>
      </c>
      <c r="BL16" s="8">
        <f t="shared" si="26"/>
        <v>0</v>
      </c>
      <c r="BM16" s="8" t="str">
        <f>IFERROR(ROUND('ENTRY DATA'!DF27,0),"-")</f>
        <v>-</v>
      </c>
      <c r="BN16" s="8" t="str">
        <f>'ENTRY DATA'!DG27</f>
        <v>-</v>
      </c>
      <c r="BO16" s="8" t="str">
        <f>IFERROR(ROUND('ENTRY DATA'!DH27,0),"-")</f>
        <v>-</v>
      </c>
      <c r="BP16" s="8" t="str">
        <f>'ENTRY DATA'!DI27</f>
        <v>-</v>
      </c>
      <c r="BQ16" s="7">
        <f t="shared" si="27"/>
        <v>75</v>
      </c>
      <c r="BR16" s="7">
        <f t="shared" si="28"/>
        <v>0</v>
      </c>
      <c r="BS16" s="7" t="str">
        <f>IFERROR(ROUND('ENTRY DATA'!DR27,0),"-")</f>
        <v>-</v>
      </c>
      <c r="BT16" s="7" t="str">
        <f>'ENTRY DATA'!DS27</f>
        <v>-</v>
      </c>
      <c r="BU16" s="7" t="str">
        <f>IFERROR(ROUND('ENTRY DATA'!DT27,0),"-")</f>
        <v>-</v>
      </c>
      <c r="BV16" s="7" t="str">
        <f>'ENTRY DATA'!DU27</f>
        <v>-</v>
      </c>
      <c r="BW16" s="8" t="str">
        <f>'ENTRY DATA'!$DV$8</f>
        <v>Matematika</v>
      </c>
      <c r="BX16" s="8">
        <f t="shared" si="29"/>
        <v>75</v>
      </c>
      <c r="BY16" s="8">
        <f t="shared" si="30"/>
        <v>0</v>
      </c>
      <c r="BZ16" s="8" t="str">
        <f>IFERROR(ROUND('ENTRY DATA'!ED27,0),"-")</f>
        <v>-</v>
      </c>
      <c r="CA16" s="8" t="str">
        <f>'ENTRY DATA'!EE27</f>
        <v>-</v>
      </c>
      <c r="CB16" s="8" t="str">
        <f>IFERROR(ROUND('ENTRY DATA'!EF27,0),"-")</f>
        <v>-</v>
      </c>
      <c r="CC16" s="8" t="str">
        <f>'ENTRY DATA'!EG27</f>
        <v>-</v>
      </c>
      <c r="CD16" s="7" t="str">
        <f>'ENTRY DATA'!$EH$8</f>
        <v>Biologi</v>
      </c>
      <c r="CE16" s="7">
        <f t="shared" si="31"/>
        <v>75</v>
      </c>
      <c r="CF16" s="7">
        <f t="shared" si="32"/>
        <v>0</v>
      </c>
      <c r="CG16" s="7" t="str">
        <f>IFERROR(ROUND('ENTRY DATA'!EP27,0),"-")</f>
        <v>-</v>
      </c>
      <c r="CH16" s="7" t="str">
        <f>'ENTRY DATA'!EQ27</f>
        <v>-</v>
      </c>
      <c r="CI16" s="7" t="str">
        <f>IFERROR(ROUND('ENTRY DATA'!ER27,0),"-")</f>
        <v>-</v>
      </c>
      <c r="CJ16" s="7" t="str">
        <f>'ENTRY DATA'!ES27</f>
        <v>-</v>
      </c>
      <c r="CK16" s="8" t="str">
        <f>'ENTRY DATA'!$ET$8</f>
        <v>Fisika</v>
      </c>
      <c r="CL16" s="8">
        <f t="shared" si="33"/>
        <v>75</v>
      </c>
      <c r="CM16" s="8">
        <f t="shared" si="34"/>
        <v>0</v>
      </c>
      <c r="CN16" s="8" t="str">
        <f>IFERROR(ROUND('ENTRY DATA'!FB27,0),"-")</f>
        <v>-</v>
      </c>
      <c r="CO16" s="8" t="str">
        <f>'ENTRY DATA'!FC27</f>
        <v>-</v>
      </c>
      <c r="CP16" s="8" t="str">
        <f>IFERROR(ROUND('ENTRY DATA'!FD27,0),"-")</f>
        <v>-</v>
      </c>
      <c r="CQ16" s="8" t="str">
        <f>'ENTRY DATA'!FE27</f>
        <v>-</v>
      </c>
      <c r="CR16" s="7" t="str">
        <f>'ENTRY DATA'!$FF$8</f>
        <v>Kimia</v>
      </c>
      <c r="CS16" s="7">
        <f t="shared" si="35"/>
        <v>75</v>
      </c>
      <c r="CT16" s="7">
        <f t="shared" si="36"/>
        <v>0</v>
      </c>
      <c r="CU16" s="7" t="str">
        <f>IFERROR(ROUND('ENTRY DATA'!FN27,0),"-")</f>
        <v>-</v>
      </c>
      <c r="CV16" s="7" t="str">
        <f>'ENTRY DATA'!FO27</f>
        <v>-</v>
      </c>
      <c r="CW16" s="7" t="str">
        <f>IFERROR(ROUND('ENTRY DATA'!FP27,0),"-")</f>
        <v>-</v>
      </c>
      <c r="CX16" s="7" t="str">
        <f>'ENTRY DATA'!FQ27</f>
        <v>-</v>
      </c>
      <c r="CY16" s="8" t="str">
        <f>'ENTRY DATA'!$FR$8</f>
        <v>-</v>
      </c>
      <c r="CZ16" s="8">
        <f t="shared" si="37"/>
        <v>75</v>
      </c>
      <c r="DA16" s="8">
        <f t="shared" si="38"/>
        <v>0</v>
      </c>
      <c r="DB16" s="8" t="str">
        <f>IFERROR(ROUND('ENTRY DATA'!FZ27,0),"-")</f>
        <v>-</v>
      </c>
      <c r="DC16" s="8" t="str">
        <f>'ENTRY DATA'!GA27</f>
        <v>-</v>
      </c>
      <c r="DD16" s="8" t="str">
        <f>IFERROR(ROUND('ENTRY DATA'!GB27,0),"-")</f>
        <v>-</v>
      </c>
      <c r="DE16" s="8" t="str">
        <f>'ENTRY DATA'!GC27</f>
        <v>-</v>
      </c>
      <c r="DF16" s="7" t="str">
        <f>'ENTRY DATA'!$GD$8</f>
        <v>-</v>
      </c>
      <c r="DG16" s="7">
        <f t="shared" si="39"/>
        <v>75</v>
      </c>
      <c r="DH16" s="7">
        <f t="shared" si="40"/>
        <v>0</v>
      </c>
      <c r="DI16" s="7" t="str">
        <f>IFERROR(ROUND('ENTRY DATA'!GL27,0),"-")</f>
        <v>-</v>
      </c>
      <c r="DJ16" s="7" t="str">
        <f>'ENTRY DATA'!GM27</f>
        <v>-</v>
      </c>
      <c r="DK16" s="7" t="str">
        <f>IFERROR(ROUND('ENTRY DATA'!GN27,0),"-")</f>
        <v>-</v>
      </c>
      <c r="DL16" s="7" t="str">
        <f>'ENTRY DATA'!GO27</f>
        <v>-</v>
      </c>
      <c r="DM16" s="16" t="str">
        <f>'ENTRY DATA'!HJ27</f>
        <v>-</v>
      </c>
      <c r="DN16" s="16" t="str">
        <f>'ENTRY DATA'!HK27</f>
        <v>-</v>
      </c>
      <c r="DO16" s="16" t="str">
        <f>'ENTRY DATA'!IF27</f>
        <v>-</v>
      </c>
      <c r="DP16" s="16" t="str">
        <f>'ENTRY DATA'!IG27</f>
        <v>-</v>
      </c>
      <c r="DQ16" s="2" t="str">
        <f>'ENTRY DATA'!IH27</f>
        <v>Pramuka</v>
      </c>
      <c r="DR16" s="2" t="str">
        <f>'ENTRY DATA'!II27</f>
        <v>B</v>
      </c>
      <c r="DS16" s="2" t="str">
        <f>'ENTRY DATA'!IJ27</f>
        <v>Aktif dalam mengikuti kegiatan</v>
      </c>
      <c r="DT16" s="2" t="str">
        <f>'ENTRY DATA'!IK27</f>
        <v>-</v>
      </c>
      <c r="DU16" s="2" t="str">
        <f>'ENTRY DATA'!IL27</f>
        <v>-</v>
      </c>
      <c r="DV16" s="2" t="str">
        <f>'ENTRY DATA'!IM27</f>
        <v>-</v>
      </c>
      <c r="DW16" s="2" t="str">
        <f>'ENTRY DATA'!IN27</f>
        <v>-</v>
      </c>
      <c r="DX16" s="2" t="str">
        <f>'ENTRY DATA'!IO27</f>
        <v>-</v>
      </c>
      <c r="DY16" s="2" t="str">
        <f>'ENTRY DATA'!IP27</f>
        <v>-</v>
      </c>
      <c r="DZ16" s="2" t="str">
        <f>'ENTRY DATA'!IQ27</f>
        <v>-</v>
      </c>
      <c r="EA16" s="2" t="str">
        <f>'ENTRY DATA'!IR27</f>
        <v>-</v>
      </c>
      <c r="EB16" s="2" t="str">
        <f>'ENTRY DATA'!IS27</f>
        <v>-</v>
      </c>
      <c r="EC16" s="2" t="str">
        <f>'ENTRY DATA'!IT27</f>
        <v>-</v>
      </c>
      <c r="ED16" s="2" t="str">
        <f>'ENTRY DATA'!IU27</f>
        <v>-</v>
      </c>
      <c r="EE16" s="2" t="str">
        <f>'ENTRY DATA'!IV27</f>
        <v>-</v>
      </c>
      <c r="EF16" s="2" t="str">
        <f>'ENTRY DATA'!IW27</f>
        <v>-</v>
      </c>
      <c r="EG16" s="2" t="str">
        <f>'ENTRY DATA'!IX27</f>
        <v>-</v>
      </c>
      <c r="EH16" s="2" t="str">
        <f>'ENTRY DATA'!IY27</f>
        <v>-</v>
      </c>
      <c r="EI16" s="2" t="str">
        <f>'ENTRY DATA'!IZ27</f>
        <v>-</v>
      </c>
      <c r="EJ16" s="2">
        <f>'ENTRY DATA'!JA27</f>
        <v>0</v>
      </c>
      <c r="EK16" s="2">
        <f>'ENTRY DATA'!JB27</f>
        <v>1</v>
      </c>
    </row>
    <row r="17" spans="1:141" x14ac:dyDescent="0.25">
      <c r="A17" s="2" t="str">
        <f t="shared" si="0"/>
        <v>MIPA</v>
      </c>
      <c r="B17" s="2" t="str">
        <f t="shared" si="1"/>
        <v>Bandung, 10 Oktober 2022</v>
      </c>
      <c r="C17" s="2" t="str">
        <f t="shared" si="2"/>
        <v>Drs. Ahmad Fathony</v>
      </c>
      <c r="D17" s="2" t="str">
        <f t="shared" si="3"/>
        <v>12345678 123456 1 123</v>
      </c>
      <c r="E17" s="2" t="str">
        <f t="shared" si="4"/>
        <v>H. Abdul Basith, M.Pd.</v>
      </c>
      <c r="F17" s="2" t="str">
        <f t="shared" si="5"/>
        <v>12341234 123123 1 234</v>
      </c>
      <c r="G17" s="74">
        <f>'ENTRY DATA'!B28</f>
        <v>0</v>
      </c>
      <c r="H17" s="74">
        <f>'ENTRY DATA'!C28</f>
        <v>0</v>
      </c>
      <c r="I17" s="74">
        <f>'ENTRY DATA'!D28</f>
        <v>0</v>
      </c>
      <c r="J17" s="74">
        <f>'ENTRY DATA'!E28</f>
        <v>0</v>
      </c>
      <c r="K17" s="7" t="str">
        <f t="shared" si="6"/>
        <v>X MIPA-1</v>
      </c>
      <c r="L17" s="7">
        <f t="shared" si="7"/>
        <v>1</v>
      </c>
      <c r="M17" s="7" t="str">
        <f t="shared" si="41"/>
        <v>Ganjil</v>
      </c>
      <c r="N17" s="7" t="str">
        <f t="shared" si="8"/>
        <v>2022/2023</v>
      </c>
      <c r="O17" s="8">
        <f t="shared" si="9"/>
        <v>75</v>
      </c>
      <c r="P17" s="8">
        <f t="shared" si="10"/>
        <v>0</v>
      </c>
      <c r="Q17" s="8" t="str">
        <f>IFERROR(ROUND('ENTRY DATA'!N28,0),"-")</f>
        <v>-</v>
      </c>
      <c r="R17" s="8" t="str">
        <f>'ENTRY DATA'!O28</f>
        <v>-</v>
      </c>
      <c r="S17" s="8" t="str">
        <f>IFERROR(ROUND('ENTRY DATA'!P28,0),"-")</f>
        <v>-</v>
      </c>
      <c r="T17" s="8" t="str">
        <f>'ENTRY DATA'!Q28</f>
        <v>-</v>
      </c>
      <c r="U17" s="7">
        <f t="shared" si="11"/>
        <v>75</v>
      </c>
      <c r="V17" s="7">
        <f t="shared" si="12"/>
        <v>0</v>
      </c>
      <c r="W17" s="7" t="str">
        <f>IFERROR(ROUND('ENTRY DATA'!Z28,0),"-")</f>
        <v>-</v>
      </c>
      <c r="X17" s="7" t="str">
        <f>'ENTRY DATA'!AA28</f>
        <v>-</v>
      </c>
      <c r="Y17" s="7" t="str">
        <f>IFERROR(ROUND('ENTRY DATA'!AB28,0),"-")</f>
        <v>-</v>
      </c>
      <c r="Z17" s="7" t="str">
        <f>'ENTRY DATA'!AC28</f>
        <v>-</v>
      </c>
      <c r="AA17" s="8">
        <f t="shared" si="13"/>
        <v>75</v>
      </c>
      <c r="AB17" s="8">
        <f t="shared" si="14"/>
        <v>0</v>
      </c>
      <c r="AC17" s="8" t="str">
        <f>IFERROR(ROUND('ENTRY DATA'!AL28,0),"-")</f>
        <v>-</v>
      </c>
      <c r="AD17" s="8" t="str">
        <f>'ENTRY DATA'!AM28</f>
        <v>-</v>
      </c>
      <c r="AE17" s="8" t="str">
        <f>IFERROR(ROUND('ENTRY DATA'!AN28,0),"-")</f>
        <v>-</v>
      </c>
      <c r="AF17" s="8" t="str">
        <f>'ENTRY DATA'!AO28</f>
        <v>-</v>
      </c>
      <c r="AG17" s="7">
        <f t="shared" si="15"/>
        <v>75</v>
      </c>
      <c r="AH17" s="7">
        <f t="shared" si="16"/>
        <v>0</v>
      </c>
      <c r="AI17" s="7" t="str">
        <f>IFERROR(ROUND('ENTRY DATA'!AX28,0),"-")</f>
        <v>-</v>
      </c>
      <c r="AJ17" s="7" t="str">
        <f>'ENTRY DATA'!AY28</f>
        <v>-</v>
      </c>
      <c r="AK17" s="7" t="str">
        <f>IFERROR(ROUND('ENTRY DATA'!AZ28,0),"-")</f>
        <v>-</v>
      </c>
      <c r="AL17" s="7" t="str">
        <f>'ENTRY DATA'!BA28</f>
        <v>-</v>
      </c>
      <c r="AM17" s="8">
        <f t="shared" si="17"/>
        <v>75</v>
      </c>
      <c r="AN17" s="8">
        <f t="shared" si="18"/>
        <v>0</v>
      </c>
      <c r="AO17" s="8" t="str">
        <f>IFERROR(ROUND('ENTRY DATA'!BJ28,0),"-")</f>
        <v>-</v>
      </c>
      <c r="AP17" s="8" t="str">
        <f>'ENTRY DATA'!BK28</f>
        <v>-</v>
      </c>
      <c r="AQ17" s="8" t="str">
        <f>IFERROR(ROUND('ENTRY DATA'!BL28,0),"-")</f>
        <v>-</v>
      </c>
      <c r="AR17" s="8" t="str">
        <f>'ENTRY DATA'!BM28</f>
        <v>-</v>
      </c>
      <c r="AS17" s="7">
        <f t="shared" si="19"/>
        <v>75</v>
      </c>
      <c r="AT17" s="7">
        <f t="shared" si="20"/>
        <v>0</v>
      </c>
      <c r="AU17" s="7" t="str">
        <f>IFERROR(ROUND('ENTRY DATA'!BV28,0),"-")</f>
        <v>-</v>
      </c>
      <c r="AV17" s="7" t="str">
        <f>'ENTRY DATA'!BW28</f>
        <v>-</v>
      </c>
      <c r="AW17" s="7" t="str">
        <f>IFERROR(ROUND('ENTRY DATA'!BX28,0),"-")</f>
        <v>-</v>
      </c>
      <c r="AX17" s="7" t="str">
        <f>'ENTRY DATA'!BY28</f>
        <v>-</v>
      </c>
      <c r="AY17" s="8">
        <f t="shared" si="21"/>
        <v>75</v>
      </c>
      <c r="AZ17" s="8">
        <f t="shared" si="22"/>
        <v>0</v>
      </c>
      <c r="BA17" s="8" t="str">
        <f>IFERROR(ROUND('ENTRY DATA'!CH28,0),"-")</f>
        <v>-</v>
      </c>
      <c r="BB17" s="8" t="str">
        <f>'ENTRY DATA'!CI28</f>
        <v>-</v>
      </c>
      <c r="BC17" s="8" t="str">
        <f>IFERROR(ROUND('ENTRY DATA'!CJ28,0),"-")</f>
        <v>-</v>
      </c>
      <c r="BD17" s="8" t="str">
        <f>'ENTRY DATA'!CK28</f>
        <v>-</v>
      </c>
      <c r="BE17" s="7">
        <f t="shared" si="23"/>
        <v>75</v>
      </c>
      <c r="BF17" s="7">
        <f t="shared" si="24"/>
        <v>0</v>
      </c>
      <c r="BG17" s="7" t="str">
        <f>IFERROR(ROUND('ENTRY DATA'!CT28,0),"-")</f>
        <v>-</v>
      </c>
      <c r="BH17" s="7" t="str">
        <f>'ENTRY DATA'!CU28</f>
        <v>-</v>
      </c>
      <c r="BI17" s="7" t="str">
        <f>IFERROR(ROUND('ENTRY DATA'!CV28,0),"-")</f>
        <v>-</v>
      </c>
      <c r="BJ17" s="7" t="str">
        <f>'ENTRY DATA'!CW28</f>
        <v>-</v>
      </c>
      <c r="BK17" s="8">
        <f t="shared" si="25"/>
        <v>75</v>
      </c>
      <c r="BL17" s="8">
        <f t="shared" si="26"/>
        <v>0</v>
      </c>
      <c r="BM17" s="8" t="str">
        <f>IFERROR(ROUND('ENTRY DATA'!DF28,0),"-")</f>
        <v>-</v>
      </c>
      <c r="BN17" s="8" t="str">
        <f>'ENTRY DATA'!DG28</f>
        <v>-</v>
      </c>
      <c r="BO17" s="8" t="str">
        <f>IFERROR(ROUND('ENTRY DATA'!DH28,0),"-")</f>
        <v>-</v>
      </c>
      <c r="BP17" s="8" t="str">
        <f>'ENTRY DATA'!DI28</f>
        <v>-</v>
      </c>
      <c r="BQ17" s="7">
        <f t="shared" si="27"/>
        <v>75</v>
      </c>
      <c r="BR17" s="7">
        <f t="shared" si="28"/>
        <v>0</v>
      </c>
      <c r="BS17" s="7" t="str">
        <f>IFERROR(ROUND('ENTRY DATA'!DR28,0),"-")</f>
        <v>-</v>
      </c>
      <c r="BT17" s="7" t="str">
        <f>'ENTRY DATA'!DS28</f>
        <v>-</v>
      </c>
      <c r="BU17" s="7" t="str">
        <f>IFERROR(ROUND('ENTRY DATA'!DT28,0),"-")</f>
        <v>-</v>
      </c>
      <c r="BV17" s="7" t="str">
        <f>'ENTRY DATA'!DU28</f>
        <v>-</v>
      </c>
      <c r="BW17" s="8" t="str">
        <f>'ENTRY DATA'!$DV$8</f>
        <v>Matematika</v>
      </c>
      <c r="BX17" s="8">
        <f t="shared" si="29"/>
        <v>75</v>
      </c>
      <c r="BY17" s="8">
        <f t="shared" si="30"/>
        <v>0</v>
      </c>
      <c r="BZ17" s="8" t="str">
        <f>IFERROR(ROUND('ENTRY DATA'!ED28,0),"-")</f>
        <v>-</v>
      </c>
      <c r="CA17" s="8" t="str">
        <f>'ENTRY DATA'!EE28</f>
        <v>-</v>
      </c>
      <c r="CB17" s="8" t="str">
        <f>IFERROR(ROUND('ENTRY DATA'!EF28,0),"-")</f>
        <v>-</v>
      </c>
      <c r="CC17" s="8" t="str">
        <f>'ENTRY DATA'!EG28</f>
        <v>-</v>
      </c>
      <c r="CD17" s="7" t="str">
        <f>'ENTRY DATA'!$EH$8</f>
        <v>Biologi</v>
      </c>
      <c r="CE17" s="7">
        <f t="shared" si="31"/>
        <v>75</v>
      </c>
      <c r="CF17" s="7">
        <f t="shared" si="32"/>
        <v>0</v>
      </c>
      <c r="CG17" s="7" t="str">
        <f>IFERROR(ROUND('ENTRY DATA'!EP28,0),"-")</f>
        <v>-</v>
      </c>
      <c r="CH17" s="7" t="str">
        <f>'ENTRY DATA'!EQ28</f>
        <v>-</v>
      </c>
      <c r="CI17" s="7" t="str">
        <f>IFERROR(ROUND('ENTRY DATA'!ER28,0),"-")</f>
        <v>-</v>
      </c>
      <c r="CJ17" s="7" t="str">
        <f>'ENTRY DATA'!ES28</f>
        <v>-</v>
      </c>
      <c r="CK17" s="8" t="str">
        <f>'ENTRY DATA'!$ET$8</f>
        <v>Fisika</v>
      </c>
      <c r="CL17" s="8">
        <f t="shared" si="33"/>
        <v>75</v>
      </c>
      <c r="CM17" s="8">
        <f t="shared" si="34"/>
        <v>0</v>
      </c>
      <c r="CN17" s="8" t="str">
        <f>IFERROR(ROUND('ENTRY DATA'!FB28,0),"-")</f>
        <v>-</v>
      </c>
      <c r="CO17" s="8" t="str">
        <f>'ENTRY DATA'!FC28</f>
        <v>-</v>
      </c>
      <c r="CP17" s="8" t="str">
        <f>IFERROR(ROUND('ENTRY DATA'!FD28,0),"-")</f>
        <v>-</v>
      </c>
      <c r="CQ17" s="8" t="str">
        <f>'ENTRY DATA'!FE28</f>
        <v>-</v>
      </c>
      <c r="CR17" s="7" t="str">
        <f>'ENTRY DATA'!$FF$8</f>
        <v>Kimia</v>
      </c>
      <c r="CS17" s="7">
        <f t="shared" si="35"/>
        <v>75</v>
      </c>
      <c r="CT17" s="7">
        <f t="shared" si="36"/>
        <v>0</v>
      </c>
      <c r="CU17" s="7" t="str">
        <f>IFERROR(ROUND('ENTRY DATA'!FN28,0),"-")</f>
        <v>-</v>
      </c>
      <c r="CV17" s="7" t="str">
        <f>'ENTRY DATA'!FO28</f>
        <v>-</v>
      </c>
      <c r="CW17" s="7" t="str">
        <f>IFERROR(ROUND('ENTRY DATA'!FP28,0),"-")</f>
        <v>-</v>
      </c>
      <c r="CX17" s="7" t="str">
        <f>'ENTRY DATA'!FQ28</f>
        <v>-</v>
      </c>
      <c r="CY17" s="8" t="str">
        <f>'ENTRY DATA'!$FR$8</f>
        <v>-</v>
      </c>
      <c r="CZ17" s="8">
        <f t="shared" si="37"/>
        <v>75</v>
      </c>
      <c r="DA17" s="8">
        <f t="shared" si="38"/>
        <v>0</v>
      </c>
      <c r="DB17" s="8" t="str">
        <f>IFERROR(ROUND('ENTRY DATA'!FZ28,0),"-")</f>
        <v>-</v>
      </c>
      <c r="DC17" s="8" t="str">
        <f>'ENTRY DATA'!GA28</f>
        <v>-</v>
      </c>
      <c r="DD17" s="8" t="str">
        <f>IFERROR(ROUND('ENTRY DATA'!GB28,0),"-")</f>
        <v>-</v>
      </c>
      <c r="DE17" s="8" t="str">
        <f>'ENTRY DATA'!GC28</f>
        <v>-</v>
      </c>
      <c r="DF17" s="7" t="str">
        <f>'ENTRY DATA'!$GD$8</f>
        <v>-</v>
      </c>
      <c r="DG17" s="7">
        <f t="shared" si="39"/>
        <v>75</v>
      </c>
      <c r="DH17" s="7">
        <f t="shared" si="40"/>
        <v>0</v>
      </c>
      <c r="DI17" s="7" t="str">
        <f>IFERROR(ROUND('ENTRY DATA'!GL28,0),"-")</f>
        <v>-</v>
      </c>
      <c r="DJ17" s="7" t="str">
        <f>'ENTRY DATA'!GM28</f>
        <v>-</v>
      </c>
      <c r="DK17" s="7" t="str">
        <f>IFERROR(ROUND('ENTRY DATA'!GN28,0),"-")</f>
        <v>-</v>
      </c>
      <c r="DL17" s="7" t="str">
        <f>'ENTRY DATA'!GO28</f>
        <v>-</v>
      </c>
      <c r="DM17" s="16" t="str">
        <f>'ENTRY DATA'!HJ28</f>
        <v>-</v>
      </c>
      <c r="DN17" s="16" t="str">
        <f>'ENTRY DATA'!HK28</f>
        <v>-</v>
      </c>
      <c r="DO17" s="16" t="str">
        <f>'ENTRY DATA'!IF28</f>
        <v>-</v>
      </c>
      <c r="DP17" s="16" t="str">
        <f>'ENTRY DATA'!IG28</f>
        <v>-</v>
      </c>
      <c r="DQ17" s="2" t="str">
        <f>'ENTRY DATA'!IH28</f>
        <v>Pramuka</v>
      </c>
      <c r="DR17" s="2" t="str">
        <f>'ENTRY DATA'!II28</f>
        <v>B</v>
      </c>
      <c r="DS17" s="2" t="str">
        <f>'ENTRY DATA'!IJ28</f>
        <v>Aktif dalam mengikuti kegiatan</v>
      </c>
      <c r="DT17" s="2" t="str">
        <f>'ENTRY DATA'!IK28</f>
        <v>-</v>
      </c>
      <c r="DU17" s="2" t="str">
        <f>'ENTRY DATA'!IL28</f>
        <v>-</v>
      </c>
      <c r="DV17" s="2" t="str">
        <f>'ENTRY DATA'!IM28</f>
        <v>-</v>
      </c>
      <c r="DW17" s="2" t="str">
        <f>'ENTRY DATA'!IN28</f>
        <v>-</v>
      </c>
      <c r="DX17" s="2" t="str">
        <f>'ENTRY DATA'!IO28</f>
        <v>-</v>
      </c>
      <c r="DY17" s="2" t="str">
        <f>'ENTRY DATA'!IP28</f>
        <v>-</v>
      </c>
      <c r="DZ17" s="2" t="str">
        <f>'ENTRY DATA'!IQ28</f>
        <v>-</v>
      </c>
      <c r="EA17" s="2" t="str">
        <f>'ENTRY DATA'!IR28</f>
        <v>-</v>
      </c>
      <c r="EB17" s="2" t="str">
        <f>'ENTRY DATA'!IS28</f>
        <v>-</v>
      </c>
      <c r="EC17" s="2" t="str">
        <f>'ENTRY DATA'!IT28</f>
        <v>-</v>
      </c>
      <c r="ED17" s="2" t="str">
        <f>'ENTRY DATA'!IU28</f>
        <v>-</v>
      </c>
      <c r="EE17" s="2" t="str">
        <f>'ENTRY DATA'!IV28</f>
        <v>-</v>
      </c>
      <c r="EF17" s="2" t="str">
        <f>'ENTRY DATA'!IW28</f>
        <v>-</v>
      </c>
      <c r="EG17" s="2" t="str">
        <f>'ENTRY DATA'!IX28</f>
        <v>-</v>
      </c>
      <c r="EH17" s="2" t="str">
        <f>'ENTRY DATA'!IY28</f>
        <v>-</v>
      </c>
      <c r="EI17" s="2" t="str">
        <f>'ENTRY DATA'!IZ28</f>
        <v>-</v>
      </c>
      <c r="EJ17" s="2">
        <f>'ENTRY DATA'!JA28</f>
        <v>0</v>
      </c>
      <c r="EK17" s="2">
        <f>'ENTRY DATA'!JB28</f>
        <v>1</v>
      </c>
    </row>
    <row r="18" spans="1:141" x14ac:dyDescent="0.25">
      <c r="A18" s="2" t="str">
        <f t="shared" si="0"/>
        <v>MIPA</v>
      </c>
      <c r="B18" s="2" t="str">
        <f t="shared" si="1"/>
        <v>Bandung, 10 Oktober 2022</v>
      </c>
      <c r="C18" s="2" t="str">
        <f t="shared" si="2"/>
        <v>Drs. Ahmad Fathony</v>
      </c>
      <c r="D18" s="2" t="str">
        <f t="shared" si="3"/>
        <v>12345678 123456 1 123</v>
      </c>
      <c r="E18" s="2" t="str">
        <f t="shared" si="4"/>
        <v>H. Abdul Basith, M.Pd.</v>
      </c>
      <c r="F18" s="2" t="str">
        <f t="shared" si="5"/>
        <v>12341234 123123 1 234</v>
      </c>
      <c r="G18" s="74">
        <f>'ENTRY DATA'!B29</f>
        <v>0</v>
      </c>
      <c r="H18" s="74">
        <f>'ENTRY DATA'!C29</f>
        <v>0</v>
      </c>
      <c r="I18" s="74">
        <f>'ENTRY DATA'!D29</f>
        <v>0</v>
      </c>
      <c r="J18" s="74">
        <f>'ENTRY DATA'!E29</f>
        <v>0</v>
      </c>
      <c r="K18" s="7" t="str">
        <f t="shared" si="6"/>
        <v>X MIPA-1</v>
      </c>
      <c r="L18" s="7">
        <f t="shared" si="7"/>
        <v>1</v>
      </c>
      <c r="M18" s="7" t="str">
        <f t="shared" si="41"/>
        <v>Ganjil</v>
      </c>
      <c r="N18" s="7" t="str">
        <f t="shared" si="8"/>
        <v>2022/2023</v>
      </c>
      <c r="O18" s="8">
        <f t="shared" si="9"/>
        <v>75</v>
      </c>
      <c r="P18" s="8">
        <f t="shared" si="10"/>
        <v>0</v>
      </c>
      <c r="Q18" s="8" t="str">
        <f>IFERROR(ROUND('ENTRY DATA'!N29,0),"-")</f>
        <v>-</v>
      </c>
      <c r="R18" s="8" t="str">
        <f>'ENTRY DATA'!O29</f>
        <v>-</v>
      </c>
      <c r="S18" s="8" t="str">
        <f>IFERROR(ROUND('ENTRY DATA'!P29,0),"-")</f>
        <v>-</v>
      </c>
      <c r="T18" s="8" t="str">
        <f>'ENTRY DATA'!Q29</f>
        <v>-</v>
      </c>
      <c r="U18" s="7">
        <f t="shared" si="11"/>
        <v>75</v>
      </c>
      <c r="V18" s="7">
        <f t="shared" si="12"/>
        <v>0</v>
      </c>
      <c r="W18" s="7" t="str">
        <f>IFERROR(ROUND('ENTRY DATA'!Z29,0),"-")</f>
        <v>-</v>
      </c>
      <c r="X18" s="7" t="str">
        <f>'ENTRY DATA'!AA29</f>
        <v>-</v>
      </c>
      <c r="Y18" s="7" t="str">
        <f>IFERROR(ROUND('ENTRY DATA'!AB29,0),"-")</f>
        <v>-</v>
      </c>
      <c r="Z18" s="7" t="str">
        <f>'ENTRY DATA'!AC29</f>
        <v>-</v>
      </c>
      <c r="AA18" s="8">
        <f t="shared" si="13"/>
        <v>75</v>
      </c>
      <c r="AB18" s="8">
        <f t="shared" si="14"/>
        <v>0</v>
      </c>
      <c r="AC18" s="8" t="str">
        <f>IFERROR(ROUND('ENTRY DATA'!AL29,0),"-")</f>
        <v>-</v>
      </c>
      <c r="AD18" s="8" t="str">
        <f>'ENTRY DATA'!AM29</f>
        <v>-</v>
      </c>
      <c r="AE18" s="8" t="str">
        <f>IFERROR(ROUND('ENTRY DATA'!AN29,0),"-")</f>
        <v>-</v>
      </c>
      <c r="AF18" s="8" t="str">
        <f>'ENTRY DATA'!AO29</f>
        <v>-</v>
      </c>
      <c r="AG18" s="7">
        <f t="shared" si="15"/>
        <v>75</v>
      </c>
      <c r="AH18" s="7">
        <f t="shared" si="16"/>
        <v>0</v>
      </c>
      <c r="AI18" s="7" t="str">
        <f>IFERROR(ROUND('ENTRY DATA'!AX29,0),"-")</f>
        <v>-</v>
      </c>
      <c r="AJ18" s="7" t="str">
        <f>'ENTRY DATA'!AY29</f>
        <v>-</v>
      </c>
      <c r="AK18" s="7" t="str">
        <f>IFERROR(ROUND('ENTRY DATA'!AZ29,0),"-")</f>
        <v>-</v>
      </c>
      <c r="AL18" s="7" t="str">
        <f>'ENTRY DATA'!BA29</f>
        <v>-</v>
      </c>
      <c r="AM18" s="8">
        <f t="shared" si="17"/>
        <v>75</v>
      </c>
      <c r="AN18" s="8">
        <f t="shared" si="18"/>
        <v>0</v>
      </c>
      <c r="AO18" s="8" t="str">
        <f>IFERROR(ROUND('ENTRY DATA'!BJ29,0),"-")</f>
        <v>-</v>
      </c>
      <c r="AP18" s="8" t="str">
        <f>'ENTRY DATA'!BK29</f>
        <v>-</v>
      </c>
      <c r="AQ18" s="8" t="str">
        <f>IFERROR(ROUND('ENTRY DATA'!BL29,0),"-")</f>
        <v>-</v>
      </c>
      <c r="AR18" s="8" t="str">
        <f>'ENTRY DATA'!BM29</f>
        <v>-</v>
      </c>
      <c r="AS18" s="7">
        <f t="shared" si="19"/>
        <v>75</v>
      </c>
      <c r="AT18" s="7">
        <f t="shared" si="20"/>
        <v>0</v>
      </c>
      <c r="AU18" s="7" t="str">
        <f>IFERROR(ROUND('ENTRY DATA'!BV29,0),"-")</f>
        <v>-</v>
      </c>
      <c r="AV18" s="7" t="str">
        <f>'ENTRY DATA'!BW29</f>
        <v>-</v>
      </c>
      <c r="AW18" s="7" t="str">
        <f>IFERROR(ROUND('ENTRY DATA'!BX29,0),"-")</f>
        <v>-</v>
      </c>
      <c r="AX18" s="7" t="str">
        <f>'ENTRY DATA'!BY29</f>
        <v>-</v>
      </c>
      <c r="AY18" s="8">
        <f t="shared" si="21"/>
        <v>75</v>
      </c>
      <c r="AZ18" s="8">
        <f t="shared" si="22"/>
        <v>0</v>
      </c>
      <c r="BA18" s="8" t="str">
        <f>IFERROR(ROUND('ENTRY DATA'!CH29,0),"-")</f>
        <v>-</v>
      </c>
      <c r="BB18" s="8" t="str">
        <f>'ENTRY DATA'!CI29</f>
        <v>-</v>
      </c>
      <c r="BC18" s="8" t="str">
        <f>IFERROR(ROUND('ENTRY DATA'!CJ29,0),"-")</f>
        <v>-</v>
      </c>
      <c r="BD18" s="8" t="str">
        <f>'ENTRY DATA'!CK29</f>
        <v>-</v>
      </c>
      <c r="BE18" s="7">
        <f t="shared" si="23"/>
        <v>75</v>
      </c>
      <c r="BF18" s="7">
        <f t="shared" si="24"/>
        <v>0</v>
      </c>
      <c r="BG18" s="7" t="str">
        <f>IFERROR(ROUND('ENTRY DATA'!CT29,0),"-")</f>
        <v>-</v>
      </c>
      <c r="BH18" s="7" t="str">
        <f>'ENTRY DATA'!CU29</f>
        <v>-</v>
      </c>
      <c r="BI18" s="7" t="str">
        <f>IFERROR(ROUND('ENTRY DATA'!CV29,0),"-")</f>
        <v>-</v>
      </c>
      <c r="BJ18" s="7" t="str">
        <f>'ENTRY DATA'!CW29</f>
        <v>-</v>
      </c>
      <c r="BK18" s="8">
        <f t="shared" si="25"/>
        <v>75</v>
      </c>
      <c r="BL18" s="8">
        <f t="shared" si="26"/>
        <v>0</v>
      </c>
      <c r="BM18" s="8" t="str">
        <f>IFERROR(ROUND('ENTRY DATA'!DF29,0),"-")</f>
        <v>-</v>
      </c>
      <c r="BN18" s="8" t="str">
        <f>'ENTRY DATA'!DG29</f>
        <v>-</v>
      </c>
      <c r="BO18" s="8" t="str">
        <f>IFERROR(ROUND('ENTRY DATA'!DH29,0),"-")</f>
        <v>-</v>
      </c>
      <c r="BP18" s="8" t="str">
        <f>'ENTRY DATA'!DI29</f>
        <v>-</v>
      </c>
      <c r="BQ18" s="7">
        <f t="shared" si="27"/>
        <v>75</v>
      </c>
      <c r="BR18" s="7">
        <f t="shared" si="28"/>
        <v>0</v>
      </c>
      <c r="BS18" s="7" t="str">
        <f>IFERROR(ROUND('ENTRY DATA'!DR29,0),"-")</f>
        <v>-</v>
      </c>
      <c r="BT18" s="7" t="str">
        <f>'ENTRY DATA'!DS29</f>
        <v>-</v>
      </c>
      <c r="BU18" s="7" t="str">
        <f>IFERROR(ROUND('ENTRY DATA'!DT29,0),"-")</f>
        <v>-</v>
      </c>
      <c r="BV18" s="7" t="str">
        <f>'ENTRY DATA'!DU29</f>
        <v>-</v>
      </c>
      <c r="BW18" s="8" t="str">
        <f>'ENTRY DATA'!$DV$8</f>
        <v>Matematika</v>
      </c>
      <c r="BX18" s="8">
        <f t="shared" si="29"/>
        <v>75</v>
      </c>
      <c r="BY18" s="8">
        <f t="shared" si="30"/>
        <v>0</v>
      </c>
      <c r="BZ18" s="8" t="str">
        <f>IFERROR(ROUND('ENTRY DATA'!ED29,0),"-")</f>
        <v>-</v>
      </c>
      <c r="CA18" s="8" t="str">
        <f>'ENTRY DATA'!EE29</f>
        <v>-</v>
      </c>
      <c r="CB18" s="8" t="str">
        <f>IFERROR(ROUND('ENTRY DATA'!EF29,0),"-")</f>
        <v>-</v>
      </c>
      <c r="CC18" s="8" t="str">
        <f>'ENTRY DATA'!EG29</f>
        <v>-</v>
      </c>
      <c r="CD18" s="7" t="str">
        <f>'ENTRY DATA'!$EH$8</f>
        <v>Biologi</v>
      </c>
      <c r="CE18" s="7">
        <f t="shared" si="31"/>
        <v>75</v>
      </c>
      <c r="CF18" s="7">
        <f t="shared" si="32"/>
        <v>0</v>
      </c>
      <c r="CG18" s="7" t="str">
        <f>IFERROR(ROUND('ENTRY DATA'!EP29,0),"-")</f>
        <v>-</v>
      </c>
      <c r="CH18" s="7" t="str">
        <f>'ENTRY DATA'!EQ29</f>
        <v>-</v>
      </c>
      <c r="CI18" s="7" t="str">
        <f>IFERROR(ROUND('ENTRY DATA'!ER29,0),"-")</f>
        <v>-</v>
      </c>
      <c r="CJ18" s="7" t="str">
        <f>'ENTRY DATA'!ES29</f>
        <v>-</v>
      </c>
      <c r="CK18" s="8" t="str">
        <f>'ENTRY DATA'!$ET$8</f>
        <v>Fisika</v>
      </c>
      <c r="CL18" s="8">
        <f t="shared" si="33"/>
        <v>75</v>
      </c>
      <c r="CM18" s="8">
        <f t="shared" si="34"/>
        <v>0</v>
      </c>
      <c r="CN18" s="8" t="str">
        <f>IFERROR(ROUND('ENTRY DATA'!FB29,0),"-")</f>
        <v>-</v>
      </c>
      <c r="CO18" s="8" t="str">
        <f>'ENTRY DATA'!FC29</f>
        <v>-</v>
      </c>
      <c r="CP18" s="8" t="str">
        <f>IFERROR(ROUND('ENTRY DATA'!FD29,0),"-")</f>
        <v>-</v>
      </c>
      <c r="CQ18" s="8" t="str">
        <f>'ENTRY DATA'!FE29</f>
        <v>-</v>
      </c>
      <c r="CR18" s="7" t="str">
        <f>'ENTRY DATA'!$FF$8</f>
        <v>Kimia</v>
      </c>
      <c r="CS18" s="7">
        <f t="shared" si="35"/>
        <v>75</v>
      </c>
      <c r="CT18" s="7">
        <f t="shared" si="36"/>
        <v>0</v>
      </c>
      <c r="CU18" s="7" t="str">
        <f>IFERROR(ROUND('ENTRY DATA'!FN29,0),"-")</f>
        <v>-</v>
      </c>
      <c r="CV18" s="7" t="str">
        <f>'ENTRY DATA'!FO29</f>
        <v>-</v>
      </c>
      <c r="CW18" s="7" t="str">
        <f>IFERROR(ROUND('ENTRY DATA'!FP29,0),"-")</f>
        <v>-</v>
      </c>
      <c r="CX18" s="7" t="str">
        <f>'ENTRY DATA'!FQ29</f>
        <v>-</v>
      </c>
      <c r="CY18" s="8" t="str">
        <f>'ENTRY DATA'!$FR$8</f>
        <v>-</v>
      </c>
      <c r="CZ18" s="8">
        <f t="shared" si="37"/>
        <v>75</v>
      </c>
      <c r="DA18" s="8">
        <f t="shared" si="38"/>
        <v>0</v>
      </c>
      <c r="DB18" s="8" t="str">
        <f>IFERROR(ROUND('ENTRY DATA'!FZ29,0),"-")</f>
        <v>-</v>
      </c>
      <c r="DC18" s="8" t="str">
        <f>'ENTRY DATA'!GA29</f>
        <v>-</v>
      </c>
      <c r="DD18" s="8" t="str">
        <f>IFERROR(ROUND('ENTRY DATA'!GB29,0),"-")</f>
        <v>-</v>
      </c>
      <c r="DE18" s="8" t="str">
        <f>'ENTRY DATA'!GC29</f>
        <v>-</v>
      </c>
      <c r="DF18" s="7" t="str">
        <f>'ENTRY DATA'!$GD$8</f>
        <v>-</v>
      </c>
      <c r="DG18" s="7">
        <f t="shared" si="39"/>
        <v>75</v>
      </c>
      <c r="DH18" s="7">
        <f t="shared" si="40"/>
        <v>0</v>
      </c>
      <c r="DI18" s="7" t="str">
        <f>IFERROR(ROUND('ENTRY DATA'!GL29,0),"-")</f>
        <v>-</v>
      </c>
      <c r="DJ18" s="7" t="str">
        <f>'ENTRY DATA'!GM29</f>
        <v>-</v>
      </c>
      <c r="DK18" s="7" t="str">
        <f>IFERROR(ROUND('ENTRY DATA'!GN29,0),"-")</f>
        <v>-</v>
      </c>
      <c r="DL18" s="7" t="str">
        <f>'ENTRY DATA'!GO29</f>
        <v>-</v>
      </c>
      <c r="DM18" s="16" t="str">
        <f>'ENTRY DATA'!HJ29</f>
        <v>-</v>
      </c>
      <c r="DN18" s="16" t="str">
        <f>'ENTRY DATA'!HK29</f>
        <v>-</v>
      </c>
      <c r="DO18" s="16" t="str">
        <f>'ENTRY DATA'!IF29</f>
        <v>-</v>
      </c>
      <c r="DP18" s="16" t="str">
        <f>'ENTRY DATA'!IG29</f>
        <v>-</v>
      </c>
      <c r="DQ18" s="2" t="str">
        <f>'ENTRY DATA'!IH29</f>
        <v>Pramuka</v>
      </c>
      <c r="DR18" s="2" t="str">
        <f>'ENTRY DATA'!II29</f>
        <v>B</v>
      </c>
      <c r="DS18" s="2" t="str">
        <f>'ENTRY DATA'!IJ29</f>
        <v>Aktif dalam mengikuti kegiatan</v>
      </c>
      <c r="DT18" s="2" t="str">
        <f>'ENTRY DATA'!IK29</f>
        <v>-</v>
      </c>
      <c r="DU18" s="2" t="str">
        <f>'ENTRY DATA'!IL29</f>
        <v>-</v>
      </c>
      <c r="DV18" s="2" t="str">
        <f>'ENTRY DATA'!IM29</f>
        <v>-</v>
      </c>
      <c r="DW18" s="2" t="str">
        <f>'ENTRY DATA'!IN29</f>
        <v>-</v>
      </c>
      <c r="DX18" s="2" t="str">
        <f>'ENTRY DATA'!IO29</f>
        <v>-</v>
      </c>
      <c r="DY18" s="2" t="str">
        <f>'ENTRY DATA'!IP29</f>
        <v>-</v>
      </c>
      <c r="DZ18" s="2" t="str">
        <f>'ENTRY DATA'!IQ29</f>
        <v>-</v>
      </c>
      <c r="EA18" s="2" t="str">
        <f>'ENTRY DATA'!IR29</f>
        <v>-</v>
      </c>
      <c r="EB18" s="2" t="str">
        <f>'ENTRY DATA'!IS29</f>
        <v>-</v>
      </c>
      <c r="EC18" s="2" t="str">
        <f>'ENTRY DATA'!IT29</f>
        <v>-</v>
      </c>
      <c r="ED18" s="2" t="str">
        <f>'ENTRY DATA'!IU29</f>
        <v>-</v>
      </c>
      <c r="EE18" s="2" t="str">
        <f>'ENTRY DATA'!IV29</f>
        <v>-</v>
      </c>
      <c r="EF18" s="2" t="str">
        <f>'ENTRY DATA'!IW29</f>
        <v>-</v>
      </c>
      <c r="EG18" s="2" t="str">
        <f>'ENTRY DATA'!IX29</f>
        <v>-</v>
      </c>
      <c r="EH18" s="2" t="str">
        <f>'ENTRY DATA'!IY29</f>
        <v>-</v>
      </c>
      <c r="EI18" s="2" t="str">
        <f>'ENTRY DATA'!IZ29</f>
        <v>-</v>
      </c>
      <c r="EJ18" s="2">
        <f>'ENTRY DATA'!JA29</f>
        <v>0</v>
      </c>
      <c r="EK18" s="2">
        <f>'ENTRY DATA'!JB29</f>
        <v>1</v>
      </c>
    </row>
    <row r="19" spans="1:141" x14ac:dyDescent="0.25">
      <c r="A19" s="2" t="str">
        <f t="shared" si="0"/>
        <v>MIPA</v>
      </c>
      <c r="B19" s="2" t="str">
        <f t="shared" si="1"/>
        <v>Bandung, 10 Oktober 2022</v>
      </c>
      <c r="C19" s="2" t="str">
        <f t="shared" si="2"/>
        <v>Drs. Ahmad Fathony</v>
      </c>
      <c r="D19" s="2" t="str">
        <f t="shared" si="3"/>
        <v>12345678 123456 1 123</v>
      </c>
      <c r="E19" s="2" t="str">
        <f t="shared" si="4"/>
        <v>H. Abdul Basith, M.Pd.</v>
      </c>
      <c r="F19" s="2" t="str">
        <f t="shared" si="5"/>
        <v>12341234 123123 1 234</v>
      </c>
      <c r="G19" s="74">
        <f>'ENTRY DATA'!B30</f>
        <v>0</v>
      </c>
      <c r="H19" s="74">
        <f>'ENTRY DATA'!C30</f>
        <v>0</v>
      </c>
      <c r="I19" s="74">
        <f>'ENTRY DATA'!D30</f>
        <v>0</v>
      </c>
      <c r="J19" s="74">
        <f>'ENTRY DATA'!E30</f>
        <v>0</v>
      </c>
      <c r="K19" s="7" t="str">
        <f t="shared" si="6"/>
        <v>X MIPA-1</v>
      </c>
      <c r="L19" s="7">
        <f t="shared" si="7"/>
        <v>1</v>
      </c>
      <c r="M19" s="7" t="str">
        <f t="shared" si="41"/>
        <v>Ganjil</v>
      </c>
      <c r="N19" s="7" t="str">
        <f t="shared" si="8"/>
        <v>2022/2023</v>
      </c>
      <c r="O19" s="8">
        <f t="shared" si="9"/>
        <v>75</v>
      </c>
      <c r="P19" s="8">
        <f t="shared" si="10"/>
        <v>0</v>
      </c>
      <c r="Q19" s="8" t="str">
        <f>IFERROR(ROUND('ENTRY DATA'!N30,0),"-")</f>
        <v>-</v>
      </c>
      <c r="R19" s="8" t="str">
        <f>'ENTRY DATA'!O30</f>
        <v>-</v>
      </c>
      <c r="S19" s="8" t="str">
        <f>IFERROR(ROUND('ENTRY DATA'!P30,0),"-")</f>
        <v>-</v>
      </c>
      <c r="T19" s="8" t="str">
        <f>'ENTRY DATA'!Q30</f>
        <v>-</v>
      </c>
      <c r="U19" s="7">
        <f t="shared" si="11"/>
        <v>75</v>
      </c>
      <c r="V19" s="7">
        <f t="shared" si="12"/>
        <v>0</v>
      </c>
      <c r="W19" s="7" t="str">
        <f>IFERROR(ROUND('ENTRY DATA'!Z30,0),"-")</f>
        <v>-</v>
      </c>
      <c r="X19" s="7" t="str">
        <f>'ENTRY DATA'!AA30</f>
        <v>-</v>
      </c>
      <c r="Y19" s="7" t="str">
        <f>IFERROR(ROUND('ENTRY DATA'!AB30,0),"-")</f>
        <v>-</v>
      </c>
      <c r="Z19" s="7" t="str">
        <f>'ENTRY DATA'!AC30</f>
        <v>-</v>
      </c>
      <c r="AA19" s="8">
        <f t="shared" si="13"/>
        <v>75</v>
      </c>
      <c r="AB19" s="8">
        <f t="shared" si="14"/>
        <v>0</v>
      </c>
      <c r="AC19" s="8" t="str">
        <f>IFERROR(ROUND('ENTRY DATA'!AL30,0),"-")</f>
        <v>-</v>
      </c>
      <c r="AD19" s="8" t="str">
        <f>'ENTRY DATA'!AM30</f>
        <v>-</v>
      </c>
      <c r="AE19" s="8" t="str">
        <f>IFERROR(ROUND('ENTRY DATA'!AN30,0),"-")</f>
        <v>-</v>
      </c>
      <c r="AF19" s="8" t="str">
        <f>'ENTRY DATA'!AO30</f>
        <v>-</v>
      </c>
      <c r="AG19" s="7">
        <f t="shared" si="15"/>
        <v>75</v>
      </c>
      <c r="AH19" s="7">
        <f t="shared" si="16"/>
        <v>0</v>
      </c>
      <c r="AI19" s="7" t="str">
        <f>IFERROR(ROUND('ENTRY DATA'!AX30,0),"-")</f>
        <v>-</v>
      </c>
      <c r="AJ19" s="7" t="str">
        <f>'ENTRY DATA'!AY30</f>
        <v>-</v>
      </c>
      <c r="AK19" s="7" t="str">
        <f>IFERROR(ROUND('ENTRY DATA'!AZ30,0),"-")</f>
        <v>-</v>
      </c>
      <c r="AL19" s="7" t="str">
        <f>'ENTRY DATA'!BA30</f>
        <v>-</v>
      </c>
      <c r="AM19" s="8">
        <f t="shared" si="17"/>
        <v>75</v>
      </c>
      <c r="AN19" s="8">
        <f t="shared" si="18"/>
        <v>0</v>
      </c>
      <c r="AO19" s="8" t="str">
        <f>IFERROR(ROUND('ENTRY DATA'!BJ30,0),"-")</f>
        <v>-</v>
      </c>
      <c r="AP19" s="8" t="str">
        <f>'ENTRY DATA'!BK30</f>
        <v>-</v>
      </c>
      <c r="AQ19" s="8" t="str">
        <f>IFERROR(ROUND('ENTRY DATA'!BL30,0),"-")</f>
        <v>-</v>
      </c>
      <c r="AR19" s="8" t="str">
        <f>'ENTRY DATA'!BM30</f>
        <v>-</v>
      </c>
      <c r="AS19" s="7">
        <f t="shared" si="19"/>
        <v>75</v>
      </c>
      <c r="AT19" s="7">
        <f t="shared" si="20"/>
        <v>0</v>
      </c>
      <c r="AU19" s="7" t="str">
        <f>IFERROR(ROUND('ENTRY DATA'!BV30,0),"-")</f>
        <v>-</v>
      </c>
      <c r="AV19" s="7" t="str">
        <f>'ENTRY DATA'!BW30</f>
        <v>-</v>
      </c>
      <c r="AW19" s="7" t="str">
        <f>IFERROR(ROUND('ENTRY DATA'!BX30,0),"-")</f>
        <v>-</v>
      </c>
      <c r="AX19" s="7" t="str">
        <f>'ENTRY DATA'!BY30</f>
        <v>-</v>
      </c>
      <c r="AY19" s="8">
        <f t="shared" si="21"/>
        <v>75</v>
      </c>
      <c r="AZ19" s="8">
        <f t="shared" si="22"/>
        <v>0</v>
      </c>
      <c r="BA19" s="8" t="str">
        <f>IFERROR(ROUND('ENTRY DATA'!CH30,0),"-")</f>
        <v>-</v>
      </c>
      <c r="BB19" s="8" t="str">
        <f>'ENTRY DATA'!CI30</f>
        <v>-</v>
      </c>
      <c r="BC19" s="8" t="str">
        <f>IFERROR(ROUND('ENTRY DATA'!CJ30,0),"-")</f>
        <v>-</v>
      </c>
      <c r="BD19" s="8" t="str">
        <f>'ENTRY DATA'!CK30</f>
        <v>-</v>
      </c>
      <c r="BE19" s="7">
        <f t="shared" si="23"/>
        <v>75</v>
      </c>
      <c r="BF19" s="7">
        <f t="shared" si="24"/>
        <v>0</v>
      </c>
      <c r="BG19" s="7" t="str">
        <f>IFERROR(ROUND('ENTRY DATA'!CT30,0),"-")</f>
        <v>-</v>
      </c>
      <c r="BH19" s="7" t="str">
        <f>'ENTRY DATA'!CU30</f>
        <v>-</v>
      </c>
      <c r="BI19" s="7" t="str">
        <f>IFERROR(ROUND('ENTRY DATA'!CV30,0),"-")</f>
        <v>-</v>
      </c>
      <c r="BJ19" s="7" t="str">
        <f>'ENTRY DATA'!CW30</f>
        <v>-</v>
      </c>
      <c r="BK19" s="8">
        <f t="shared" si="25"/>
        <v>75</v>
      </c>
      <c r="BL19" s="8">
        <f t="shared" si="26"/>
        <v>0</v>
      </c>
      <c r="BM19" s="8" t="str">
        <f>IFERROR(ROUND('ENTRY DATA'!DF30,0),"-")</f>
        <v>-</v>
      </c>
      <c r="BN19" s="8" t="str">
        <f>'ENTRY DATA'!DG30</f>
        <v>-</v>
      </c>
      <c r="BO19" s="8" t="str">
        <f>IFERROR(ROUND('ENTRY DATA'!DH30,0),"-")</f>
        <v>-</v>
      </c>
      <c r="BP19" s="8" t="str">
        <f>'ENTRY DATA'!DI30</f>
        <v>-</v>
      </c>
      <c r="BQ19" s="7">
        <f t="shared" si="27"/>
        <v>75</v>
      </c>
      <c r="BR19" s="7">
        <f t="shared" si="28"/>
        <v>0</v>
      </c>
      <c r="BS19" s="7" t="str">
        <f>IFERROR(ROUND('ENTRY DATA'!DR30,0),"-")</f>
        <v>-</v>
      </c>
      <c r="BT19" s="7" t="str">
        <f>'ENTRY DATA'!DS30</f>
        <v>-</v>
      </c>
      <c r="BU19" s="7" t="str">
        <f>IFERROR(ROUND('ENTRY DATA'!DT30,0),"-")</f>
        <v>-</v>
      </c>
      <c r="BV19" s="7" t="str">
        <f>'ENTRY DATA'!DU30</f>
        <v>-</v>
      </c>
      <c r="BW19" s="8" t="str">
        <f>'ENTRY DATA'!$DV$8</f>
        <v>Matematika</v>
      </c>
      <c r="BX19" s="8">
        <f t="shared" si="29"/>
        <v>75</v>
      </c>
      <c r="BY19" s="8">
        <f t="shared" si="30"/>
        <v>0</v>
      </c>
      <c r="BZ19" s="8" t="str">
        <f>IFERROR(ROUND('ENTRY DATA'!ED30,0),"-")</f>
        <v>-</v>
      </c>
      <c r="CA19" s="8" t="str">
        <f>'ENTRY DATA'!EE30</f>
        <v>-</v>
      </c>
      <c r="CB19" s="8" t="str">
        <f>IFERROR(ROUND('ENTRY DATA'!EF30,0),"-")</f>
        <v>-</v>
      </c>
      <c r="CC19" s="8" t="str">
        <f>'ENTRY DATA'!EG30</f>
        <v>-</v>
      </c>
      <c r="CD19" s="7" t="str">
        <f>'ENTRY DATA'!$EH$8</f>
        <v>Biologi</v>
      </c>
      <c r="CE19" s="7">
        <f t="shared" si="31"/>
        <v>75</v>
      </c>
      <c r="CF19" s="7">
        <f t="shared" si="32"/>
        <v>0</v>
      </c>
      <c r="CG19" s="7" t="str">
        <f>IFERROR(ROUND('ENTRY DATA'!EP30,0),"-")</f>
        <v>-</v>
      </c>
      <c r="CH19" s="7" t="str">
        <f>'ENTRY DATA'!EQ30</f>
        <v>-</v>
      </c>
      <c r="CI19" s="7" t="str">
        <f>IFERROR(ROUND('ENTRY DATA'!ER30,0),"-")</f>
        <v>-</v>
      </c>
      <c r="CJ19" s="7" t="str">
        <f>'ENTRY DATA'!ES30</f>
        <v>-</v>
      </c>
      <c r="CK19" s="8" t="str">
        <f>'ENTRY DATA'!$ET$8</f>
        <v>Fisika</v>
      </c>
      <c r="CL19" s="8">
        <f t="shared" si="33"/>
        <v>75</v>
      </c>
      <c r="CM19" s="8">
        <f t="shared" si="34"/>
        <v>0</v>
      </c>
      <c r="CN19" s="8" t="str">
        <f>IFERROR(ROUND('ENTRY DATA'!FB30,0),"-")</f>
        <v>-</v>
      </c>
      <c r="CO19" s="8" t="str">
        <f>'ENTRY DATA'!FC30</f>
        <v>-</v>
      </c>
      <c r="CP19" s="8" t="str">
        <f>IFERROR(ROUND('ENTRY DATA'!FD30,0),"-")</f>
        <v>-</v>
      </c>
      <c r="CQ19" s="8" t="str">
        <f>'ENTRY DATA'!FE30</f>
        <v>-</v>
      </c>
      <c r="CR19" s="7" t="str">
        <f>'ENTRY DATA'!$FF$8</f>
        <v>Kimia</v>
      </c>
      <c r="CS19" s="7">
        <f t="shared" si="35"/>
        <v>75</v>
      </c>
      <c r="CT19" s="7">
        <f t="shared" si="36"/>
        <v>0</v>
      </c>
      <c r="CU19" s="7" t="str">
        <f>IFERROR(ROUND('ENTRY DATA'!FN30,0),"-")</f>
        <v>-</v>
      </c>
      <c r="CV19" s="7" t="str">
        <f>'ENTRY DATA'!FO30</f>
        <v>-</v>
      </c>
      <c r="CW19" s="7" t="str">
        <f>IFERROR(ROUND('ENTRY DATA'!FP30,0),"-")</f>
        <v>-</v>
      </c>
      <c r="CX19" s="7" t="str">
        <f>'ENTRY DATA'!FQ30</f>
        <v>-</v>
      </c>
      <c r="CY19" s="8" t="str">
        <f>'ENTRY DATA'!$FR$8</f>
        <v>-</v>
      </c>
      <c r="CZ19" s="8">
        <f t="shared" si="37"/>
        <v>75</v>
      </c>
      <c r="DA19" s="8">
        <f t="shared" si="38"/>
        <v>0</v>
      </c>
      <c r="DB19" s="8" t="str">
        <f>IFERROR(ROUND('ENTRY DATA'!FZ30,0),"-")</f>
        <v>-</v>
      </c>
      <c r="DC19" s="8" t="str">
        <f>'ENTRY DATA'!GA30</f>
        <v>-</v>
      </c>
      <c r="DD19" s="8" t="str">
        <f>IFERROR(ROUND('ENTRY DATA'!GB30,0),"-")</f>
        <v>-</v>
      </c>
      <c r="DE19" s="8" t="str">
        <f>'ENTRY DATA'!GC30</f>
        <v>-</v>
      </c>
      <c r="DF19" s="7" t="str">
        <f>'ENTRY DATA'!$GD$8</f>
        <v>-</v>
      </c>
      <c r="DG19" s="7">
        <f t="shared" si="39"/>
        <v>75</v>
      </c>
      <c r="DH19" s="7">
        <f t="shared" si="40"/>
        <v>0</v>
      </c>
      <c r="DI19" s="7" t="str">
        <f>IFERROR(ROUND('ENTRY DATA'!GL30,0),"-")</f>
        <v>-</v>
      </c>
      <c r="DJ19" s="7" t="str">
        <f>'ENTRY DATA'!GM30</f>
        <v>-</v>
      </c>
      <c r="DK19" s="7" t="str">
        <f>IFERROR(ROUND('ENTRY DATA'!GN30,0),"-")</f>
        <v>-</v>
      </c>
      <c r="DL19" s="7" t="str">
        <f>'ENTRY DATA'!GO30</f>
        <v>-</v>
      </c>
      <c r="DM19" s="16" t="str">
        <f>'ENTRY DATA'!HJ30</f>
        <v>-</v>
      </c>
      <c r="DN19" s="16" t="str">
        <f>'ENTRY DATA'!HK30</f>
        <v>-</v>
      </c>
      <c r="DO19" s="16" t="str">
        <f>'ENTRY DATA'!IF30</f>
        <v>-</v>
      </c>
      <c r="DP19" s="16" t="str">
        <f>'ENTRY DATA'!IG30</f>
        <v>-</v>
      </c>
      <c r="DQ19" s="2" t="str">
        <f>'ENTRY DATA'!IH30</f>
        <v>Pramuka</v>
      </c>
      <c r="DR19" s="2" t="str">
        <f>'ENTRY DATA'!II30</f>
        <v>B</v>
      </c>
      <c r="DS19" s="2" t="str">
        <f>'ENTRY DATA'!IJ30</f>
        <v>Aktif dalam mengikuti kegiatan</v>
      </c>
      <c r="DT19" s="2" t="str">
        <f>'ENTRY DATA'!IK30</f>
        <v>-</v>
      </c>
      <c r="DU19" s="2" t="str">
        <f>'ENTRY DATA'!IL30</f>
        <v>-</v>
      </c>
      <c r="DV19" s="2" t="str">
        <f>'ENTRY DATA'!IM30</f>
        <v>-</v>
      </c>
      <c r="DW19" s="2" t="str">
        <f>'ENTRY DATA'!IN30</f>
        <v>-</v>
      </c>
      <c r="DX19" s="2" t="str">
        <f>'ENTRY DATA'!IO30</f>
        <v>-</v>
      </c>
      <c r="DY19" s="2" t="str">
        <f>'ENTRY DATA'!IP30</f>
        <v>-</v>
      </c>
      <c r="DZ19" s="2" t="str">
        <f>'ENTRY DATA'!IQ30</f>
        <v>-</v>
      </c>
      <c r="EA19" s="2" t="str">
        <f>'ENTRY DATA'!IR30</f>
        <v>-</v>
      </c>
      <c r="EB19" s="2" t="str">
        <f>'ENTRY DATA'!IS30</f>
        <v>-</v>
      </c>
      <c r="EC19" s="2" t="str">
        <f>'ENTRY DATA'!IT30</f>
        <v>-</v>
      </c>
      <c r="ED19" s="2" t="str">
        <f>'ENTRY DATA'!IU30</f>
        <v>-</v>
      </c>
      <c r="EE19" s="2" t="str">
        <f>'ENTRY DATA'!IV30</f>
        <v>-</v>
      </c>
      <c r="EF19" s="2" t="str">
        <f>'ENTRY DATA'!IW30</f>
        <v>-</v>
      </c>
      <c r="EG19" s="2" t="str">
        <f>'ENTRY DATA'!IX30</f>
        <v>-</v>
      </c>
      <c r="EH19" s="2" t="str">
        <f>'ENTRY DATA'!IY30</f>
        <v>-</v>
      </c>
      <c r="EI19" s="2" t="str">
        <f>'ENTRY DATA'!IZ30</f>
        <v>-</v>
      </c>
      <c r="EJ19" s="2">
        <f>'ENTRY DATA'!JA30</f>
        <v>0</v>
      </c>
      <c r="EK19" s="2">
        <f>'ENTRY DATA'!JB30</f>
        <v>1</v>
      </c>
    </row>
    <row r="20" spans="1:141" x14ac:dyDescent="0.25">
      <c r="A20" s="2" t="str">
        <f t="shared" si="0"/>
        <v>MIPA</v>
      </c>
      <c r="B20" s="2" t="str">
        <f t="shared" si="1"/>
        <v>Bandung, 10 Oktober 2022</v>
      </c>
      <c r="C20" s="2" t="str">
        <f t="shared" si="2"/>
        <v>Drs. Ahmad Fathony</v>
      </c>
      <c r="D20" s="2" t="str">
        <f t="shared" si="3"/>
        <v>12345678 123456 1 123</v>
      </c>
      <c r="E20" s="2" t="str">
        <f t="shared" si="4"/>
        <v>H. Abdul Basith, M.Pd.</v>
      </c>
      <c r="F20" s="2" t="str">
        <f t="shared" si="5"/>
        <v>12341234 123123 1 234</v>
      </c>
      <c r="G20" s="74">
        <f>'ENTRY DATA'!B31</f>
        <v>0</v>
      </c>
      <c r="H20" s="74">
        <f>'ENTRY DATA'!C31</f>
        <v>0</v>
      </c>
      <c r="I20" s="74">
        <f>'ENTRY DATA'!D31</f>
        <v>0</v>
      </c>
      <c r="J20" s="74">
        <f>'ENTRY DATA'!E31</f>
        <v>0</v>
      </c>
      <c r="K20" s="7" t="str">
        <f t="shared" si="6"/>
        <v>X MIPA-1</v>
      </c>
      <c r="L20" s="7">
        <f t="shared" si="7"/>
        <v>1</v>
      </c>
      <c r="M20" s="7" t="str">
        <f t="shared" si="41"/>
        <v>Ganjil</v>
      </c>
      <c r="N20" s="7" t="str">
        <f t="shared" si="8"/>
        <v>2022/2023</v>
      </c>
      <c r="O20" s="8">
        <f t="shared" si="9"/>
        <v>75</v>
      </c>
      <c r="P20" s="8">
        <f t="shared" si="10"/>
        <v>0</v>
      </c>
      <c r="Q20" s="8" t="str">
        <f>IFERROR(ROUND('ENTRY DATA'!N31,0),"-")</f>
        <v>-</v>
      </c>
      <c r="R20" s="8" t="str">
        <f>'ENTRY DATA'!O31</f>
        <v>-</v>
      </c>
      <c r="S20" s="8" t="str">
        <f>IFERROR(ROUND('ENTRY DATA'!P31,0),"-")</f>
        <v>-</v>
      </c>
      <c r="T20" s="8" t="str">
        <f>'ENTRY DATA'!Q31</f>
        <v>-</v>
      </c>
      <c r="U20" s="7">
        <f t="shared" si="11"/>
        <v>75</v>
      </c>
      <c r="V20" s="7">
        <f t="shared" si="12"/>
        <v>0</v>
      </c>
      <c r="W20" s="7" t="str">
        <f>IFERROR(ROUND('ENTRY DATA'!Z31,0),"-")</f>
        <v>-</v>
      </c>
      <c r="X20" s="7" t="str">
        <f>'ENTRY DATA'!AA31</f>
        <v>-</v>
      </c>
      <c r="Y20" s="7" t="str">
        <f>IFERROR(ROUND('ENTRY DATA'!AB31,0),"-")</f>
        <v>-</v>
      </c>
      <c r="Z20" s="7" t="str">
        <f>'ENTRY DATA'!AC31</f>
        <v>-</v>
      </c>
      <c r="AA20" s="8">
        <f t="shared" si="13"/>
        <v>75</v>
      </c>
      <c r="AB20" s="8">
        <f t="shared" si="14"/>
        <v>0</v>
      </c>
      <c r="AC20" s="8" t="str">
        <f>IFERROR(ROUND('ENTRY DATA'!AL31,0),"-")</f>
        <v>-</v>
      </c>
      <c r="AD20" s="8" t="str">
        <f>'ENTRY DATA'!AM31</f>
        <v>-</v>
      </c>
      <c r="AE20" s="8" t="str">
        <f>IFERROR(ROUND('ENTRY DATA'!AN31,0),"-")</f>
        <v>-</v>
      </c>
      <c r="AF20" s="8" t="str">
        <f>'ENTRY DATA'!AO31</f>
        <v>-</v>
      </c>
      <c r="AG20" s="7">
        <f t="shared" si="15"/>
        <v>75</v>
      </c>
      <c r="AH20" s="7">
        <f t="shared" si="16"/>
        <v>0</v>
      </c>
      <c r="AI20" s="7" t="str">
        <f>IFERROR(ROUND('ENTRY DATA'!AX31,0),"-")</f>
        <v>-</v>
      </c>
      <c r="AJ20" s="7" t="str">
        <f>'ENTRY DATA'!AY31</f>
        <v>-</v>
      </c>
      <c r="AK20" s="7" t="str">
        <f>IFERROR(ROUND('ENTRY DATA'!AZ31,0),"-")</f>
        <v>-</v>
      </c>
      <c r="AL20" s="7" t="str">
        <f>'ENTRY DATA'!BA31</f>
        <v>-</v>
      </c>
      <c r="AM20" s="8">
        <f t="shared" si="17"/>
        <v>75</v>
      </c>
      <c r="AN20" s="8">
        <f t="shared" si="18"/>
        <v>0</v>
      </c>
      <c r="AO20" s="8" t="str">
        <f>IFERROR(ROUND('ENTRY DATA'!BJ31,0),"-")</f>
        <v>-</v>
      </c>
      <c r="AP20" s="8" t="str">
        <f>'ENTRY DATA'!BK31</f>
        <v>-</v>
      </c>
      <c r="AQ20" s="8" t="str">
        <f>IFERROR(ROUND('ENTRY DATA'!BL31,0),"-")</f>
        <v>-</v>
      </c>
      <c r="AR20" s="8" t="str">
        <f>'ENTRY DATA'!BM31</f>
        <v>-</v>
      </c>
      <c r="AS20" s="7">
        <f t="shared" si="19"/>
        <v>75</v>
      </c>
      <c r="AT20" s="7">
        <f t="shared" si="20"/>
        <v>0</v>
      </c>
      <c r="AU20" s="7" t="str">
        <f>IFERROR(ROUND('ENTRY DATA'!BV31,0),"-")</f>
        <v>-</v>
      </c>
      <c r="AV20" s="7" t="str">
        <f>'ENTRY DATA'!BW31</f>
        <v>-</v>
      </c>
      <c r="AW20" s="7" t="str">
        <f>IFERROR(ROUND('ENTRY DATA'!BX31,0),"-")</f>
        <v>-</v>
      </c>
      <c r="AX20" s="7" t="str">
        <f>'ENTRY DATA'!BY31</f>
        <v>-</v>
      </c>
      <c r="AY20" s="8">
        <f t="shared" si="21"/>
        <v>75</v>
      </c>
      <c r="AZ20" s="8">
        <f t="shared" si="22"/>
        <v>0</v>
      </c>
      <c r="BA20" s="8" t="str">
        <f>IFERROR(ROUND('ENTRY DATA'!CH31,0),"-")</f>
        <v>-</v>
      </c>
      <c r="BB20" s="8" t="str">
        <f>'ENTRY DATA'!CI31</f>
        <v>-</v>
      </c>
      <c r="BC20" s="8" t="str">
        <f>IFERROR(ROUND('ENTRY DATA'!CJ31,0),"-")</f>
        <v>-</v>
      </c>
      <c r="BD20" s="8" t="str">
        <f>'ENTRY DATA'!CK31</f>
        <v>-</v>
      </c>
      <c r="BE20" s="7">
        <f t="shared" si="23"/>
        <v>75</v>
      </c>
      <c r="BF20" s="7">
        <f t="shared" si="24"/>
        <v>0</v>
      </c>
      <c r="BG20" s="7" t="str">
        <f>IFERROR(ROUND('ENTRY DATA'!CT31,0),"-")</f>
        <v>-</v>
      </c>
      <c r="BH20" s="7" t="str">
        <f>'ENTRY DATA'!CU31</f>
        <v>-</v>
      </c>
      <c r="BI20" s="7" t="str">
        <f>IFERROR(ROUND('ENTRY DATA'!CV31,0),"-")</f>
        <v>-</v>
      </c>
      <c r="BJ20" s="7" t="str">
        <f>'ENTRY DATA'!CW31</f>
        <v>-</v>
      </c>
      <c r="BK20" s="8">
        <f t="shared" si="25"/>
        <v>75</v>
      </c>
      <c r="BL20" s="8">
        <f t="shared" si="26"/>
        <v>0</v>
      </c>
      <c r="BM20" s="8" t="str">
        <f>IFERROR(ROUND('ENTRY DATA'!DF31,0),"-")</f>
        <v>-</v>
      </c>
      <c r="BN20" s="8" t="str">
        <f>'ENTRY DATA'!DG31</f>
        <v>-</v>
      </c>
      <c r="BO20" s="8" t="str">
        <f>IFERROR(ROUND('ENTRY DATA'!DH31,0),"-")</f>
        <v>-</v>
      </c>
      <c r="BP20" s="8" t="str">
        <f>'ENTRY DATA'!DI31</f>
        <v>-</v>
      </c>
      <c r="BQ20" s="7">
        <f t="shared" si="27"/>
        <v>75</v>
      </c>
      <c r="BR20" s="7">
        <f t="shared" si="28"/>
        <v>0</v>
      </c>
      <c r="BS20" s="7" t="str">
        <f>IFERROR(ROUND('ENTRY DATA'!DR31,0),"-")</f>
        <v>-</v>
      </c>
      <c r="BT20" s="7" t="str">
        <f>'ENTRY DATA'!DS31</f>
        <v>-</v>
      </c>
      <c r="BU20" s="7" t="str">
        <f>IFERROR(ROUND('ENTRY DATA'!DT31,0),"-")</f>
        <v>-</v>
      </c>
      <c r="BV20" s="7" t="str">
        <f>'ENTRY DATA'!DU31</f>
        <v>-</v>
      </c>
      <c r="BW20" s="8" t="str">
        <f>'ENTRY DATA'!$DV$8</f>
        <v>Matematika</v>
      </c>
      <c r="BX20" s="8">
        <f t="shared" si="29"/>
        <v>75</v>
      </c>
      <c r="BY20" s="8">
        <f t="shared" si="30"/>
        <v>0</v>
      </c>
      <c r="BZ20" s="8" t="str">
        <f>IFERROR(ROUND('ENTRY DATA'!ED31,0),"-")</f>
        <v>-</v>
      </c>
      <c r="CA20" s="8" t="str">
        <f>'ENTRY DATA'!EE31</f>
        <v>-</v>
      </c>
      <c r="CB20" s="8" t="str">
        <f>IFERROR(ROUND('ENTRY DATA'!EF31,0),"-")</f>
        <v>-</v>
      </c>
      <c r="CC20" s="8" t="str">
        <f>'ENTRY DATA'!EG31</f>
        <v>-</v>
      </c>
      <c r="CD20" s="7" t="str">
        <f>'ENTRY DATA'!$EH$8</f>
        <v>Biologi</v>
      </c>
      <c r="CE20" s="7">
        <f t="shared" si="31"/>
        <v>75</v>
      </c>
      <c r="CF20" s="7">
        <f t="shared" si="32"/>
        <v>0</v>
      </c>
      <c r="CG20" s="7" t="str">
        <f>IFERROR(ROUND('ENTRY DATA'!EP31,0),"-")</f>
        <v>-</v>
      </c>
      <c r="CH20" s="7" t="str">
        <f>'ENTRY DATA'!EQ31</f>
        <v>-</v>
      </c>
      <c r="CI20" s="7" t="str">
        <f>IFERROR(ROUND('ENTRY DATA'!ER31,0),"-")</f>
        <v>-</v>
      </c>
      <c r="CJ20" s="7" t="str">
        <f>'ENTRY DATA'!ES31</f>
        <v>-</v>
      </c>
      <c r="CK20" s="8" t="str">
        <f>'ENTRY DATA'!$ET$8</f>
        <v>Fisika</v>
      </c>
      <c r="CL20" s="8">
        <f t="shared" si="33"/>
        <v>75</v>
      </c>
      <c r="CM20" s="8">
        <f t="shared" si="34"/>
        <v>0</v>
      </c>
      <c r="CN20" s="8" t="str">
        <f>IFERROR(ROUND('ENTRY DATA'!FB31,0),"-")</f>
        <v>-</v>
      </c>
      <c r="CO20" s="8" t="str">
        <f>'ENTRY DATA'!FC31</f>
        <v>-</v>
      </c>
      <c r="CP20" s="8" t="str">
        <f>IFERROR(ROUND('ENTRY DATA'!FD31,0),"-")</f>
        <v>-</v>
      </c>
      <c r="CQ20" s="8" t="str">
        <f>'ENTRY DATA'!FE31</f>
        <v>-</v>
      </c>
      <c r="CR20" s="7" t="str">
        <f>'ENTRY DATA'!$FF$8</f>
        <v>Kimia</v>
      </c>
      <c r="CS20" s="7">
        <f t="shared" si="35"/>
        <v>75</v>
      </c>
      <c r="CT20" s="7">
        <f t="shared" si="36"/>
        <v>0</v>
      </c>
      <c r="CU20" s="7" t="str">
        <f>IFERROR(ROUND('ENTRY DATA'!FN31,0),"-")</f>
        <v>-</v>
      </c>
      <c r="CV20" s="7" t="str">
        <f>'ENTRY DATA'!FO31</f>
        <v>-</v>
      </c>
      <c r="CW20" s="7" t="str">
        <f>IFERROR(ROUND('ENTRY DATA'!FP31,0),"-")</f>
        <v>-</v>
      </c>
      <c r="CX20" s="7" t="str">
        <f>'ENTRY DATA'!FQ31</f>
        <v>-</v>
      </c>
      <c r="CY20" s="8" t="str">
        <f>'ENTRY DATA'!$FR$8</f>
        <v>-</v>
      </c>
      <c r="CZ20" s="8">
        <f t="shared" si="37"/>
        <v>75</v>
      </c>
      <c r="DA20" s="8">
        <f t="shared" si="38"/>
        <v>0</v>
      </c>
      <c r="DB20" s="8" t="str">
        <f>IFERROR(ROUND('ENTRY DATA'!FZ31,0),"-")</f>
        <v>-</v>
      </c>
      <c r="DC20" s="8" t="str">
        <f>'ENTRY DATA'!GA31</f>
        <v>-</v>
      </c>
      <c r="DD20" s="8" t="str">
        <f>IFERROR(ROUND('ENTRY DATA'!GB31,0),"-")</f>
        <v>-</v>
      </c>
      <c r="DE20" s="8" t="str">
        <f>'ENTRY DATA'!GC31</f>
        <v>-</v>
      </c>
      <c r="DF20" s="7" t="str">
        <f>'ENTRY DATA'!$GD$8</f>
        <v>-</v>
      </c>
      <c r="DG20" s="7">
        <f t="shared" si="39"/>
        <v>75</v>
      </c>
      <c r="DH20" s="7">
        <f t="shared" si="40"/>
        <v>0</v>
      </c>
      <c r="DI20" s="7" t="str">
        <f>IFERROR(ROUND('ENTRY DATA'!GL31,0),"-")</f>
        <v>-</v>
      </c>
      <c r="DJ20" s="7" t="str">
        <f>'ENTRY DATA'!GM31</f>
        <v>-</v>
      </c>
      <c r="DK20" s="7" t="str">
        <f>IFERROR(ROUND('ENTRY DATA'!GN31,0),"-")</f>
        <v>-</v>
      </c>
      <c r="DL20" s="7" t="str">
        <f>'ENTRY DATA'!GO31</f>
        <v>-</v>
      </c>
      <c r="DM20" s="16" t="str">
        <f>'ENTRY DATA'!HJ31</f>
        <v>-</v>
      </c>
      <c r="DN20" s="16" t="str">
        <f>'ENTRY DATA'!HK31</f>
        <v>-</v>
      </c>
      <c r="DO20" s="16" t="str">
        <f>'ENTRY DATA'!IF31</f>
        <v>-</v>
      </c>
      <c r="DP20" s="16" t="str">
        <f>'ENTRY DATA'!IG31</f>
        <v>-</v>
      </c>
      <c r="DQ20" s="2" t="str">
        <f>'ENTRY DATA'!IH31</f>
        <v>Pramuka</v>
      </c>
      <c r="DR20" s="2" t="str">
        <f>'ENTRY DATA'!II31</f>
        <v>B</v>
      </c>
      <c r="DS20" s="2" t="str">
        <f>'ENTRY DATA'!IJ31</f>
        <v>Aktif dalam mengikuti kegiatan</v>
      </c>
      <c r="DT20" s="2" t="str">
        <f>'ENTRY DATA'!IK31</f>
        <v>-</v>
      </c>
      <c r="DU20" s="2" t="str">
        <f>'ENTRY DATA'!IL31</f>
        <v>-</v>
      </c>
      <c r="DV20" s="2" t="str">
        <f>'ENTRY DATA'!IM31</f>
        <v>-</v>
      </c>
      <c r="DW20" s="2" t="str">
        <f>'ENTRY DATA'!IN31</f>
        <v>-</v>
      </c>
      <c r="DX20" s="2" t="str">
        <f>'ENTRY DATA'!IO31</f>
        <v>-</v>
      </c>
      <c r="DY20" s="2" t="str">
        <f>'ENTRY DATA'!IP31</f>
        <v>-</v>
      </c>
      <c r="DZ20" s="2" t="str">
        <f>'ENTRY DATA'!IQ31</f>
        <v>-</v>
      </c>
      <c r="EA20" s="2" t="str">
        <f>'ENTRY DATA'!IR31</f>
        <v>-</v>
      </c>
      <c r="EB20" s="2" t="str">
        <f>'ENTRY DATA'!IS31</f>
        <v>-</v>
      </c>
      <c r="EC20" s="2" t="str">
        <f>'ENTRY DATA'!IT31</f>
        <v>-</v>
      </c>
      <c r="ED20" s="2" t="str">
        <f>'ENTRY DATA'!IU31</f>
        <v>-</v>
      </c>
      <c r="EE20" s="2" t="str">
        <f>'ENTRY DATA'!IV31</f>
        <v>-</v>
      </c>
      <c r="EF20" s="2" t="str">
        <f>'ENTRY DATA'!IW31</f>
        <v>-</v>
      </c>
      <c r="EG20" s="2" t="str">
        <f>'ENTRY DATA'!IX31</f>
        <v>-</v>
      </c>
      <c r="EH20" s="2" t="str">
        <f>'ENTRY DATA'!IY31</f>
        <v>-</v>
      </c>
      <c r="EI20" s="2" t="str">
        <f>'ENTRY DATA'!IZ31</f>
        <v>-</v>
      </c>
      <c r="EJ20" s="2">
        <f>'ENTRY DATA'!JA31</f>
        <v>0</v>
      </c>
      <c r="EK20" s="2">
        <f>'ENTRY DATA'!JB31</f>
        <v>1</v>
      </c>
    </row>
    <row r="21" spans="1:141" x14ac:dyDescent="0.25">
      <c r="A21" s="2" t="str">
        <f t="shared" si="0"/>
        <v>MIPA</v>
      </c>
      <c r="B21" s="2" t="str">
        <f t="shared" si="1"/>
        <v>Bandung, 10 Oktober 2022</v>
      </c>
      <c r="C21" s="2" t="str">
        <f t="shared" si="2"/>
        <v>Drs. Ahmad Fathony</v>
      </c>
      <c r="D21" s="2" t="str">
        <f t="shared" si="3"/>
        <v>12345678 123456 1 123</v>
      </c>
      <c r="E21" s="2" t="str">
        <f t="shared" si="4"/>
        <v>H. Abdul Basith, M.Pd.</v>
      </c>
      <c r="F21" s="2" t="str">
        <f t="shared" si="5"/>
        <v>12341234 123123 1 234</v>
      </c>
      <c r="G21" s="74">
        <f>'ENTRY DATA'!B32</f>
        <v>0</v>
      </c>
      <c r="H21" s="74">
        <f>'ENTRY DATA'!C32</f>
        <v>0</v>
      </c>
      <c r="I21" s="74">
        <f>'ENTRY DATA'!D32</f>
        <v>0</v>
      </c>
      <c r="J21" s="74">
        <f>'ENTRY DATA'!E32</f>
        <v>0</v>
      </c>
      <c r="K21" s="7" t="str">
        <f t="shared" si="6"/>
        <v>X MIPA-1</v>
      </c>
      <c r="L21" s="7">
        <f t="shared" si="7"/>
        <v>1</v>
      </c>
      <c r="M21" s="7" t="str">
        <f t="shared" si="41"/>
        <v>Ganjil</v>
      </c>
      <c r="N21" s="7" t="str">
        <f t="shared" si="8"/>
        <v>2022/2023</v>
      </c>
      <c r="O21" s="8">
        <f t="shared" si="9"/>
        <v>75</v>
      </c>
      <c r="P21" s="8">
        <f t="shared" si="10"/>
        <v>0</v>
      </c>
      <c r="Q21" s="8" t="str">
        <f>IFERROR(ROUND('ENTRY DATA'!N32,0),"-")</f>
        <v>-</v>
      </c>
      <c r="R21" s="8" t="str">
        <f>'ENTRY DATA'!O32</f>
        <v>-</v>
      </c>
      <c r="S21" s="8" t="str">
        <f>IFERROR(ROUND('ENTRY DATA'!P32,0),"-")</f>
        <v>-</v>
      </c>
      <c r="T21" s="8" t="str">
        <f>'ENTRY DATA'!Q32</f>
        <v>-</v>
      </c>
      <c r="U21" s="7">
        <f t="shared" si="11"/>
        <v>75</v>
      </c>
      <c r="V21" s="7">
        <f t="shared" si="12"/>
        <v>0</v>
      </c>
      <c r="W21" s="7" t="str">
        <f>IFERROR(ROUND('ENTRY DATA'!Z32,0),"-")</f>
        <v>-</v>
      </c>
      <c r="X21" s="7" t="str">
        <f>'ENTRY DATA'!AA32</f>
        <v>-</v>
      </c>
      <c r="Y21" s="7" t="str">
        <f>IFERROR(ROUND('ENTRY DATA'!AB32,0),"-")</f>
        <v>-</v>
      </c>
      <c r="Z21" s="7" t="str">
        <f>'ENTRY DATA'!AC32</f>
        <v>-</v>
      </c>
      <c r="AA21" s="8">
        <f t="shared" si="13"/>
        <v>75</v>
      </c>
      <c r="AB21" s="8">
        <f t="shared" si="14"/>
        <v>0</v>
      </c>
      <c r="AC21" s="8" t="str">
        <f>IFERROR(ROUND('ENTRY DATA'!AL32,0),"-")</f>
        <v>-</v>
      </c>
      <c r="AD21" s="8" t="str">
        <f>'ENTRY DATA'!AM32</f>
        <v>-</v>
      </c>
      <c r="AE21" s="8" t="str">
        <f>IFERROR(ROUND('ENTRY DATA'!AN32,0),"-")</f>
        <v>-</v>
      </c>
      <c r="AF21" s="8" t="str">
        <f>'ENTRY DATA'!AO32</f>
        <v>-</v>
      </c>
      <c r="AG21" s="7">
        <f t="shared" si="15"/>
        <v>75</v>
      </c>
      <c r="AH21" s="7">
        <f t="shared" si="16"/>
        <v>0</v>
      </c>
      <c r="AI21" s="7" t="str">
        <f>IFERROR(ROUND('ENTRY DATA'!AX32,0),"-")</f>
        <v>-</v>
      </c>
      <c r="AJ21" s="7" t="str">
        <f>'ENTRY DATA'!AY32</f>
        <v>-</v>
      </c>
      <c r="AK21" s="7" t="str">
        <f>IFERROR(ROUND('ENTRY DATA'!AZ32,0),"-")</f>
        <v>-</v>
      </c>
      <c r="AL21" s="7" t="str">
        <f>'ENTRY DATA'!BA32</f>
        <v>-</v>
      </c>
      <c r="AM21" s="8">
        <f t="shared" si="17"/>
        <v>75</v>
      </c>
      <c r="AN21" s="8">
        <f t="shared" si="18"/>
        <v>0</v>
      </c>
      <c r="AO21" s="8" t="str">
        <f>IFERROR(ROUND('ENTRY DATA'!BJ32,0),"-")</f>
        <v>-</v>
      </c>
      <c r="AP21" s="8" t="str">
        <f>'ENTRY DATA'!BK32</f>
        <v>-</v>
      </c>
      <c r="AQ21" s="8" t="str">
        <f>IFERROR(ROUND('ENTRY DATA'!BL32,0),"-")</f>
        <v>-</v>
      </c>
      <c r="AR21" s="8" t="str">
        <f>'ENTRY DATA'!BM32</f>
        <v>-</v>
      </c>
      <c r="AS21" s="7">
        <f t="shared" si="19"/>
        <v>75</v>
      </c>
      <c r="AT21" s="7">
        <f t="shared" si="20"/>
        <v>0</v>
      </c>
      <c r="AU21" s="7" t="str">
        <f>IFERROR(ROUND('ENTRY DATA'!BV32,0),"-")</f>
        <v>-</v>
      </c>
      <c r="AV21" s="7" t="str">
        <f>'ENTRY DATA'!BW32</f>
        <v>-</v>
      </c>
      <c r="AW21" s="7" t="str">
        <f>IFERROR(ROUND('ENTRY DATA'!BX32,0),"-")</f>
        <v>-</v>
      </c>
      <c r="AX21" s="7" t="str">
        <f>'ENTRY DATA'!BY32</f>
        <v>-</v>
      </c>
      <c r="AY21" s="8">
        <f t="shared" si="21"/>
        <v>75</v>
      </c>
      <c r="AZ21" s="8">
        <f t="shared" si="22"/>
        <v>0</v>
      </c>
      <c r="BA21" s="8" t="str">
        <f>IFERROR(ROUND('ENTRY DATA'!CH32,0),"-")</f>
        <v>-</v>
      </c>
      <c r="BB21" s="8" t="str">
        <f>'ENTRY DATA'!CI32</f>
        <v>-</v>
      </c>
      <c r="BC21" s="8" t="str">
        <f>IFERROR(ROUND('ENTRY DATA'!CJ32,0),"-")</f>
        <v>-</v>
      </c>
      <c r="BD21" s="8" t="str">
        <f>'ENTRY DATA'!CK32</f>
        <v>-</v>
      </c>
      <c r="BE21" s="7">
        <f t="shared" si="23"/>
        <v>75</v>
      </c>
      <c r="BF21" s="7">
        <f t="shared" si="24"/>
        <v>0</v>
      </c>
      <c r="BG21" s="7" t="str">
        <f>IFERROR(ROUND('ENTRY DATA'!CT32,0),"-")</f>
        <v>-</v>
      </c>
      <c r="BH21" s="7" t="str">
        <f>'ENTRY DATA'!CU32</f>
        <v>-</v>
      </c>
      <c r="BI21" s="7" t="str">
        <f>IFERROR(ROUND('ENTRY DATA'!CV32,0),"-")</f>
        <v>-</v>
      </c>
      <c r="BJ21" s="7" t="str">
        <f>'ENTRY DATA'!CW32</f>
        <v>-</v>
      </c>
      <c r="BK21" s="8">
        <f t="shared" si="25"/>
        <v>75</v>
      </c>
      <c r="BL21" s="8">
        <f t="shared" si="26"/>
        <v>0</v>
      </c>
      <c r="BM21" s="8" t="str">
        <f>IFERROR(ROUND('ENTRY DATA'!DF32,0),"-")</f>
        <v>-</v>
      </c>
      <c r="BN21" s="8" t="str">
        <f>'ENTRY DATA'!DG32</f>
        <v>-</v>
      </c>
      <c r="BO21" s="8" t="str">
        <f>IFERROR(ROUND('ENTRY DATA'!DH32,0),"-")</f>
        <v>-</v>
      </c>
      <c r="BP21" s="8" t="str">
        <f>'ENTRY DATA'!DI32</f>
        <v>-</v>
      </c>
      <c r="BQ21" s="7">
        <f t="shared" si="27"/>
        <v>75</v>
      </c>
      <c r="BR21" s="7">
        <f t="shared" si="28"/>
        <v>0</v>
      </c>
      <c r="BS21" s="7" t="str">
        <f>IFERROR(ROUND('ENTRY DATA'!DR32,0),"-")</f>
        <v>-</v>
      </c>
      <c r="BT21" s="7" t="str">
        <f>'ENTRY DATA'!DS32</f>
        <v>-</v>
      </c>
      <c r="BU21" s="7" t="str">
        <f>IFERROR(ROUND('ENTRY DATA'!DT32,0),"-")</f>
        <v>-</v>
      </c>
      <c r="BV21" s="7" t="str">
        <f>'ENTRY DATA'!DU32</f>
        <v>-</v>
      </c>
      <c r="BW21" s="8" t="str">
        <f>'ENTRY DATA'!$DV$8</f>
        <v>Matematika</v>
      </c>
      <c r="BX21" s="8">
        <f t="shared" si="29"/>
        <v>75</v>
      </c>
      <c r="BY21" s="8">
        <f t="shared" si="30"/>
        <v>0</v>
      </c>
      <c r="BZ21" s="8" t="str">
        <f>IFERROR(ROUND('ENTRY DATA'!ED32,0),"-")</f>
        <v>-</v>
      </c>
      <c r="CA21" s="8" t="str">
        <f>'ENTRY DATA'!EE32</f>
        <v>-</v>
      </c>
      <c r="CB21" s="8" t="str">
        <f>IFERROR(ROUND('ENTRY DATA'!EF32,0),"-")</f>
        <v>-</v>
      </c>
      <c r="CC21" s="8" t="str">
        <f>'ENTRY DATA'!EG32</f>
        <v>-</v>
      </c>
      <c r="CD21" s="7" t="str">
        <f>'ENTRY DATA'!$EH$8</f>
        <v>Biologi</v>
      </c>
      <c r="CE21" s="7">
        <f t="shared" si="31"/>
        <v>75</v>
      </c>
      <c r="CF21" s="7">
        <f t="shared" si="32"/>
        <v>0</v>
      </c>
      <c r="CG21" s="7" t="str">
        <f>IFERROR(ROUND('ENTRY DATA'!EP32,0),"-")</f>
        <v>-</v>
      </c>
      <c r="CH21" s="7" t="str">
        <f>'ENTRY DATA'!EQ32</f>
        <v>-</v>
      </c>
      <c r="CI21" s="7" t="str">
        <f>IFERROR(ROUND('ENTRY DATA'!ER32,0),"-")</f>
        <v>-</v>
      </c>
      <c r="CJ21" s="7" t="str">
        <f>'ENTRY DATA'!ES32</f>
        <v>-</v>
      </c>
      <c r="CK21" s="8" t="str">
        <f>'ENTRY DATA'!$ET$8</f>
        <v>Fisika</v>
      </c>
      <c r="CL21" s="8">
        <f t="shared" si="33"/>
        <v>75</v>
      </c>
      <c r="CM21" s="8">
        <f t="shared" si="34"/>
        <v>0</v>
      </c>
      <c r="CN21" s="8" t="str">
        <f>IFERROR(ROUND('ENTRY DATA'!FB32,0),"-")</f>
        <v>-</v>
      </c>
      <c r="CO21" s="8" t="str">
        <f>'ENTRY DATA'!FC32</f>
        <v>-</v>
      </c>
      <c r="CP21" s="8" t="str">
        <f>IFERROR(ROUND('ENTRY DATA'!FD32,0),"-")</f>
        <v>-</v>
      </c>
      <c r="CQ21" s="8" t="str">
        <f>'ENTRY DATA'!FE32</f>
        <v>-</v>
      </c>
      <c r="CR21" s="7" t="str">
        <f>'ENTRY DATA'!$FF$8</f>
        <v>Kimia</v>
      </c>
      <c r="CS21" s="7">
        <f t="shared" si="35"/>
        <v>75</v>
      </c>
      <c r="CT21" s="7">
        <f t="shared" si="36"/>
        <v>0</v>
      </c>
      <c r="CU21" s="7" t="str">
        <f>IFERROR(ROUND('ENTRY DATA'!FN32,0),"-")</f>
        <v>-</v>
      </c>
      <c r="CV21" s="7" t="str">
        <f>'ENTRY DATA'!FO32</f>
        <v>-</v>
      </c>
      <c r="CW21" s="7" t="str">
        <f>IFERROR(ROUND('ENTRY DATA'!FP32,0),"-")</f>
        <v>-</v>
      </c>
      <c r="CX21" s="7" t="str">
        <f>'ENTRY DATA'!FQ32</f>
        <v>-</v>
      </c>
      <c r="CY21" s="8" t="str">
        <f>'ENTRY DATA'!$FR$8</f>
        <v>-</v>
      </c>
      <c r="CZ21" s="8">
        <f t="shared" si="37"/>
        <v>75</v>
      </c>
      <c r="DA21" s="8">
        <f t="shared" si="38"/>
        <v>0</v>
      </c>
      <c r="DB21" s="8" t="str">
        <f>IFERROR(ROUND('ENTRY DATA'!FZ32,0),"-")</f>
        <v>-</v>
      </c>
      <c r="DC21" s="8" t="str">
        <f>'ENTRY DATA'!GA32</f>
        <v>-</v>
      </c>
      <c r="DD21" s="8" t="str">
        <f>IFERROR(ROUND('ENTRY DATA'!GB32,0),"-")</f>
        <v>-</v>
      </c>
      <c r="DE21" s="8" t="str">
        <f>'ENTRY DATA'!GC32</f>
        <v>-</v>
      </c>
      <c r="DF21" s="7" t="str">
        <f>'ENTRY DATA'!$GD$8</f>
        <v>-</v>
      </c>
      <c r="DG21" s="7">
        <f t="shared" si="39"/>
        <v>75</v>
      </c>
      <c r="DH21" s="7">
        <f t="shared" si="40"/>
        <v>0</v>
      </c>
      <c r="DI21" s="7" t="str">
        <f>IFERROR(ROUND('ENTRY DATA'!GL32,0),"-")</f>
        <v>-</v>
      </c>
      <c r="DJ21" s="7" t="str">
        <f>'ENTRY DATA'!GM32</f>
        <v>-</v>
      </c>
      <c r="DK21" s="7" t="str">
        <f>IFERROR(ROUND('ENTRY DATA'!GN32,0),"-")</f>
        <v>-</v>
      </c>
      <c r="DL21" s="7" t="str">
        <f>'ENTRY DATA'!GO32</f>
        <v>-</v>
      </c>
      <c r="DM21" s="16" t="str">
        <f>'ENTRY DATA'!HJ32</f>
        <v>-</v>
      </c>
      <c r="DN21" s="16" t="str">
        <f>'ENTRY DATA'!HK32</f>
        <v>-</v>
      </c>
      <c r="DO21" s="16" t="str">
        <f>'ENTRY DATA'!IF32</f>
        <v>-</v>
      </c>
      <c r="DP21" s="16" t="str">
        <f>'ENTRY DATA'!IG32</f>
        <v>-</v>
      </c>
      <c r="DQ21" s="2" t="str">
        <f>'ENTRY DATA'!IH32</f>
        <v>Pramuka</v>
      </c>
      <c r="DR21" s="2" t="str">
        <f>'ENTRY DATA'!II32</f>
        <v>B</v>
      </c>
      <c r="DS21" s="2" t="str">
        <f>'ENTRY DATA'!IJ32</f>
        <v>Aktif dalam mengikuti kegiatan</v>
      </c>
      <c r="DT21" s="2" t="str">
        <f>'ENTRY DATA'!IK32</f>
        <v>-</v>
      </c>
      <c r="DU21" s="2" t="str">
        <f>'ENTRY DATA'!IL32</f>
        <v>-</v>
      </c>
      <c r="DV21" s="2" t="str">
        <f>'ENTRY DATA'!IM32</f>
        <v>-</v>
      </c>
      <c r="DW21" s="2" t="str">
        <f>'ENTRY DATA'!IN32</f>
        <v>-</v>
      </c>
      <c r="DX21" s="2" t="str">
        <f>'ENTRY DATA'!IO32</f>
        <v>-</v>
      </c>
      <c r="DY21" s="2" t="str">
        <f>'ENTRY DATA'!IP32</f>
        <v>-</v>
      </c>
      <c r="DZ21" s="2" t="str">
        <f>'ENTRY DATA'!IQ32</f>
        <v>-</v>
      </c>
      <c r="EA21" s="2" t="str">
        <f>'ENTRY DATA'!IR32</f>
        <v>-</v>
      </c>
      <c r="EB21" s="2" t="str">
        <f>'ENTRY DATA'!IS32</f>
        <v>-</v>
      </c>
      <c r="EC21" s="2" t="str">
        <f>'ENTRY DATA'!IT32</f>
        <v>-</v>
      </c>
      <c r="ED21" s="2" t="str">
        <f>'ENTRY DATA'!IU32</f>
        <v>-</v>
      </c>
      <c r="EE21" s="2" t="str">
        <f>'ENTRY DATA'!IV32</f>
        <v>-</v>
      </c>
      <c r="EF21" s="2" t="str">
        <f>'ENTRY DATA'!IW32</f>
        <v>-</v>
      </c>
      <c r="EG21" s="2" t="str">
        <f>'ENTRY DATA'!IX32</f>
        <v>-</v>
      </c>
      <c r="EH21" s="2" t="str">
        <f>'ENTRY DATA'!IY32</f>
        <v>-</v>
      </c>
      <c r="EI21" s="2" t="str">
        <f>'ENTRY DATA'!IZ32</f>
        <v>-</v>
      </c>
      <c r="EJ21" s="2">
        <f>'ENTRY DATA'!JA32</f>
        <v>0</v>
      </c>
      <c r="EK21" s="2">
        <f>'ENTRY DATA'!JB32</f>
        <v>1</v>
      </c>
    </row>
    <row r="22" spans="1:141" x14ac:dyDescent="0.25">
      <c r="A22" s="2" t="str">
        <f t="shared" si="0"/>
        <v>MIPA</v>
      </c>
      <c r="B22" s="2" t="str">
        <f t="shared" si="1"/>
        <v>Bandung, 10 Oktober 2022</v>
      </c>
      <c r="C22" s="2" t="str">
        <f t="shared" si="2"/>
        <v>Drs. Ahmad Fathony</v>
      </c>
      <c r="D22" s="2" t="str">
        <f t="shared" si="3"/>
        <v>12345678 123456 1 123</v>
      </c>
      <c r="E22" s="2" t="str">
        <f t="shared" si="4"/>
        <v>H. Abdul Basith, M.Pd.</v>
      </c>
      <c r="F22" s="2" t="str">
        <f t="shared" si="5"/>
        <v>12341234 123123 1 234</v>
      </c>
      <c r="G22" s="74">
        <f>'ENTRY DATA'!B33</f>
        <v>0</v>
      </c>
      <c r="H22" s="74">
        <f>'ENTRY DATA'!C33</f>
        <v>0</v>
      </c>
      <c r="I22" s="74">
        <f>'ENTRY DATA'!D33</f>
        <v>0</v>
      </c>
      <c r="J22" s="74">
        <f>'ENTRY DATA'!E33</f>
        <v>0</v>
      </c>
      <c r="K22" s="7" t="str">
        <f t="shared" si="6"/>
        <v>X MIPA-1</v>
      </c>
      <c r="L22" s="7">
        <f t="shared" si="7"/>
        <v>1</v>
      </c>
      <c r="M22" s="7" t="str">
        <f t="shared" si="41"/>
        <v>Ganjil</v>
      </c>
      <c r="N22" s="7" t="str">
        <f t="shared" si="8"/>
        <v>2022/2023</v>
      </c>
      <c r="O22" s="8">
        <f t="shared" si="9"/>
        <v>75</v>
      </c>
      <c r="P22" s="8">
        <f t="shared" si="10"/>
        <v>0</v>
      </c>
      <c r="Q22" s="8" t="str">
        <f>IFERROR(ROUND('ENTRY DATA'!N33,0),"-")</f>
        <v>-</v>
      </c>
      <c r="R22" s="8" t="str">
        <f>'ENTRY DATA'!O33</f>
        <v>-</v>
      </c>
      <c r="S22" s="8" t="str">
        <f>IFERROR(ROUND('ENTRY DATA'!P33,0),"-")</f>
        <v>-</v>
      </c>
      <c r="T22" s="8" t="str">
        <f>'ENTRY DATA'!Q33</f>
        <v>-</v>
      </c>
      <c r="U22" s="7">
        <f t="shared" si="11"/>
        <v>75</v>
      </c>
      <c r="V22" s="7">
        <f t="shared" si="12"/>
        <v>0</v>
      </c>
      <c r="W22" s="7" t="str">
        <f>IFERROR(ROUND('ENTRY DATA'!Z33,0),"-")</f>
        <v>-</v>
      </c>
      <c r="X22" s="7" t="str">
        <f>'ENTRY DATA'!AA33</f>
        <v>-</v>
      </c>
      <c r="Y22" s="7" t="str">
        <f>IFERROR(ROUND('ENTRY DATA'!AB33,0),"-")</f>
        <v>-</v>
      </c>
      <c r="Z22" s="7" t="str">
        <f>'ENTRY DATA'!AC33</f>
        <v>-</v>
      </c>
      <c r="AA22" s="8">
        <f t="shared" si="13"/>
        <v>75</v>
      </c>
      <c r="AB22" s="8">
        <f t="shared" si="14"/>
        <v>0</v>
      </c>
      <c r="AC22" s="8" t="str">
        <f>IFERROR(ROUND('ENTRY DATA'!AL33,0),"-")</f>
        <v>-</v>
      </c>
      <c r="AD22" s="8" t="str">
        <f>'ENTRY DATA'!AM33</f>
        <v>-</v>
      </c>
      <c r="AE22" s="8" t="str">
        <f>IFERROR(ROUND('ENTRY DATA'!AN33,0),"-")</f>
        <v>-</v>
      </c>
      <c r="AF22" s="8" t="str">
        <f>'ENTRY DATA'!AO33</f>
        <v>-</v>
      </c>
      <c r="AG22" s="7">
        <f t="shared" si="15"/>
        <v>75</v>
      </c>
      <c r="AH22" s="7">
        <f t="shared" si="16"/>
        <v>0</v>
      </c>
      <c r="AI22" s="7" t="str">
        <f>IFERROR(ROUND('ENTRY DATA'!AX33,0),"-")</f>
        <v>-</v>
      </c>
      <c r="AJ22" s="7" t="str">
        <f>'ENTRY DATA'!AY33</f>
        <v>-</v>
      </c>
      <c r="AK22" s="7" t="str">
        <f>IFERROR(ROUND('ENTRY DATA'!AZ33,0),"-")</f>
        <v>-</v>
      </c>
      <c r="AL22" s="7" t="str">
        <f>'ENTRY DATA'!BA33</f>
        <v>-</v>
      </c>
      <c r="AM22" s="8">
        <f t="shared" si="17"/>
        <v>75</v>
      </c>
      <c r="AN22" s="8">
        <f t="shared" si="18"/>
        <v>0</v>
      </c>
      <c r="AO22" s="8" t="str">
        <f>IFERROR(ROUND('ENTRY DATA'!BJ33,0),"-")</f>
        <v>-</v>
      </c>
      <c r="AP22" s="8" t="str">
        <f>'ENTRY DATA'!BK33</f>
        <v>-</v>
      </c>
      <c r="AQ22" s="8" t="str">
        <f>IFERROR(ROUND('ENTRY DATA'!BL33,0),"-")</f>
        <v>-</v>
      </c>
      <c r="AR22" s="8" t="str">
        <f>'ENTRY DATA'!BM33</f>
        <v>-</v>
      </c>
      <c r="AS22" s="7">
        <f t="shared" si="19"/>
        <v>75</v>
      </c>
      <c r="AT22" s="7">
        <f t="shared" si="20"/>
        <v>0</v>
      </c>
      <c r="AU22" s="7" t="str">
        <f>IFERROR(ROUND('ENTRY DATA'!BV33,0),"-")</f>
        <v>-</v>
      </c>
      <c r="AV22" s="7" t="str">
        <f>'ENTRY DATA'!BW33</f>
        <v>-</v>
      </c>
      <c r="AW22" s="7" t="str">
        <f>IFERROR(ROUND('ENTRY DATA'!BX33,0),"-")</f>
        <v>-</v>
      </c>
      <c r="AX22" s="7" t="str">
        <f>'ENTRY DATA'!BY33</f>
        <v>-</v>
      </c>
      <c r="AY22" s="8">
        <f t="shared" si="21"/>
        <v>75</v>
      </c>
      <c r="AZ22" s="8">
        <f t="shared" si="22"/>
        <v>0</v>
      </c>
      <c r="BA22" s="8" t="str">
        <f>IFERROR(ROUND('ENTRY DATA'!CH33,0),"-")</f>
        <v>-</v>
      </c>
      <c r="BB22" s="8" t="str">
        <f>'ENTRY DATA'!CI33</f>
        <v>-</v>
      </c>
      <c r="BC22" s="8" t="str">
        <f>IFERROR(ROUND('ENTRY DATA'!CJ33,0),"-")</f>
        <v>-</v>
      </c>
      <c r="BD22" s="8" t="str">
        <f>'ENTRY DATA'!CK33</f>
        <v>-</v>
      </c>
      <c r="BE22" s="7">
        <f t="shared" si="23"/>
        <v>75</v>
      </c>
      <c r="BF22" s="7">
        <f t="shared" si="24"/>
        <v>0</v>
      </c>
      <c r="BG22" s="7" t="str">
        <f>IFERROR(ROUND('ENTRY DATA'!CT33,0),"-")</f>
        <v>-</v>
      </c>
      <c r="BH22" s="7" t="str">
        <f>'ENTRY DATA'!CU33</f>
        <v>-</v>
      </c>
      <c r="BI22" s="7" t="str">
        <f>IFERROR(ROUND('ENTRY DATA'!CV33,0),"-")</f>
        <v>-</v>
      </c>
      <c r="BJ22" s="7" t="str">
        <f>'ENTRY DATA'!CW33</f>
        <v>-</v>
      </c>
      <c r="BK22" s="8">
        <f t="shared" si="25"/>
        <v>75</v>
      </c>
      <c r="BL22" s="8">
        <f t="shared" si="26"/>
        <v>0</v>
      </c>
      <c r="BM22" s="8" t="str">
        <f>IFERROR(ROUND('ENTRY DATA'!DF33,0),"-")</f>
        <v>-</v>
      </c>
      <c r="BN22" s="8" t="str">
        <f>'ENTRY DATA'!DG33</f>
        <v>-</v>
      </c>
      <c r="BO22" s="8" t="str">
        <f>IFERROR(ROUND('ENTRY DATA'!DH33,0),"-")</f>
        <v>-</v>
      </c>
      <c r="BP22" s="8" t="str">
        <f>'ENTRY DATA'!DI33</f>
        <v>-</v>
      </c>
      <c r="BQ22" s="7">
        <f t="shared" si="27"/>
        <v>75</v>
      </c>
      <c r="BR22" s="7">
        <f t="shared" si="28"/>
        <v>0</v>
      </c>
      <c r="BS22" s="7" t="str">
        <f>IFERROR(ROUND('ENTRY DATA'!DR33,0),"-")</f>
        <v>-</v>
      </c>
      <c r="BT22" s="7" t="str">
        <f>'ENTRY DATA'!DS33</f>
        <v>-</v>
      </c>
      <c r="BU22" s="7" t="str">
        <f>IFERROR(ROUND('ENTRY DATA'!DT33,0),"-")</f>
        <v>-</v>
      </c>
      <c r="BV22" s="7" t="str">
        <f>'ENTRY DATA'!DU33</f>
        <v>-</v>
      </c>
      <c r="BW22" s="8" t="str">
        <f>'ENTRY DATA'!$DV$8</f>
        <v>Matematika</v>
      </c>
      <c r="BX22" s="8">
        <f t="shared" si="29"/>
        <v>75</v>
      </c>
      <c r="BY22" s="8">
        <f t="shared" si="30"/>
        <v>0</v>
      </c>
      <c r="BZ22" s="8" t="str">
        <f>IFERROR(ROUND('ENTRY DATA'!ED33,0),"-")</f>
        <v>-</v>
      </c>
      <c r="CA22" s="8" t="str">
        <f>'ENTRY DATA'!EE33</f>
        <v>-</v>
      </c>
      <c r="CB22" s="8" t="str">
        <f>IFERROR(ROUND('ENTRY DATA'!EF33,0),"-")</f>
        <v>-</v>
      </c>
      <c r="CC22" s="8" t="str">
        <f>'ENTRY DATA'!EG33</f>
        <v>-</v>
      </c>
      <c r="CD22" s="7" t="str">
        <f>'ENTRY DATA'!$EH$8</f>
        <v>Biologi</v>
      </c>
      <c r="CE22" s="7">
        <f t="shared" si="31"/>
        <v>75</v>
      </c>
      <c r="CF22" s="7">
        <f t="shared" si="32"/>
        <v>0</v>
      </c>
      <c r="CG22" s="7" t="str">
        <f>IFERROR(ROUND('ENTRY DATA'!EP33,0),"-")</f>
        <v>-</v>
      </c>
      <c r="CH22" s="7" t="str">
        <f>'ENTRY DATA'!EQ33</f>
        <v>-</v>
      </c>
      <c r="CI22" s="7" t="str">
        <f>IFERROR(ROUND('ENTRY DATA'!ER33,0),"-")</f>
        <v>-</v>
      </c>
      <c r="CJ22" s="7" t="str">
        <f>'ENTRY DATA'!ES33</f>
        <v>-</v>
      </c>
      <c r="CK22" s="8" t="str">
        <f>'ENTRY DATA'!$ET$8</f>
        <v>Fisika</v>
      </c>
      <c r="CL22" s="8">
        <f t="shared" si="33"/>
        <v>75</v>
      </c>
      <c r="CM22" s="8">
        <f t="shared" si="34"/>
        <v>0</v>
      </c>
      <c r="CN22" s="8" t="str">
        <f>IFERROR(ROUND('ENTRY DATA'!FB33,0),"-")</f>
        <v>-</v>
      </c>
      <c r="CO22" s="8" t="str">
        <f>'ENTRY DATA'!FC33</f>
        <v>-</v>
      </c>
      <c r="CP22" s="8" t="str">
        <f>IFERROR(ROUND('ENTRY DATA'!FD33,0),"-")</f>
        <v>-</v>
      </c>
      <c r="CQ22" s="8" t="str">
        <f>'ENTRY DATA'!FE33</f>
        <v>-</v>
      </c>
      <c r="CR22" s="7" t="str">
        <f>'ENTRY DATA'!$FF$8</f>
        <v>Kimia</v>
      </c>
      <c r="CS22" s="7">
        <f t="shared" si="35"/>
        <v>75</v>
      </c>
      <c r="CT22" s="7">
        <f t="shared" si="36"/>
        <v>0</v>
      </c>
      <c r="CU22" s="7" t="str">
        <f>IFERROR(ROUND('ENTRY DATA'!FN33,0),"-")</f>
        <v>-</v>
      </c>
      <c r="CV22" s="7" t="str">
        <f>'ENTRY DATA'!FO33</f>
        <v>-</v>
      </c>
      <c r="CW22" s="7" t="str">
        <f>IFERROR(ROUND('ENTRY DATA'!FP33,0),"-")</f>
        <v>-</v>
      </c>
      <c r="CX22" s="7" t="str">
        <f>'ENTRY DATA'!FQ33</f>
        <v>-</v>
      </c>
      <c r="CY22" s="8" t="str">
        <f>'ENTRY DATA'!$FR$8</f>
        <v>-</v>
      </c>
      <c r="CZ22" s="8">
        <f t="shared" si="37"/>
        <v>75</v>
      </c>
      <c r="DA22" s="8">
        <f t="shared" si="38"/>
        <v>0</v>
      </c>
      <c r="DB22" s="8" t="str">
        <f>IFERROR(ROUND('ENTRY DATA'!FZ33,0),"-")</f>
        <v>-</v>
      </c>
      <c r="DC22" s="8" t="str">
        <f>'ENTRY DATA'!GA33</f>
        <v>-</v>
      </c>
      <c r="DD22" s="8" t="str">
        <f>IFERROR(ROUND('ENTRY DATA'!GB33,0),"-")</f>
        <v>-</v>
      </c>
      <c r="DE22" s="8" t="str">
        <f>'ENTRY DATA'!GC33</f>
        <v>-</v>
      </c>
      <c r="DF22" s="7" t="str">
        <f>'ENTRY DATA'!$GD$8</f>
        <v>-</v>
      </c>
      <c r="DG22" s="7">
        <f t="shared" si="39"/>
        <v>75</v>
      </c>
      <c r="DH22" s="7">
        <f t="shared" si="40"/>
        <v>0</v>
      </c>
      <c r="DI22" s="7" t="str">
        <f>IFERROR(ROUND('ENTRY DATA'!GL33,0),"-")</f>
        <v>-</v>
      </c>
      <c r="DJ22" s="7" t="str">
        <f>'ENTRY DATA'!GM33</f>
        <v>-</v>
      </c>
      <c r="DK22" s="7" t="str">
        <f>IFERROR(ROUND('ENTRY DATA'!GN33,0),"-")</f>
        <v>-</v>
      </c>
      <c r="DL22" s="7" t="str">
        <f>'ENTRY DATA'!GO33</f>
        <v>-</v>
      </c>
      <c r="DM22" s="16" t="str">
        <f>'ENTRY DATA'!HJ33</f>
        <v>-</v>
      </c>
      <c r="DN22" s="16" t="str">
        <f>'ENTRY DATA'!HK33</f>
        <v>-</v>
      </c>
      <c r="DO22" s="16" t="str">
        <f>'ENTRY DATA'!IF33</f>
        <v>-</v>
      </c>
      <c r="DP22" s="16" t="str">
        <f>'ENTRY DATA'!IG33</f>
        <v>-</v>
      </c>
      <c r="DQ22" s="2" t="str">
        <f>'ENTRY DATA'!IH33</f>
        <v>Pramuka</v>
      </c>
      <c r="DR22" s="2" t="str">
        <f>'ENTRY DATA'!II33</f>
        <v>B</v>
      </c>
      <c r="DS22" s="2" t="str">
        <f>'ENTRY DATA'!IJ33</f>
        <v>Aktif dalam mengikuti kegiatan</v>
      </c>
      <c r="DT22" s="2" t="str">
        <f>'ENTRY DATA'!IK33</f>
        <v>-</v>
      </c>
      <c r="DU22" s="2" t="str">
        <f>'ENTRY DATA'!IL33</f>
        <v>-</v>
      </c>
      <c r="DV22" s="2" t="str">
        <f>'ENTRY DATA'!IM33</f>
        <v>-</v>
      </c>
      <c r="DW22" s="2" t="str">
        <f>'ENTRY DATA'!IN33</f>
        <v>-</v>
      </c>
      <c r="DX22" s="2" t="str">
        <f>'ENTRY DATA'!IO33</f>
        <v>-</v>
      </c>
      <c r="DY22" s="2" t="str">
        <f>'ENTRY DATA'!IP33</f>
        <v>-</v>
      </c>
      <c r="DZ22" s="2" t="str">
        <f>'ENTRY DATA'!IQ33</f>
        <v>-</v>
      </c>
      <c r="EA22" s="2" t="str">
        <f>'ENTRY DATA'!IR33</f>
        <v>-</v>
      </c>
      <c r="EB22" s="2" t="str">
        <f>'ENTRY DATA'!IS33</f>
        <v>-</v>
      </c>
      <c r="EC22" s="2" t="str">
        <f>'ENTRY DATA'!IT33</f>
        <v>-</v>
      </c>
      <c r="ED22" s="2" t="str">
        <f>'ENTRY DATA'!IU33</f>
        <v>-</v>
      </c>
      <c r="EE22" s="2" t="str">
        <f>'ENTRY DATA'!IV33</f>
        <v>-</v>
      </c>
      <c r="EF22" s="2" t="str">
        <f>'ENTRY DATA'!IW33</f>
        <v>-</v>
      </c>
      <c r="EG22" s="2" t="str">
        <f>'ENTRY DATA'!IX33</f>
        <v>-</v>
      </c>
      <c r="EH22" s="2" t="str">
        <f>'ENTRY DATA'!IY33</f>
        <v>-</v>
      </c>
      <c r="EI22" s="2" t="str">
        <f>'ENTRY DATA'!IZ33</f>
        <v>-</v>
      </c>
      <c r="EJ22" s="2">
        <f>'ENTRY DATA'!JA33</f>
        <v>0</v>
      </c>
      <c r="EK22" s="2">
        <f>'ENTRY DATA'!JB33</f>
        <v>1</v>
      </c>
    </row>
    <row r="23" spans="1:141" x14ac:dyDescent="0.25">
      <c r="A23" s="2" t="str">
        <f t="shared" si="0"/>
        <v>MIPA</v>
      </c>
      <c r="B23" s="2" t="str">
        <f t="shared" si="1"/>
        <v>Bandung, 10 Oktober 2022</v>
      </c>
      <c r="C23" s="2" t="str">
        <f t="shared" si="2"/>
        <v>Drs. Ahmad Fathony</v>
      </c>
      <c r="D23" s="2" t="str">
        <f t="shared" si="3"/>
        <v>12345678 123456 1 123</v>
      </c>
      <c r="E23" s="2" t="str">
        <f t="shared" si="4"/>
        <v>H. Abdul Basith, M.Pd.</v>
      </c>
      <c r="F23" s="2" t="str">
        <f t="shared" si="5"/>
        <v>12341234 123123 1 234</v>
      </c>
      <c r="G23" s="74">
        <f>'ENTRY DATA'!B34</f>
        <v>0</v>
      </c>
      <c r="H23" s="74">
        <f>'ENTRY DATA'!C34</f>
        <v>0</v>
      </c>
      <c r="I23" s="74">
        <f>'ENTRY DATA'!D34</f>
        <v>0</v>
      </c>
      <c r="J23" s="74">
        <f>'ENTRY DATA'!E34</f>
        <v>0</v>
      </c>
      <c r="K23" s="7" t="str">
        <f t="shared" si="6"/>
        <v>X MIPA-1</v>
      </c>
      <c r="L23" s="7">
        <f t="shared" si="7"/>
        <v>1</v>
      </c>
      <c r="M23" s="7" t="str">
        <f t="shared" si="41"/>
        <v>Ganjil</v>
      </c>
      <c r="N23" s="7" t="str">
        <f t="shared" si="8"/>
        <v>2022/2023</v>
      </c>
      <c r="O23" s="8">
        <f t="shared" si="9"/>
        <v>75</v>
      </c>
      <c r="P23" s="8">
        <f t="shared" si="10"/>
        <v>0</v>
      </c>
      <c r="Q23" s="8" t="str">
        <f>IFERROR(ROUND('ENTRY DATA'!N34,0),"-")</f>
        <v>-</v>
      </c>
      <c r="R23" s="8" t="str">
        <f>'ENTRY DATA'!O34</f>
        <v>-</v>
      </c>
      <c r="S23" s="8" t="str">
        <f>IFERROR(ROUND('ENTRY DATA'!P34,0),"-")</f>
        <v>-</v>
      </c>
      <c r="T23" s="8" t="str">
        <f>'ENTRY DATA'!Q34</f>
        <v>-</v>
      </c>
      <c r="U23" s="7">
        <f t="shared" si="11"/>
        <v>75</v>
      </c>
      <c r="V23" s="7">
        <f t="shared" si="12"/>
        <v>0</v>
      </c>
      <c r="W23" s="7" t="str">
        <f>IFERROR(ROUND('ENTRY DATA'!Z34,0),"-")</f>
        <v>-</v>
      </c>
      <c r="X23" s="7" t="str">
        <f>'ENTRY DATA'!AA34</f>
        <v>-</v>
      </c>
      <c r="Y23" s="7" t="str">
        <f>IFERROR(ROUND('ENTRY DATA'!AB34,0),"-")</f>
        <v>-</v>
      </c>
      <c r="Z23" s="7" t="str">
        <f>'ENTRY DATA'!AC34</f>
        <v>-</v>
      </c>
      <c r="AA23" s="8">
        <f t="shared" si="13"/>
        <v>75</v>
      </c>
      <c r="AB23" s="8">
        <f t="shared" si="14"/>
        <v>0</v>
      </c>
      <c r="AC23" s="8" t="str">
        <f>IFERROR(ROUND('ENTRY DATA'!AL34,0),"-")</f>
        <v>-</v>
      </c>
      <c r="AD23" s="8" t="str">
        <f>'ENTRY DATA'!AM34</f>
        <v>-</v>
      </c>
      <c r="AE23" s="8" t="str">
        <f>IFERROR(ROUND('ENTRY DATA'!AN34,0),"-")</f>
        <v>-</v>
      </c>
      <c r="AF23" s="8" t="str">
        <f>'ENTRY DATA'!AO34</f>
        <v>-</v>
      </c>
      <c r="AG23" s="7">
        <f t="shared" si="15"/>
        <v>75</v>
      </c>
      <c r="AH23" s="7">
        <f t="shared" si="16"/>
        <v>0</v>
      </c>
      <c r="AI23" s="7" t="str">
        <f>IFERROR(ROUND('ENTRY DATA'!AX34,0),"-")</f>
        <v>-</v>
      </c>
      <c r="AJ23" s="7" t="str">
        <f>'ENTRY DATA'!AY34</f>
        <v>-</v>
      </c>
      <c r="AK23" s="7" t="str">
        <f>IFERROR(ROUND('ENTRY DATA'!AZ34,0),"-")</f>
        <v>-</v>
      </c>
      <c r="AL23" s="7" t="str">
        <f>'ENTRY DATA'!BA34</f>
        <v>-</v>
      </c>
      <c r="AM23" s="8">
        <f t="shared" si="17"/>
        <v>75</v>
      </c>
      <c r="AN23" s="8">
        <f t="shared" si="18"/>
        <v>0</v>
      </c>
      <c r="AO23" s="8" t="str">
        <f>IFERROR(ROUND('ENTRY DATA'!BJ34,0),"-")</f>
        <v>-</v>
      </c>
      <c r="AP23" s="8" t="str">
        <f>'ENTRY DATA'!BK34</f>
        <v>-</v>
      </c>
      <c r="AQ23" s="8" t="str">
        <f>IFERROR(ROUND('ENTRY DATA'!BL34,0),"-")</f>
        <v>-</v>
      </c>
      <c r="AR23" s="8" t="str">
        <f>'ENTRY DATA'!BM34</f>
        <v>-</v>
      </c>
      <c r="AS23" s="7">
        <f t="shared" si="19"/>
        <v>75</v>
      </c>
      <c r="AT23" s="7">
        <f t="shared" si="20"/>
        <v>0</v>
      </c>
      <c r="AU23" s="7" t="str">
        <f>IFERROR(ROUND('ENTRY DATA'!BV34,0),"-")</f>
        <v>-</v>
      </c>
      <c r="AV23" s="7" t="str">
        <f>'ENTRY DATA'!BW34</f>
        <v>-</v>
      </c>
      <c r="AW23" s="7" t="str">
        <f>IFERROR(ROUND('ENTRY DATA'!BX34,0),"-")</f>
        <v>-</v>
      </c>
      <c r="AX23" s="7" t="str">
        <f>'ENTRY DATA'!BY34</f>
        <v>-</v>
      </c>
      <c r="AY23" s="8">
        <f t="shared" si="21"/>
        <v>75</v>
      </c>
      <c r="AZ23" s="8">
        <f t="shared" si="22"/>
        <v>0</v>
      </c>
      <c r="BA23" s="8" t="str">
        <f>IFERROR(ROUND('ENTRY DATA'!CH34,0),"-")</f>
        <v>-</v>
      </c>
      <c r="BB23" s="8" t="str">
        <f>'ENTRY DATA'!CI34</f>
        <v>-</v>
      </c>
      <c r="BC23" s="8" t="str">
        <f>IFERROR(ROUND('ENTRY DATA'!CJ34,0),"-")</f>
        <v>-</v>
      </c>
      <c r="BD23" s="8" t="str">
        <f>'ENTRY DATA'!CK34</f>
        <v>-</v>
      </c>
      <c r="BE23" s="7">
        <f t="shared" si="23"/>
        <v>75</v>
      </c>
      <c r="BF23" s="7">
        <f t="shared" si="24"/>
        <v>0</v>
      </c>
      <c r="BG23" s="7" t="str">
        <f>IFERROR(ROUND('ENTRY DATA'!CT34,0),"-")</f>
        <v>-</v>
      </c>
      <c r="BH23" s="7" t="str">
        <f>'ENTRY DATA'!CU34</f>
        <v>-</v>
      </c>
      <c r="BI23" s="7" t="str">
        <f>IFERROR(ROUND('ENTRY DATA'!CV34,0),"-")</f>
        <v>-</v>
      </c>
      <c r="BJ23" s="7" t="str">
        <f>'ENTRY DATA'!CW34</f>
        <v>-</v>
      </c>
      <c r="BK23" s="8">
        <f t="shared" si="25"/>
        <v>75</v>
      </c>
      <c r="BL23" s="8">
        <f t="shared" si="26"/>
        <v>0</v>
      </c>
      <c r="BM23" s="8" t="str">
        <f>IFERROR(ROUND('ENTRY DATA'!DF34,0),"-")</f>
        <v>-</v>
      </c>
      <c r="BN23" s="8" t="str">
        <f>'ENTRY DATA'!DG34</f>
        <v>-</v>
      </c>
      <c r="BO23" s="8" t="str">
        <f>IFERROR(ROUND('ENTRY DATA'!DH34,0),"-")</f>
        <v>-</v>
      </c>
      <c r="BP23" s="8" t="str">
        <f>'ENTRY DATA'!DI34</f>
        <v>-</v>
      </c>
      <c r="BQ23" s="7">
        <f t="shared" si="27"/>
        <v>75</v>
      </c>
      <c r="BR23" s="7">
        <f t="shared" si="28"/>
        <v>0</v>
      </c>
      <c r="BS23" s="7" t="str">
        <f>IFERROR(ROUND('ENTRY DATA'!DR34,0),"-")</f>
        <v>-</v>
      </c>
      <c r="BT23" s="7" t="str">
        <f>'ENTRY DATA'!DS34</f>
        <v>-</v>
      </c>
      <c r="BU23" s="7" t="str">
        <f>IFERROR(ROUND('ENTRY DATA'!DT34,0),"-")</f>
        <v>-</v>
      </c>
      <c r="BV23" s="7" t="str">
        <f>'ENTRY DATA'!DU34</f>
        <v>-</v>
      </c>
      <c r="BW23" s="8" t="str">
        <f>'ENTRY DATA'!$DV$8</f>
        <v>Matematika</v>
      </c>
      <c r="BX23" s="8">
        <f t="shared" si="29"/>
        <v>75</v>
      </c>
      <c r="BY23" s="8">
        <f t="shared" si="30"/>
        <v>0</v>
      </c>
      <c r="BZ23" s="8" t="str">
        <f>IFERROR(ROUND('ENTRY DATA'!ED34,0),"-")</f>
        <v>-</v>
      </c>
      <c r="CA23" s="8" t="str">
        <f>'ENTRY DATA'!EE34</f>
        <v>-</v>
      </c>
      <c r="CB23" s="8" t="str">
        <f>IFERROR(ROUND('ENTRY DATA'!EF34,0),"-")</f>
        <v>-</v>
      </c>
      <c r="CC23" s="8" t="str">
        <f>'ENTRY DATA'!EG34</f>
        <v>-</v>
      </c>
      <c r="CD23" s="7" t="str">
        <f>'ENTRY DATA'!$EH$8</f>
        <v>Biologi</v>
      </c>
      <c r="CE23" s="7">
        <f t="shared" si="31"/>
        <v>75</v>
      </c>
      <c r="CF23" s="7">
        <f t="shared" si="32"/>
        <v>0</v>
      </c>
      <c r="CG23" s="7" t="str">
        <f>IFERROR(ROUND('ENTRY DATA'!EP34,0),"-")</f>
        <v>-</v>
      </c>
      <c r="CH23" s="7" t="str">
        <f>'ENTRY DATA'!EQ34</f>
        <v>-</v>
      </c>
      <c r="CI23" s="7" t="str">
        <f>IFERROR(ROUND('ENTRY DATA'!ER34,0),"-")</f>
        <v>-</v>
      </c>
      <c r="CJ23" s="7" t="str">
        <f>'ENTRY DATA'!ES34</f>
        <v>-</v>
      </c>
      <c r="CK23" s="8" t="str">
        <f>'ENTRY DATA'!$ET$8</f>
        <v>Fisika</v>
      </c>
      <c r="CL23" s="8">
        <f t="shared" si="33"/>
        <v>75</v>
      </c>
      <c r="CM23" s="8">
        <f t="shared" si="34"/>
        <v>0</v>
      </c>
      <c r="CN23" s="8" t="str">
        <f>IFERROR(ROUND('ENTRY DATA'!FB34,0),"-")</f>
        <v>-</v>
      </c>
      <c r="CO23" s="8" t="str">
        <f>'ENTRY DATA'!FC34</f>
        <v>-</v>
      </c>
      <c r="CP23" s="8" t="str">
        <f>IFERROR(ROUND('ENTRY DATA'!FD34,0),"-")</f>
        <v>-</v>
      </c>
      <c r="CQ23" s="8" t="str">
        <f>'ENTRY DATA'!FE34</f>
        <v>-</v>
      </c>
      <c r="CR23" s="7" t="str">
        <f>'ENTRY DATA'!$FF$8</f>
        <v>Kimia</v>
      </c>
      <c r="CS23" s="7">
        <f t="shared" si="35"/>
        <v>75</v>
      </c>
      <c r="CT23" s="7">
        <f t="shared" si="36"/>
        <v>0</v>
      </c>
      <c r="CU23" s="7" t="str">
        <f>IFERROR(ROUND('ENTRY DATA'!FN34,0),"-")</f>
        <v>-</v>
      </c>
      <c r="CV23" s="7" t="str">
        <f>'ENTRY DATA'!FO34</f>
        <v>-</v>
      </c>
      <c r="CW23" s="7" t="str">
        <f>IFERROR(ROUND('ENTRY DATA'!FP34,0),"-")</f>
        <v>-</v>
      </c>
      <c r="CX23" s="7" t="str">
        <f>'ENTRY DATA'!FQ34</f>
        <v>-</v>
      </c>
      <c r="CY23" s="8" t="str">
        <f>'ENTRY DATA'!$FR$8</f>
        <v>-</v>
      </c>
      <c r="CZ23" s="8">
        <f t="shared" si="37"/>
        <v>75</v>
      </c>
      <c r="DA23" s="8">
        <f t="shared" si="38"/>
        <v>0</v>
      </c>
      <c r="DB23" s="8" t="str">
        <f>IFERROR(ROUND('ENTRY DATA'!FZ34,0),"-")</f>
        <v>-</v>
      </c>
      <c r="DC23" s="8" t="str">
        <f>'ENTRY DATA'!GA34</f>
        <v>-</v>
      </c>
      <c r="DD23" s="8" t="str">
        <f>IFERROR(ROUND('ENTRY DATA'!GB34,0),"-")</f>
        <v>-</v>
      </c>
      <c r="DE23" s="8" t="str">
        <f>'ENTRY DATA'!GC34</f>
        <v>-</v>
      </c>
      <c r="DF23" s="7" t="str">
        <f>'ENTRY DATA'!$GD$8</f>
        <v>-</v>
      </c>
      <c r="DG23" s="7">
        <f t="shared" si="39"/>
        <v>75</v>
      </c>
      <c r="DH23" s="7">
        <f t="shared" si="40"/>
        <v>0</v>
      </c>
      <c r="DI23" s="7" t="str">
        <f>IFERROR(ROUND('ENTRY DATA'!GL34,0),"-")</f>
        <v>-</v>
      </c>
      <c r="DJ23" s="7" t="str">
        <f>'ENTRY DATA'!GM34</f>
        <v>-</v>
      </c>
      <c r="DK23" s="7" t="str">
        <f>IFERROR(ROUND('ENTRY DATA'!GN34,0),"-")</f>
        <v>-</v>
      </c>
      <c r="DL23" s="7" t="str">
        <f>'ENTRY DATA'!GO34</f>
        <v>-</v>
      </c>
      <c r="DM23" s="16" t="str">
        <f>'ENTRY DATA'!HJ34</f>
        <v>-</v>
      </c>
      <c r="DN23" s="16" t="str">
        <f>'ENTRY DATA'!HK34</f>
        <v>-</v>
      </c>
      <c r="DO23" s="16" t="str">
        <f>'ENTRY DATA'!IF34</f>
        <v>-</v>
      </c>
      <c r="DP23" s="16" t="str">
        <f>'ENTRY DATA'!IG34</f>
        <v>-</v>
      </c>
      <c r="DQ23" s="2" t="str">
        <f>'ENTRY DATA'!IH34</f>
        <v>Pramuka</v>
      </c>
      <c r="DR23" s="2" t="str">
        <f>'ENTRY DATA'!II34</f>
        <v>B</v>
      </c>
      <c r="DS23" s="2" t="str">
        <f>'ENTRY DATA'!IJ34</f>
        <v>Aktif dalam mengikuti kegiatan</v>
      </c>
      <c r="DT23" s="2" t="str">
        <f>'ENTRY DATA'!IK34</f>
        <v>-</v>
      </c>
      <c r="DU23" s="2" t="str">
        <f>'ENTRY DATA'!IL34</f>
        <v>-</v>
      </c>
      <c r="DV23" s="2" t="str">
        <f>'ENTRY DATA'!IM34</f>
        <v>-</v>
      </c>
      <c r="DW23" s="2" t="str">
        <f>'ENTRY DATA'!IN34</f>
        <v>-</v>
      </c>
      <c r="DX23" s="2" t="str">
        <f>'ENTRY DATA'!IO34</f>
        <v>-</v>
      </c>
      <c r="DY23" s="2" t="str">
        <f>'ENTRY DATA'!IP34</f>
        <v>-</v>
      </c>
      <c r="DZ23" s="2" t="str">
        <f>'ENTRY DATA'!IQ34</f>
        <v>-</v>
      </c>
      <c r="EA23" s="2" t="str">
        <f>'ENTRY DATA'!IR34</f>
        <v>-</v>
      </c>
      <c r="EB23" s="2" t="str">
        <f>'ENTRY DATA'!IS34</f>
        <v>-</v>
      </c>
      <c r="EC23" s="2" t="str">
        <f>'ENTRY DATA'!IT34</f>
        <v>-</v>
      </c>
      <c r="ED23" s="2" t="str">
        <f>'ENTRY DATA'!IU34</f>
        <v>-</v>
      </c>
      <c r="EE23" s="2" t="str">
        <f>'ENTRY DATA'!IV34</f>
        <v>-</v>
      </c>
      <c r="EF23" s="2" t="str">
        <f>'ENTRY DATA'!IW34</f>
        <v>-</v>
      </c>
      <c r="EG23" s="2" t="str">
        <f>'ENTRY DATA'!IX34</f>
        <v>-</v>
      </c>
      <c r="EH23" s="2" t="str">
        <f>'ENTRY DATA'!IY34</f>
        <v>-</v>
      </c>
      <c r="EI23" s="2" t="str">
        <f>'ENTRY DATA'!IZ34</f>
        <v>-</v>
      </c>
      <c r="EJ23" s="2">
        <f>'ENTRY DATA'!JA34</f>
        <v>0</v>
      </c>
      <c r="EK23" s="2">
        <f>'ENTRY DATA'!JB34</f>
        <v>1</v>
      </c>
    </row>
    <row r="24" spans="1:141" x14ac:dyDescent="0.25">
      <c r="A24" s="2" t="str">
        <f t="shared" si="0"/>
        <v>MIPA</v>
      </c>
      <c r="B24" s="2" t="str">
        <f t="shared" si="1"/>
        <v>Bandung, 10 Oktober 2022</v>
      </c>
      <c r="C24" s="2" t="str">
        <f t="shared" si="2"/>
        <v>Drs. Ahmad Fathony</v>
      </c>
      <c r="D24" s="2" t="str">
        <f t="shared" si="3"/>
        <v>12345678 123456 1 123</v>
      </c>
      <c r="E24" s="2" t="str">
        <f t="shared" si="4"/>
        <v>H. Abdul Basith, M.Pd.</v>
      </c>
      <c r="F24" s="2" t="str">
        <f t="shared" si="5"/>
        <v>12341234 123123 1 234</v>
      </c>
      <c r="G24" s="74">
        <f>'ENTRY DATA'!B35</f>
        <v>0</v>
      </c>
      <c r="H24" s="74">
        <f>'ENTRY DATA'!C35</f>
        <v>0</v>
      </c>
      <c r="I24" s="74">
        <f>'ENTRY DATA'!D35</f>
        <v>0</v>
      </c>
      <c r="J24" s="74">
        <f>'ENTRY DATA'!E35</f>
        <v>0</v>
      </c>
      <c r="K24" s="7" t="str">
        <f t="shared" si="6"/>
        <v>X MIPA-1</v>
      </c>
      <c r="L24" s="7">
        <f t="shared" si="7"/>
        <v>1</v>
      </c>
      <c r="M24" s="7" t="str">
        <f t="shared" si="41"/>
        <v>Ganjil</v>
      </c>
      <c r="N24" s="7" t="str">
        <f t="shared" si="8"/>
        <v>2022/2023</v>
      </c>
      <c r="O24" s="8">
        <f t="shared" si="9"/>
        <v>75</v>
      </c>
      <c r="P24" s="8">
        <f t="shared" si="10"/>
        <v>0</v>
      </c>
      <c r="Q24" s="8" t="str">
        <f>IFERROR(ROUND('ENTRY DATA'!N35,0),"-")</f>
        <v>-</v>
      </c>
      <c r="R24" s="8" t="str">
        <f>'ENTRY DATA'!O35</f>
        <v>-</v>
      </c>
      <c r="S24" s="8" t="str">
        <f>IFERROR(ROUND('ENTRY DATA'!P35,0),"-")</f>
        <v>-</v>
      </c>
      <c r="T24" s="8" t="str">
        <f>'ENTRY DATA'!Q35</f>
        <v>-</v>
      </c>
      <c r="U24" s="7">
        <f t="shared" si="11"/>
        <v>75</v>
      </c>
      <c r="V24" s="7">
        <f t="shared" si="12"/>
        <v>0</v>
      </c>
      <c r="W24" s="7" t="str">
        <f>IFERROR(ROUND('ENTRY DATA'!Z35,0),"-")</f>
        <v>-</v>
      </c>
      <c r="X24" s="7" t="str">
        <f>'ENTRY DATA'!AA35</f>
        <v>-</v>
      </c>
      <c r="Y24" s="7" t="str">
        <f>IFERROR(ROUND('ENTRY DATA'!AB35,0),"-")</f>
        <v>-</v>
      </c>
      <c r="Z24" s="7" t="str">
        <f>'ENTRY DATA'!AC35</f>
        <v>-</v>
      </c>
      <c r="AA24" s="8">
        <f t="shared" si="13"/>
        <v>75</v>
      </c>
      <c r="AB24" s="8">
        <f t="shared" si="14"/>
        <v>0</v>
      </c>
      <c r="AC24" s="8" t="str">
        <f>IFERROR(ROUND('ENTRY DATA'!AL35,0),"-")</f>
        <v>-</v>
      </c>
      <c r="AD24" s="8" t="str">
        <f>'ENTRY DATA'!AM35</f>
        <v>-</v>
      </c>
      <c r="AE24" s="8" t="str">
        <f>IFERROR(ROUND('ENTRY DATA'!AN35,0),"-")</f>
        <v>-</v>
      </c>
      <c r="AF24" s="8" t="str">
        <f>'ENTRY DATA'!AO35</f>
        <v>-</v>
      </c>
      <c r="AG24" s="7">
        <f t="shared" si="15"/>
        <v>75</v>
      </c>
      <c r="AH24" s="7">
        <f t="shared" si="16"/>
        <v>0</v>
      </c>
      <c r="AI24" s="7" t="str">
        <f>IFERROR(ROUND('ENTRY DATA'!AX35,0),"-")</f>
        <v>-</v>
      </c>
      <c r="AJ24" s="7" t="str">
        <f>'ENTRY DATA'!AY35</f>
        <v>-</v>
      </c>
      <c r="AK24" s="7" t="str">
        <f>IFERROR(ROUND('ENTRY DATA'!AZ35,0),"-")</f>
        <v>-</v>
      </c>
      <c r="AL24" s="7" t="str">
        <f>'ENTRY DATA'!BA35</f>
        <v>-</v>
      </c>
      <c r="AM24" s="8">
        <f t="shared" si="17"/>
        <v>75</v>
      </c>
      <c r="AN24" s="8">
        <f t="shared" si="18"/>
        <v>0</v>
      </c>
      <c r="AO24" s="8" t="str">
        <f>IFERROR(ROUND('ENTRY DATA'!BJ35,0),"-")</f>
        <v>-</v>
      </c>
      <c r="AP24" s="8" t="str">
        <f>'ENTRY DATA'!BK35</f>
        <v>-</v>
      </c>
      <c r="AQ24" s="8" t="str">
        <f>IFERROR(ROUND('ENTRY DATA'!BL35,0),"-")</f>
        <v>-</v>
      </c>
      <c r="AR24" s="8" t="str">
        <f>'ENTRY DATA'!BM35</f>
        <v>-</v>
      </c>
      <c r="AS24" s="7">
        <f t="shared" si="19"/>
        <v>75</v>
      </c>
      <c r="AT24" s="7">
        <f t="shared" si="20"/>
        <v>0</v>
      </c>
      <c r="AU24" s="7" t="str">
        <f>IFERROR(ROUND('ENTRY DATA'!BV35,0),"-")</f>
        <v>-</v>
      </c>
      <c r="AV24" s="7" t="str">
        <f>'ENTRY DATA'!BW35</f>
        <v>-</v>
      </c>
      <c r="AW24" s="7" t="str">
        <f>IFERROR(ROUND('ENTRY DATA'!BX35,0),"-")</f>
        <v>-</v>
      </c>
      <c r="AX24" s="7" t="str">
        <f>'ENTRY DATA'!BY35</f>
        <v>-</v>
      </c>
      <c r="AY24" s="8">
        <f t="shared" si="21"/>
        <v>75</v>
      </c>
      <c r="AZ24" s="8">
        <f t="shared" si="22"/>
        <v>0</v>
      </c>
      <c r="BA24" s="8" t="str">
        <f>IFERROR(ROUND('ENTRY DATA'!CH35,0),"-")</f>
        <v>-</v>
      </c>
      <c r="BB24" s="8" t="str">
        <f>'ENTRY DATA'!CI35</f>
        <v>-</v>
      </c>
      <c r="BC24" s="8" t="str">
        <f>IFERROR(ROUND('ENTRY DATA'!CJ35,0),"-")</f>
        <v>-</v>
      </c>
      <c r="BD24" s="8" t="str">
        <f>'ENTRY DATA'!CK35</f>
        <v>-</v>
      </c>
      <c r="BE24" s="7">
        <f t="shared" si="23"/>
        <v>75</v>
      </c>
      <c r="BF24" s="7">
        <f t="shared" si="24"/>
        <v>0</v>
      </c>
      <c r="BG24" s="7" t="str">
        <f>IFERROR(ROUND('ENTRY DATA'!CT35,0),"-")</f>
        <v>-</v>
      </c>
      <c r="BH24" s="7" t="str">
        <f>'ENTRY DATA'!CU35</f>
        <v>-</v>
      </c>
      <c r="BI24" s="7" t="str">
        <f>IFERROR(ROUND('ENTRY DATA'!CV35,0),"-")</f>
        <v>-</v>
      </c>
      <c r="BJ24" s="7" t="str">
        <f>'ENTRY DATA'!CW35</f>
        <v>-</v>
      </c>
      <c r="BK24" s="8">
        <f t="shared" si="25"/>
        <v>75</v>
      </c>
      <c r="BL24" s="8">
        <f t="shared" si="26"/>
        <v>0</v>
      </c>
      <c r="BM24" s="8" t="str">
        <f>IFERROR(ROUND('ENTRY DATA'!DF35,0),"-")</f>
        <v>-</v>
      </c>
      <c r="BN24" s="8" t="str">
        <f>'ENTRY DATA'!DG35</f>
        <v>-</v>
      </c>
      <c r="BO24" s="8" t="str">
        <f>IFERROR(ROUND('ENTRY DATA'!DH35,0),"-")</f>
        <v>-</v>
      </c>
      <c r="BP24" s="8" t="str">
        <f>'ENTRY DATA'!DI35</f>
        <v>-</v>
      </c>
      <c r="BQ24" s="7">
        <f t="shared" si="27"/>
        <v>75</v>
      </c>
      <c r="BR24" s="7">
        <f t="shared" si="28"/>
        <v>0</v>
      </c>
      <c r="BS24" s="7" t="str">
        <f>IFERROR(ROUND('ENTRY DATA'!DR35,0),"-")</f>
        <v>-</v>
      </c>
      <c r="BT24" s="7" t="str">
        <f>'ENTRY DATA'!DS35</f>
        <v>-</v>
      </c>
      <c r="BU24" s="7" t="str">
        <f>IFERROR(ROUND('ENTRY DATA'!DT35,0),"-")</f>
        <v>-</v>
      </c>
      <c r="BV24" s="7" t="str">
        <f>'ENTRY DATA'!DU35</f>
        <v>-</v>
      </c>
      <c r="BW24" s="8" t="str">
        <f>'ENTRY DATA'!$DV$8</f>
        <v>Matematika</v>
      </c>
      <c r="BX24" s="8">
        <f t="shared" si="29"/>
        <v>75</v>
      </c>
      <c r="BY24" s="8">
        <f t="shared" si="30"/>
        <v>0</v>
      </c>
      <c r="BZ24" s="8" t="str">
        <f>IFERROR(ROUND('ENTRY DATA'!ED35,0),"-")</f>
        <v>-</v>
      </c>
      <c r="CA24" s="8" t="str">
        <f>'ENTRY DATA'!EE35</f>
        <v>-</v>
      </c>
      <c r="CB24" s="8" t="str">
        <f>IFERROR(ROUND('ENTRY DATA'!EF35,0),"-")</f>
        <v>-</v>
      </c>
      <c r="CC24" s="8" t="str">
        <f>'ENTRY DATA'!EG35</f>
        <v>-</v>
      </c>
      <c r="CD24" s="7" t="str">
        <f>'ENTRY DATA'!$EH$8</f>
        <v>Biologi</v>
      </c>
      <c r="CE24" s="7">
        <f t="shared" si="31"/>
        <v>75</v>
      </c>
      <c r="CF24" s="7">
        <f t="shared" si="32"/>
        <v>0</v>
      </c>
      <c r="CG24" s="7" t="str">
        <f>IFERROR(ROUND('ENTRY DATA'!EP35,0),"-")</f>
        <v>-</v>
      </c>
      <c r="CH24" s="7" t="str">
        <f>'ENTRY DATA'!EQ35</f>
        <v>-</v>
      </c>
      <c r="CI24" s="7" t="str">
        <f>IFERROR(ROUND('ENTRY DATA'!ER35,0),"-")</f>
        <v>-</v>
      </c>
      <c r="CJ24" s="7" t="str">
        <f>'ENTRY DATA'!ES35</f>
        <v>-</v>
      </c>
      <c r="CK24" s="8" t="str">
        <f>'ENTRY DATA'!$ET$8</f>
        <v>Fisika</v>
      </c>
      <c r="CL24" s="8">
        <f t="shared" si="33"/>
        <v>75</v>
      </c>
      <c r="CM24" s="8">
        <f t="shared" si="34"/>
        <v>0</v>
      </c>
      <c r="CN24" s="8" t="str">
        <f>IFERROR(ROUND('ENTRY DATA'!FB35,0),"-")</f>
        <v>-</v>
      </c>
      <c r="CO24" s="8" t="str">
        <f>'ENTRY DATA'!FC35</f>
        <v>-</v>
      </c>
      <c r="CP24" s="8" t="str">
        <f>IFERROR(ROUND('ENTRY DATA'!FD35,0),"-")</f>
        <v>-</v>
      </c>
      <c r="CQ24" s="8" t="str">
        <f>'ENTRY DATA'!FE35</f>
        <v>-</v>
      </c>
      <c r="CR24" s="7" t="str">
        <f>'ENTRY DATA'!$FF$8</f>
        <v>Kimia</v>
      </c>
      <c r="CS24" s="7">
        <f t="shared" si="35"/>
        <v>75</v>
      </c>
      <c r="CT24" s="7">
        <f t="shared" si="36"/>
        <v>0</v>
      </c>
      <c r="CU24" s="7" t="str">
        <f>IFERROR(ROUND('ENTRY DATA'!FN35,0),"-")</f>
        <v>-</v>
      </c>
      <c r="CV24" s="7" t="str">
        <f>'ENTRY DATA'!FO35</f>
        <v>-</v>
      </c>
      <c r="CW24" s="7" t="str">
        <f>IFERROR(ROUND('ENTRY DATA'!FP35,0),"-")</f>
        <v>-</v>
      </c>
      <c r="CX24" s="7" t="str">
        <f>'ENTRY DATA'!FQ35</f>
        <v>-</v>
      </c>
      <c r="CY24" s="8" t="str">
        <f>'ENTRY DATA'!$FR$8</f>
        <v>-</v>
      </c>
      <c r="CZ24" s="8">
        <f t="shared" si="37"/>
        <v>75</v>
      </c>
      <c r="DA24" s="8">
        <f t="shared" si="38"/>
        <v>0</v>
      </c>
      <c r="DB24" s="8" t="str">
        <f>IFERROR(ROUND('ENTRY DATA'!FZ35,0),"-")</f>
        <v>-</v>
      </c>
      <c r="DC24" s="8" t="str">
        <f>'ENTRY DATA'!GA35</f>
        <v>-</v>
      </c>
      <c r="DD24" s="8" t="str">
        <f>IFERROR(ROUND('ENTRY DATA'!GB35,0),"-")</f>
        <v>-</v>
      </c>
      <c r="DE24" s="8" t="str">
        <f>'ENTRY DATA'!GC35</f>
        <v>-</v>
      </c>
      <c r="DF24" s="7" t="str">
        <f>'ENTRY DATA'!$GD$8</f>
        <v>-</v>
      </c>
      <c r="DG24" s="7">
        <f t="shared" si="39"/>
        <v>75</v>
      </c>
      <c r="DH24" s="7">
        <f t="shared" si="40"/>
        <v>0</v>
      </c>
      <c r="DI24" s="7" t="str">
        <f>IFERROR(ROUND('ENTRY DATA'!GL35,0),"-")</f>
        <v>-</v>
      </c>
      <c r="DJ24" s="7" t="str">
        <f>'ENTRY DATA'!GM35</f>
        <v>-</v>
      </c>
      <c r="DK24" s="7" t="str">
        <f>IFERROR(ROUND('ENTRY DATA'!GN35,0),"-")</f>
        <v>-</v>
      </c>
      <c r="DL24" s="7" t="str">
        <f>'ENTRY DATA'!GO35</f>
        <v>-</v>
      </c>
      <c r="DM24" s="16" t="str">
        <f>'ENTRY DATA'!HJ35</f>
        <v>-</v>
      </c>
      <c r="DN24" s="16" t="str">
        <f>'ENTRY DATA'!HK35</f>
        <v>-</v>
      </c>
      <c r="DO24" s="16" t="str">
        <f>'ENTRY DATA'!IF35</f>
        <v>-</v>
      </c>
      <c r="DP24" s="16" t="str">
        <f>'ENTRY DATA'!IG35</f>
        <v>-</v>
      </c>
      <c r="DQ24" s="2" t="str">
        <f>'ENTRY DATA'!IH35</f>
        <v>Pramuka</v>
      </c>
      <c r="DR24" s="2" t="str">
        <f>'ENTRY DATA'!II35</f>
        <v>B</v>
      </c>
      <c r="DS24" s="2" t="str">
        <f>'ENTRY DATA'!IJ35</f>
        <v>Aktif dalam mengikuti kegiatan</v>
      </c>
      <c r="DT24" s="2" t="str">
        <f>'ENTRY DATA'!IK35</f>
        <v>-</v>
      </c>
      <c r="DU24" s="2" t="str">
        <f>'ENTRY DATA'!IL35</f>
        <v>-</v>
      </c>
      <c r="DV24" s="2" t="str">
        <f>'ENTRY DATA'!IM35</f>
        <v>-</v>
      </c>
      <c r="DW24" s="2" t="str">
        <f>'ENTRY DATA'!IN35</f>
        <v>-</v>
      </c>
      <c r="DX24" s="2" t="str">
        <f>'ENTRY DATA'!IO35</f>
        <v>-</v>
      </c>
      <c r="DY24" s="2" t="str">
        <f>'ENTRY DATA'!IP35</f>
        <v>-</v>
      </c>
      <c r="DZ24" s="2" t="str">
        <f>'ENTRY DATA'!IQ35</f>
        <v>-</v>
      </c>
      <c r="EA24" s="2" t="str">
        <f>'ENTRY DATA'!IR35</f>
        <v>-</v>
      </c>
      <c r="EB24" s="2" t="str">
        <f>'ENTRY DATA'!IS35</f>
        <v>-</v>
      </c>
      <c r="EC24" s="2" t="str">
        <f>'ENTRY DATA'!IT35</f>
        <v>-</v>
      </c>
      <c r="ED24" s="2" t="str">
        <f>'ENTRY DATA'!IU35</f>
        <v>-</v>
      </c>
      <c r="EE24" s="2" t="str">
        <f>'ENTRY DATA'!IV35</f>
        <v>-</v>
      </c>
      <c r="EF24" s="2" t="str">
        <f>'ENTRY DATA'!IW35</f>
        <v>-</v>
      </c>
      <c r="EG24" s="2" t="str">
        <f>'ENTRY DATA'!IX35</f>
        <v>-</v>
      </c>
      <c r="EH24" s="2" t="str">
        <f>'ENTRY DATA'!IY35</f>
        <v>-</v>
      </c>
      <c r="EI24" s="2" t="str">
        <f>'ENTRY DATA'!IZ35</f>
        <v>-</v>
      </c>
      <c r="EJ24" s="2">
        <f>'ENTRY DATA'!JA35</f>
        <v>0</v>
      </c>
      <c r="EK24" s="2">
        <f>'ENTRY DATA'!JB35</f>
        <v>1</v>
      </c>
    </row>
    <row r="25" spans="1:141" x14ac:dyDescent="0.25">
      <c r="A25" s="2" t="str">
        <f t="shared" si="0"/>
        <v>MIPA</v>
      </c>
      <c r="B25" s="2" t="str">
        <f t="shared" si="1"/>
        <v>Bandung, 10 Oktober 2022</v>
      </c>
      <c r="C25" s="2" t="str">
        <f t="shared" si="2"/>
        <v>Drs. Ahmad Fathony</v>
      </c>
      <c r="D25" s="2" t="str">
        <f t="shared" si="3"/>
        <v>12345678 123456 1 123</v>
      </c>
      <c r="E25" s="2" t="str">
        <f t="shared" si="4"/>
        <v>H. Abdul Basith, M.Pd.</v>
      </c>
      <c r="F25" s="2" t="str">
        <f t="shared" si="5"/>
        <v>12341234 123123 1 234</v>
      </c>
      <c r="G25" s="74">
        <f>'ENTRY DATA'!B36</f>
        <v>0</v>
      </c>
      <c r="H25" s="74">
        <f>'ENTRY DATA'!C36</f>
        <v>0</v>
      </c>
      <c r="I25" s="74">
        <f>'ENTRY DATA'!D36</f>
        <v>0</v>
      </c>
      <c r="J25" s="74">
        <f>'ENTRY DATA'!E36</f>
        <v>0</v>
      </c>
      <c r="K25" s="7" t="str">
        <f t="shared" si="6"/>
        <v>X MIPA-1</v>
      </c>
      <c r="L25" s="7">
        <f t="shared" si="7"/>
        <v>1</v>
      </c>
      <c r="M25" s="7" t="str">
        <f t="shared" si="41"/>
        <v>Ganjil</v>
      </c>
      <c r="N25" s="7" t="str">
        <f t="shared" si="8"/>
        <v>2022/2023</v>
      </c>
      <c r="O25" s="8">
        <f t="shared" si="9"/>
        <v>75</v>
      </c>
      <c r="P25" s="8">
        <f t="shared" si="10"/>
        <v>0</v>
      </c>
      <c r="Q25" s="8" t="str">
        <f>IFERROR(ROUND('ENTRY DATA'!N36,0),"-")</f>
        <v>-</v>
      </c>
      <c r="R25" s="8" t="str">
        <f>'ENTRY DATA'!O36</f>
        <v>-</v>
      </c>
      <c r="S25" s="8" t="str">
        <f>IFERROR(ROUND('ENTRY DATA'!P36,0),"-")</f>
        <v>-</v>
      </c>
      <c r="T25" s="8" t="str">
        <f>'ENTRY DATA'!Q36</f>
        <v>-</v>
      </c>
      <c r="U25" s="7">
        <f t="shared" si="11"/>
        <v>75</v>
      </c>
      <c r="V25" s="7">
        <f t="shared" si="12"/>
        <v>0</v>
      </c>
      <c r="W25" s="7" t="str">
        <f>IFERROR(ROUND('ENTRY DATA'!Z36,0),"-")</f>
        <v>-</v>
      </c>
      <c r="X25" s="7" t="str">
        <f>'ENTRY DATA'!AA36</f>
        <v>-</v>
      </c>
      <c r="Y25" s="7" t="str">
        <f>IFERROR(ROUND('ENTRY DATA'!AB36,0),"-")</f>
        <v>-</v>
      </c>
      <c r="Z25" s="7" t="str">
        <f>'ENTRY DATA'!AC36</f>
        <v>-</v>
      </c>
      <c r="AA25" s="8">
        <f t="shared" si="13"/>
        <v>75</v>
      </c>
      <c r="AB25" s="8">
        <f t="shared" si="14"/>
        <v>0</v>
      </c>
      <c r="AC25" s="8" t="str">
        <f>IFERROR(ROUND('ENTRY DATA'!AL36,0),"-")</f>
        <v>-</v>
      </c>
      <c r="AD25" s="8" t="str">
        <f>'ENTRY DATA'!AM36</f>
        <v>-</v>
      </c>
      <c r="AE25" s="8" t="str">
        <f>IFERROR(ROUND('ENTRY DATA'!AN36,0),"-")</f>
        <v>-</v>
      </c>
      <c r="AF25" s="8" t="str">
        <f>'ENTRY DATA'!AO36</f>
        <v>-</v>
      </c>
      <c r="AG25" s="7">
        <f t="shared" si="15"/>
        <v>75</v>
      </c>
      <c r="AH25" s="7">
        <f t="shared" si="16"/>
        <v>0</v>
      </c>
      <c r="AI25" s="7" t="str">
        <f>IFERROR(ROUND('ENTRY DATA'!AX36,0),"-")</f>
        <v>-</v>
      </c>
      <c r="AJ25" s="7" t="str">
        <f>'ENTRY DATA'!AY36</f>
        <v>-</v>
      </c>
      <c r="AK25" s="7" t="str">
        <f>IFERROR(ROUND('ENTRY DATA'!AZ36,0),"-")</f>
        <v>-</v>
      </c>
      <c r="AL25" s="7" t="str">
        <f>'ENTRY DATA'!BA36</f>
        <v>-</v>
      </c>
      <c r="AM25" s="8">
        <f t="shared" si="17"/>
        <v>75</v>
      </c>
      <c r="AN25" s="8">
        <f t="shared" si="18"/>
        <v>0</v>
      </c>
      <c r="AO25" s="8" t="str">
        <f>IFERROR(ROUND('ENTRY DATA'!BJ36,0),"-")</f>
        <v>-</v>
      </c>
      <c r="AP25" s="8" t="str">
        <f>'ENTRY DATA'!BK36</f>
        <v>-</v>
      </c>
      <c r="AQ25" s="8" t="str">
        <f>IFERROR(ROUND('ENTRY DATA'!BL36,0),"-")</f>
        <v>-</v>
      </c>
      <c r="AR25" s="8" t="str">
        <f>'ENTRY DATA'!BM36</f>
        <v>-</v>
      </c>
      <c r="AS25" s="7">
        <f t="shared" si="19"/>
        <v>75</v>
      </c>
      <c r="AT25" s="7">
        <f t="shared" si="20"/>
        <v>0</v>
      </c>
      <c r="AU25" s="7" t="str">
        <f>IFERROR(ROUND('ENTRY DATA'!BV36,0),"-")</f>
        <v>-</v>
      </c>
      <c r="AV25" s="7" t="str">
        <f>'ENTRY DATA'!BW36</f>
        <v>-</v>
      </c>
      <c r="AW25" s="7" t="str">
        <f>IFERROR(ROUND('ENTRY DATA'!BX36,0),"-")</f>
        <v>-</v>
      </c>
      <c r="AX25" s="7" t="str">
        <f>'ENTRY DATA'!BY36</f>
        <v>-</v>
      </c>
      <c r="AY25" s="8">
        <f t="shared" si="21"/>
        <v>75</v>
      </c>
      <c r="AZ25" s="8">
        <f t="shared" si="22"/>
        <v>0</v>
      </c>
      <c r="BA25" s="8" t="str">
        <f>IFERROR(ROUND('ENTRY DATA'!CH36,0),"-")</f>
        <v>-</v>
      </c>
      <c r="BB25" s="8" t="str">
        <f>'ENTRY DATA'!CI36</f>
        <v>-</v>
      </c>
      <c r="BC25" s="8" t="str">
        <f>IFERROR(ROUND('ENTRY DATA'!CJ36,0),"-")</f>
        <v>-</v>
      </c>
      <c r="BD25" s="8" t="str">
        <f>'ENTRY DATA'!CK36</f>
        <v>-</v>
      </c>
      <c r="BE25" s="7">
        <f t="shared" si="23"/>
        <v>75</v>
      </c>
      <c r="BF25" s="7">
        <f t="shared" si="24"/>
        <v>0</v>
      </c>
      <c r="BG25" s="7" t="str">
        <f>IFERROR(ROUND('ENTRY DATA'!CT36,0),"-")</f>
        <v>-</v>
      </c>
      <c r="BH25" s="7" t="str">
        <f>'ENTRY DATA'!CU36</f>
        <v>-</v>
      </c>
      <c r="BI25" s="7" t="str">
        <f>IFERROR(ROUND('ENTRY DATA'!CV36,0),"-")</f>
        <v>-</v>
      </c>
      <c r="BJ25" s="7" t="str">
        <f>'ENTRY DATA'!CW36</f>
        <v>-</v>
      </c>
      <c r="BK25" s="8">
        <f t="shared" si="25"/>
        <v>75</v>
      </c>
      <c r="BL25" s="8">
        <f t="shared" si="26"/>
        <v>0</v>
      </c>
      <c r="BM25" s="8" t="str">
        <f>IFERROR(ROUND('ENTRY DATA'!DF36,0),"-")</f>
        <v>-</v>
      </c>
      <c r="BN25" s="8" t="str">
        <f>'ENTRY DATA'!DG36</f>
        <v>-</v>
      </c>
      <c r="BO25" s="8" t="str">
        <f>IFERROR(ROUND('ENTRY DATA'!DH36,0),"-")</f>
        <v>-</v>
      </c>
      <c r="BP25" s="8" t="str">
        <f>'ENTRY DATA'!DI36</f>
        <v>-</v>
      </c>
      <c r="BQ25" s="7">
        <f t="shared" si="27"/>
        <v>75</v>
      </c>
      <c r="BR25" s="7">
        <f t="shared" si="28"/>
        <v>0</v>
      </c>
      <c r="BS25" s="7" t="str">
        <f>IFERROR(ROUND('ENTRY DATA'!DR36,0),"-")</f>
        <v>-</v>
      </c>
      <c r="BT25" s="7" t="str">
        <f>'ENTRY DATA'!DS36</f>
        <v>-</v>
      </c>
      <c r="BU25" s="7" t="str">
        <f>IFERROR(ROUND('ENTRY DATA'!DT36,0),"-")</f>
        <v>-</v>
      </c>
      <c r="BV25" s="7" t="str">
        <f>'ENTRY DATA'!DU36</f>
        <v>-</v>
      </c>
      <c r="BW25" s="8" t="str">
        <f>'ENTRY DATA'!$DV$8</f>
        <v>Matematika</v>
      </c>
      <c r="BX25" s="8">
        <f t="shared" si="29"/>
        <v>75</v>
      </c>
      <c r="BY25" s="8">
        <f t="shared" si="30"/>
        <v>0</v>
      </c>
      <c r="BZ25" s="8" t="str">
        <f>IFERROR(ROUND('ENTRY DATA'!ED36,0),"-")</f>
        <v>-</v>
      </c>
      <c r="CA25" s="8" t="str">
        <f>'ENTRY DATA'!EE36</f>
        <v>-</v>
      </c>
      <c r="CB25" s="8" t="str">
        <f>IFERROR(ROUND('ENTRY DATA'!EF36,0),"-")</f>
        <v>-</v>
      </c>
      <c r="CC25" s="8" t="str">
        <f>'ENTRY DATA'!EG36</f>
        <v>-</v>
      </c>
      <c r="CD25" s="7" t="str">
        <f>'ENTRY DATA'!$EH$8</f>
        <v>Biologi</v>
      </c>
      <c r="CE25" s="7">
        <f t="shared" si="31"/>
        <v>75</v>
      </c>
      <c r="CF25" s="7">
        <f t="shared" si="32"/>
        <v>0</v>
      </c>
      <c r="CG25" s="7" t="str">
        <f>IFERROR(ROUND('ENTRY DATA'!EP36,0),"-")</f>
        <v>-</v>
      </c>
      <c r="CH25" s="7" t="str">
        <f>'ENTRY DATA'!EQ36</f>
        <v>-</v>
      </c>
      <c r="CI25" s="7" t="str">
        <f>IFERROR(ROUND('ENTRY DATA'!ER36,0),"-")</f>
        <v>-</v>
      </c>
      <c r="CJ25" s="7" t="str">
        <f>'ENTRY DATA'!ES36</f>
        <v>-</v>
      </c>
      <c r="CK25" s="8" t="str">
        <f>'ENTRY DATA'!$ET$8</f>
        <v>Fisika</v>
      </c>
      <c r="CL25" s="8">
        <f t="shared" si="33"/>
        <v>75</v>
      </c>
      <c r="CM25" s="8">
        <f t="shared" si="34"/>
        <v>0</v>
      </c>
      <c r="CN25" s="8" t="str">
        <f>IFERROR(ROUND('ENTRY DATA'!FB36,0),"-")</f>
        <v>-</v>
      </c>
      <c r="CO25" s="8" t="str">
        <f>'ENTRY DATA'!FC36</f>
        <v>-</v>
      </c>
      <c r="CP25" s="8" t="str">
        <f>IFERROR(ROUND('ENTRY DATA'!FD36,0),"-")</f>
        <v>-</v>
      </c>
      <c r="CQ25" s="8" t="str">
        <f>'ENTRY DATA'!FE36</f>
        <v>-</v>
      </c>
      <c r="CR25" s="7" t="str">
        <f>'ENTRY DATA'!$FF$8</f>
        <v>Kimia</v>
      </c>
      <c r="CS25" s="7">
        <f t="shared" si="35"/>
        <v>75</v>
      </c>
      <c r="CT25" s="7">
        <f t="shared" si="36"/>
        <v>0</v>
      </c>
      <c r="CU25" s="7" t="str">
        <f>IFERROR(ROUND('ENTRY DATA'!FN36,0),"-")</f>
        <v>-</v>
      </c>
      <c r="CV25" s="7" t="str">
        <f>'ENTRY DATA'!FO36</f>
        <v>-</v>
      </c>
      <c r="CW25" s="7" t="str">
        <f>IFERROR(ROUND('ENTRY DATA'!FP36,0),"-")</f>
        <v>-</v>
      </c>
      <c r="CX25" s="7" t="str">
        <f>'ENTRY DATA'!FQ36</f>
        <v>-</v>
      </c>
      <c r="CY25" s="8" t="str">
        <f>'ENTRY DATA'!$FR$8</f>
        <v>-</v>
      </c>
      <c r="CZ25" s="8">
        <f t="shared" si="37"/>
        <v>75</v>
      </c>
      <c r="DA25" s="8">
        <f t="shared" si="38"/>
        <v>0</v>
      </c>
      <c r="DB25" s="8" t="str">
        <f>IFERROR(ROUND('ENTRY DATA'!FZ36,0),"-")</f>
        <v>-</v>
      </c>
      <c r="DC25" s="8" t="str">
        <f>'ENTRY DATA'!GA36</f>
        <v>-</v>
      </c>
      <c r="DD25" s="8" t="str">
        <f>IFERROR(ROUND('ENTRY DATA'!GB36,0),"-")</f>
        <v>-</v>
      </c>
      <c r="DE25" s="8" t="str">
        <f>'ENTRY DATA'!GC36</f>
        <v>-</v>
      </c>
      <c r="DF25" s="7" t="str">
        <f>'ENTRY DATA'!$GD$8</f>
        <v>-</v>
      </c>
      <c r="DG25" s="7">
        <f t="shared" si="39"/>
        <v>75</v>
      </c>
      <c r="DH25" s="7">
        <f t="shared" si="40"/>
        <v>0</v>
      </c>
      <c r="DI25" s="7" t="str">
        <f>IFERROR(ROUND('ENTRY DATA'!GL36,0),"-")</f>
        <v>-</v>
      </c>
      <c r="DJ25" s="7" t="str">
        <f>'ENTRY DATA'!GM36</f>
        <v>-</v>
      </c>
      <c r="DK25" s="7" t="str">
        <f>IFERROR(ROUND('ENTRY DATA'!GN36,0),"-")</f>
        <v>-</v>
      </c>
      <c r="DL25" s="7" t="str">
        <f>'ENTRY DATA'!GO36</f>
        <v>-</v>
      </c>
      <c r="DM25" s="16" t="str">
        <f>'ENTRY DATA'!HJ36</f>
        <v>-</v>
      </c>
      <c r="DN25" s="16" t="str">
        <f>'ENTRY DATA'!HK36</f>
        <v>-</v>
      </c>
      <c r="DO25" s="16" t="str">
        <f>'ENTRY DATA'!IF36</f>
        <v>-</v>
      </c>
      <c r="DP25" s="16" t="str">
        <f>'ENTRY DATA'!IG36</f>
        <v>-</v>
      </c>
      <c r="DQ25" s="2" t="str">
        <f>'ENTRY DATA'!IH36</f>
        <v>Pramuka</v>
      </c>
      <c r="DR25" s="2" t="str">
        <f>'ENTRY DATA'!II36</f>
        <v>B</v>
      </c>
      <c r="DS25" s="2" t="str">
        <f>'ENTRY DATA'!IJ36</f>
        <v>Aktif dalam mengikuti kegiatan</v>
      </c>
      <c r="DT25" s="2" t="str">
        <f>'ENTRY DATA'!IK36</f>
        <v>-</v>
      </c>
      <c r="DU25" s="2" t="str">
        <f>'ENTRY DATA'!IL36</f>
        <v>-</v>
      </c>
      <c r="DV25" s="2" t="str">
        <f>'ENTRY DATA'!IM36</f>
        <v>-</v>
      </c>
      <c r="DW25" s="2" t="str">
        <f>'ENTRY DATA'!IN36</f>
        <v>-</v>
      </c>
      <c r="DX25" s="2" t="str">
        <f>'ENTRY DATA'!IO36</f>
        <v>-</v>
      </c>
      <c r="DY25" s="2" t="str">
        <f>'ENTRY DATA'!IP36</f>
        <v>-</v>
      </c>
      <c r="DZ25" s="2" t="str">
        <f>'ENTRY DATA'!IQ36</f>
        <v>-</v>
      </c>
      <c r="EA25" s="2" t="str">
        <f>'ENTRY DATA'!IR36</f>
        <v>-</v>
      </c>
      <c r="EB25" s="2" t="str">
        <f>'ENTRY DATA'!IS36</f>
        <v>-</v>
      </c>
      <c r="EC25" s="2" t="str">
        <f>'ENTRY DATA'!IT36</f>
        <v>-</v>
      </c>
      <c r="ED25" s="2" t="str">
        <f>'ENTRY DATA'!IU36</f>
        <v>-</v>
      </c>
      <c r="EE25" s="2" t="str">
        <f>'ENTRY DATA'!IV36</f>
        <v>-</v>
      </c>
      <c r="EF25" s="2" t="str">
        <f>'ENTRY DATA'!IW36</f>
        <v>-</v>
      </c>
      <c r="EG25" s="2" t="str">
        <f>'ENTRY DATA'!IX36</f>
        <v>-</v>
      </c>
      <c r="EH25" s="2" t="str">
        <f>'ENTRY DATA'!IY36</f>
        <v>-</v>
      </c>
      <c r="EI25" s="2" t="str">
        <f>'ENTRY DATA'!IZ36</f>
        <v>-</v>
      </c>
      <c r="EJ25" s="2">
        <f>'ENTRY DATA'!JA36</f>
        <v>0</v>
      </c>
      <c r="EK25" s="2">
        <f>'ENTRY DATA'!JB36</f>
        <v>1</v>
      </c>
    </row>
    <row r="26" spans="1:141" x14ac:dyDescent="0.25">
      <c r="A26" s="2" t="str">
        <f t="shared" si="0"/>
        <v>MIPA</v>
      </c>
      <c r="B26" s="2" t="str">
        <f t="shared" si="1"/>
        <v>Bandung, 10 Oktober 2022</v>
      </c>
      <c r="C26" s="2" t="str">
        <f t="shared" si="2"/>
        <v>Drs. Ahmad Fathony</v>
      </c>
      <c r="D26" s="2" t="str">
        <f t="shared" si="3"/>
        <v>12345678 123456 1 123</v>
      </c>
      <c r="E26" s="2" t="str">
        <f t="shared" si="4"/>
        <v>H. Abdul Basith, M.Pd.</v>
      </c>
      <c r="F26" s="2" t="str">
        <f t="shared" si="5"/>
        <v>12341234 123123 1 234</v>
      </c>
      <c r="G26" s="74">
        <f>'ENTRY DATA'!B37</f>
        <v>0</v>
      </c>
      <c r="H26" s="74">
        <f>'ENTRY DATA'!C37</f>
        <v>0</v>
      </c>
      <c r="I26" s="74">
        <f>'ENTRY DATA'!D37</f>
        <v>0</v>
      </c>
      <c r="J26" s="74">
        <f>'ENTRY DATA'!E37</f>
        <v>0</v>
      </c>
      <c r="K26" s="7" t="str">
        <f t="shared" si="6"/>
        <v>X MIPA-1</v>
      </c>
      <c r="L26" s="7">
        <f t="shared" si="7"/>
        <v>1</v>
      </c>
      <c r="M26" s="7" t="str">
        <f t="shared" si="41"/>
        <v>Ganjil</v>
      </c>
      <c r="N26" s="7" t="str">
        <f t="shared" si="8"/>
        <v>2022/2023</v>
      </c>
      <c r="O26" s="8">
        <f t="shared" si="9"/>
        <v>75</v>
      </c>
      <c r="P26" s="8">
        <f t="shared" si="10"/>
        <v>0</v>
      </c>
      <c r="Q26" s="8" t="str">
        <f>IFERROR(ROUND('ENTRY DATA'!N37,0),"-")</f>
        <v>-</v>
      </c>
      <c r="R26" s="8" t="str">
        <f>'ENTRY DATA'!O37</f>
        <v>-</v>
      </c>
      <c r="S26" s="8" t="str">
        <f>IFERROR(ROUND('ENTRY DATA'!P37,0),"-")</f>
        <v>-</v>
      </c>
      <c r="T26" s="8" t="str">
        <f>'ENTRY DATA'!Q37</f>
        <v>-</v>
      </c>
      <c r="U26" s="7">
        <f t="shared" si="11"/>
        <v>75</v>
      </c>
      <c r="V26" s="7">
        <f t="shared" si="12"/>
        <v>0</v>
      </c>
      <c r="W26" s="7" t="str">
        <f>IFERROR(ROUND('ENTRY DATA'!Z37,0),"-")</f>
        <v>-</v>
      </c>
      <c r="X26" s="7" t="str">
        <f>'ENTRY DATA'!AA37</f>
        <v>-</v>
      </c>
      <c r="Y26" s="7" t="str">
        <f>IFERROR(ROUND('ENTRY DATA'!AB37,0),"-")</f>
        <v>-</v>
      </c>
      <c r="Z26" s="7" t="str">
        <f>'ENTRY DATA'!AC37</f>
        <v>-</v>
      </c>
      <c r="AA26" s="8">
        <f t="shared" si="13"/>
        <v>75</v>
      </c>
      <c r="AB26" s="8">
        <f t="shared" si="14"/>
        <v>0</v>
      </c>
      <c r="AC26" s="8" t="str">
        <f>IFERROR(ROUND('ENTRY DATA'!AL37,0),"-")</f>
        <v>-</v>
      </c>
      <c r="AD26" s="8" t="str">
        <f>'ENTRY DATA'!AM37</f>
        <v>-</v>
      </c>
      <c r="AE26" s="8" t="str">
        <f>IFERROR(ROUND('ENTRY DATA'!AN37,0),"-")</f>
        <v>-</v>
      </c>
      <c r="AF26" s="8" t="str">
        <f>'ENTRY DATA'!AO37</f>
        <v>-</v>
      </c>
      <c r="AG26" s="7">
        <f t="shared" si="15"/>
        <v>75</v>
      </c>
      <c r="AH26" s="7">
        <f t="shared" si="16"/>
        <v>0</v>
      </c>
      <c r="AI26" s="7" t="str">
        <f>IFERROR(ROUND('ENTRY DATA'!AX37,0),"-")</f>
        <v>-</v>
      </c>
      <c r="AJ26" s="7" t="str">
        <f>'ENTRY DATA'!AY37</f>
        <v>-</v>
      </c>
      <c r="AK26" s="7" t="str">
        <f>IFERROR(ROUND('ENTRY DATA'!AZ37,0),"-")</f>
        <v>-</v>
      </c>
      <c r="AL26" s="7" t="str">
        <f>'ENTRY DATA'!BA37</f>
        <v>-</v>
      </c>
      <c r="AM26" s="8">
        <f t="shared" si="17"/>
        <v>75</v>
      </c>
      <c r="AN26" s="8">
        <f t="shared" si="18"/>
        <v>0</v>
      </c>
      <c r="AO26" s="8" t="str">
        <f>IFERROR(ROUND('ENTRY DATA'!BJ37,0),"-")</f>
        <v>-</v>
      </c>
      <c r="AP26" s="8" t="str">
        <f>'ENTRY DATA'!BK37</f>
        <v>-</v>
      </c>
      <c r="AQ26" s="8" t="str">
        <f>IFERROR(ROUND('ENTRY DATA'!BL37,0),"-")</f>
        <v>-</v>
      </c>
      <c r="AR26" s="8" t="str">
        <f>'ENTRY DATA'!BM37</f>
        <v>-</v>
      </c>
      <c r="AS26" s="7">
        <f t="shared" si="19"/>
        <v>75</v>
      </c>
      <c r="AT26" s="7">
        <f t="shared" si="20"/>
        <v>0</v>
      </c>
      <c r="AU26" s="7" t="str">
        <f>IFERROR(ROUND('ENTRY DATA'!BV37,0),"-")</f>
        <v>-</v>
      </c>
      <c r="AV26" s="7" t="str">
        <f>'ENTRY DATA'!BW37</f>
        <v>-</v>
      </c>
      <c r="AW26" s="7" t="str">
        <f>IFERROR(ROUND('ENTRY DATA'!BX37,0),"-")</f>
        <v>-</v>
      </c>
      <c r="AX26" s="7" t="str">
        <f>'ENTRY DATA'!BY37</f>
        <v>-</v>
      </c>
      <c r="AY26" s="8">
        <f t="shared" si="21"/>
        <v>75</v>
      </c>
      <c r="AZ26" s="8">
        <f t="shared" si="22"/>
        <v>0</v>
      </c>
      <c r="BA26" s="8" t="str">
        <f>IFERROR(ROUND('ENTRY DATA'!CH37,0),"-")</f>
        <v>-</v>
      </c>
      <c r="BB26" s="8" t="str">
        <f>'ENTRY DATA'!CI37</f>
        <v>-</v>
      </c>
      <c r="BC26" s="8" t="str">
        <f>IFERROR(ROUND('ENTRY DATA'!CJ37,0),"-")</f>
        <v>-</v>
      </c>
      <c r="BD26" s="8" t="str">
        <f>'ENTRY DATA'!CK37</f>
        <v>-</v>
      </c>
      <c r="BE26" s="7">
        <f t="shared" si="23"/>
        <v>75</v>
      </c>
      <c r="BF26" s="7">
        <f t="shared" si="24"/>
        <v>0</v>
      </c>
      <c r="BG26" s="7" t="str">
        <f>IFERROR(ROUND('ENTRY DATA'!CT37,0),"-")</f>
        <v>-</v>
      </c>
      <c r="BH26" s="7" t="str">
        <f>'ENTRY DATA'!CU37</f>
        <v>-</v>
      </c>
      <c r="BI26" s="7" t="str">
        <f>IFERROR(ROUND('ENTRY DATA'!CV37,0),"-")</f>
        <v>-</v>
      </c>
      <c r="BJ26" s="7" t="str">
        <f>'ENTRY DATA'!CW37</f>
        <v>-</v>
      </c>
      <c r="BK26" s="8">
        <f t="shared" si="25"/>
        <v>75</v>
      </c>
      <c r="BL26" s="8">
        <f t="shared" si="26"/>
        <v>0</v>
      </c>
      <c r="BM26" s="8" t="str">
        <f>IFERROR(ROUND('ENTRY DATA'!DF37,0),"-")</f>
        <v>-</v>
      </c>
      <c r="BN26" s="8" t="str">
        <f>'ENTRY DATA'!DG37</f>
        <v>-</v>
      </c>
      <c r="BO26" s="8" t="str">
        <f>IFERROR(ROUND('ENTRY DATA'!DH37,0),"-")</f>
        <v>-</v>
      </c>
      <c r="BP26" s="8" t="str">
        <f>'ENTRY DATA'!DI37</f>
        <v>-</v>
      </c>
      <c r="BQ26" s="7">
        <f t="shared" si="27"/>
        <v>75</v>
      </c>
      <c r="BR26" s="7">
        <f t="shared" si="28"/>
        <v>0</v>
      </c>
      <c r="BS26" s="7" t="str">
        <f>IFERROR(ROUND('ENTRY DATA'!DR37,0),"-")</f>
        <v>-</v>
      </c>
      <c r="BT26" s="7" t="str">
        <f>'ENTRY DATA'!DS37</f>
        <v>-</v>
      </c>
      <c r="BU26" s="7" t="str">
        <f>IFERROR(ROUND('ENTRY DATA'!DT37,0),"-")</f>
        <v>-</v>
      </c>
      <c r="BV26" s="7" t="str">
        <f>'ENTRY DATA'!DU37</f>
        <v>-</v>
      </c>
      <c r="BW26" s="8" t="str">
        <f>'ENTRY DATA'!$DV$8</f>
        <v>Matematika</v>
      </c>
      <c r="BX26" s="8">
        <f t="shared" si="29"/>
        <v>75</v>
      </c>
      <c r="BY26" s="8">
        <f t="shared" si="30"/>
        <v>0</v>
      </c>
      <c r="BZ26" s="8" t="str">
        <f>IFERROR(ROUND('ENTRY DATA'!ED37,0),"-")</f>
        <v>-</v>
      </c>
      <c r="CA26" s="8" t="str">
        <f>'ENTRY DATA'!EE37</f>
        <v>-</v>
      </c>
      <c r="CB26" s="8" t="str">
        <f>IFERROR(ROUND('ENTRY DATA'!EF37,0),"-")</f>
        <v>-</v>
      </c>
      <c r="CC26" s="8" t="str">
        <f>'ENTRY DATA'!EG37</f>
        <v>-</v>
      </c>
      <c r="CD26" s="7" t="str">
        <f>'ENTRY DATA'!$EH$8</f>
        <v>Biologi</v>
      </c>
      <c r="CE26" s="7">
        <f t="shared" si="31"/>
        <v>75</v>
      </c>
      <c r="CF26" s="7">
        <f t="shared" si="32"/>
        <v>0</v>
      </c>
      <c r="CG26" s="7" t="str">
        <f>IFERROR(ROUND('ENTRY DATA'!EP37,0),"-")</f>
        <v>-</v>
      </c>
      <c r="CH26" s="7" t="str">
        <f>'ENTRY DATA'!EQ37</f>
        <v>-</v>
      </c>
      <c r="CI26" s="7" t="str">
        <f>IFERROR(ROUND('ENTRY DATA'!ER37,0),"-")</f>
        <v>-</v>
      </c>
      <c r="CJ26" s="7" t="str">
        <f>'ENTRY DATA'!ES37</f>
        <v>-</v>
      </c>
      <c r="CK26" s="8" t="str">
        <f>'ENTRY DATA'!$ET$8</f>
        <v>Fisika</v>
      </c>
      <c r="CL26" s="8">
        <f t="shared" si="33"/>
        <v>75</v>
      </c>
      <c r="CM26" s="8">
        <f t="shared" si="34"/>
        <v>0</v>
      </c>
      <c r="CN26" s="8" t="str">
        <f>IFERROR(ROUND('ENTRY DATA'!FB37,0),"-")</f>
        <v>-</v>
      </c>
      <c r="CO26" s="8" t="str">
        <f>'ENTRY DATA'!FC37</f>
        <v>-</v>
      </c>
      <c r="CP26" s="8" t="str">
        <f>IFERROR(ROUND('ENTRY DATA'!FD37,0),"-")</f>
        <v>-</v>
      </c>
      <c r="CQ26" s="8" t="str">
        <f>'ENTRY DATA'!FE37</f>
        <v>-</v>
      </c>
      <c r="CR26" s="7" t="str">
        <f>'ENTRY DATA'!$FF$8</f>
        <v>Kimia</v>
      </c>
      <c r="CS26" s="7">
        <f t="shared" si="35"/>
        <v>75</v>
      </c>
      <c r="CT26" s="7">
        <f t="shared" si="36"/>
        <v>0</v>
      </c>
      <c r="CU26" s="7" t="str">
        <f>IFERROR(ROUND('ENTRY DATA'!FN37,0),"-")</f>
        <v>-</v>
      </c>
      <c r="CV26" s="7" t="str">
        <f>'ENTRY DATA'!FO37</f>
        <v>-</v>
      </c>
      <c r="CW26" s="7" t="str">
        <f>IFERROR(ROUND('ENTRY DATA'!FP37,0),"-")</f>
        <v>-</v>
      </c>
      <c r="CX26" s="7" t="str">
        <f>'ENTRY DATA'!FQ37</f>
        <v>-</v>
      </c>
      <c r="CY26" s="8" t="str">
        <f>'ENTRY DATA'!$FR$8</f>
        <v>-</v>
      </c>
      <c r="CZ26" s="8">
        <f t="shared" si="37"/>
        <v>75</v>
      </c>
      <c r="DA26" s="8">
        <f t="shared" si="38"/>
        <v>0</v>
      </c>
      <c r="DB26" s="8" t="str">
        <f>IFERROR(ROUND('ENTRY DATA'!FZ37,0),"-")</f>
        <v>-</v>
      </c>
      <c r="DC26" s="8" t="str">
        <f>'ENTRY DATA'!GA37</f>
        <v>-</v>
      </c>
      <c r="DD26" s="8" t="str">
        <f>IFERROR(ROUND('ENTRY DATA'!GB37,0),"-")</f>
        <v>-</v>
      </c>
      <c r="DE26" s="8" t="str">
        <f>'ENTRY DATA'!GC37</f>
        <v>-</v>
      </c>
      <c r="DF26" s="7" t="str">
        <f>'ENTRY DATA'!$GD$8</f>
        <v>-</v>
      </c>
      <c r="DG26" s="7">
        <f t="shared" si="39"/>
        <v>75</v>
      </c>
      <c r="DH26" s="7">
        <f t="shared" si="40"/>
        <v>0</v>
      </c>
      <c r="DI26" s="7" t="str">
        <f>IFERROR(ROUND('ENTRY DATA'!GL37,0),"-")</f>
        <v>-</v>
      </c>
      <c r="DJ26" s="7" t="str">
        <f>'ENTRY DATA'!GM37</f>
        <v>-</v>
      </c>
      <c r="DK26" s="7" t="str">
        <f>IFERROR(ROUND('ENTRY DATA'!GN37,0),"-")</f>
        <v>-</v>
      </c>
      <c r="DL26" s="7" t="str">
        <f>'ENTRY DATA'!GO37</f>
        <v>-</v>
      </c>
      <c r="DM26" s="16" t="str">
        <f>'ENTRY DATA'!HJ37</f>
        <v>-</v>
      </c>
      <c r="DN26" s="16" t="str">
        <f>'ENTRY DATA'!HK37</f>
        <v>-</v>
      </c>
      <c r="DO26" s="16" t="str">
        <f>'ENTRY DATA'!IF37</f>
        <v>-</v>
      </c>
      <c r="DP26" s="16" t="str">
        <f>'ENTRY DATA'!IG37</f>
        <v>-</v>
      </c>
      <c r="DQ26" s="2" t="str">
        <f>'ENTRY DATA'!IH37</f>
        <v>Pramuka</v>
      </c>
      <c r="DR26" s="2" t="str">
        <f>'ENTRY DATA'!II37</f>
        <v>B</v>
      </c>
      <c r="DS26" s="2" t="str">
        <f>'ENTRY DATA'!IJ37</f>
        <v>Aktif dalam mengikuti kegiatan</v>
      </c>
      <c r="DT26" s="2" t="str">
        <f>'ENTRY DATA'!IK37</f>
        <v>-</v>
      </c>
      <c r="DU26" s="2" t="str">
        <f>'ENTRY DATA'!IL37</f>
        <v>-</v>
      </c>
      <c r="DV26" s="2" t="str">
        <f>'ENTRY DATA'!IM37</f>
        <v>-</v>
      </c>
      <c r="DW26" s="2" t="str">
        <f>'ENTRY DATA'!IN37</f>
        <v>-</v>
      </c>
      <c r="DX26" s="2" t="str">
        <f>'ENTRY DATA'!IO37</f>
        <v>-</v>
      </c>
      <c r="DY26" s="2" t="str">
        <f>'ENTRY DATA'!IP37</f>
        <v>-</v>
      </c>
      <c r="DZ26" s="2" t="str">
        <f>'ENTRY DATA'!IQ37</f>
        <v>-</v>
      </c>
      <c r="EA26" s="2" t="str">
        <f>'ENTRY DATA'!IR37</f>
        <v>-</v>
      </c>
      <c r="EB26" s="2" t="str">
        <f>'ENTRY DATA'!IS37</f>
        <v>-</v>
      </c>
      <c r="EC26" s="2" t="str">
        <f>'ENTRY DATA'!IT37</f>
        <v>-</v>
      </c>
      <c r="ED26" s="2" t="str">
        <f>'ENTRY DATA'!IU37</f>
        <v>-</v>
      </c>
      <c r="EE26" s="2" t="str">
        <f>'ENTRY DATA'!IV37</f>
        <v>-</v>
      </c>
      <c r="EF26" s="2" t="str">
        <f>'ENTRY DATA'!IW37</f>
        <v>-</v>
      </c>
      <c r="EG26" s="2" t="str">
        <f>'ENTRY DATA'!IX37</f>
        <v>-</v>
      </c>
      <c r="EH26" s="2" t="str">
        <f>'ENTRY DATA'!IY37</f>
        <v>-</v>
      </c>
      <c r="EI26" s="2" t="str">
        <f>'ENTRY DATA'!IZ37</f>
        <v>-</v>
      </c>
      <c r="EJ26" s="2">
        <f>'ENTRY DATA'!JA37</f>
        <v>0</v>
      </c>
      <c r="EK26" s="2">
        <f>'ENTRY DATA'!JB37</f>
        <v>1</v>
      </c>
    </row>
    <row r="27" spans="1:141" x14ac:dyDescent="0.25">
      <c r="A27" s="2" t="str">
        <f t="shared" si="0"/>
        <v>MIPA</v>
      </c>
      <c r="B27" s="2" t="str">
        <f t="shared" si="1"/>
        <v>Bandung, 10 Oktober 2022</v>
      </c>
      <c r="C27" s="2" t="str">
        <f t="shared" si="2"/>
        <v>Drs. Ahmad Fathony</v>
      </c>
      <c r="D27" s="2" t="str">
        <f t="shared" si="3"/>
        <v>12345678 123456 1 123</v>
      </c>
      <c r="E27" s="2" t="str">
        <f t="shared" si="4"/>
        <v>H. Abdul Basith, M.Pd.</v>
      </c>
      <c r="F27" s="2" t="str">
        <f t="shared" si="5"/>
        <v>12341234 123123 1 234</v>
      </c>
      <c r="G27" s="74">
        <f>'ENTRY DATA'!B38</f>
        <v>0</v>
      </c>
      <c r="H27" s="74">
        <f>'ENTRY DATA'!C38</f>
        <v>0</v>
      </c>
      <c r="I27" s="74">
        <f>'ENTRY DATA'!D38</f>
        <v>0</v>
      </c>
      <c r="J27" s="74">
        <f>'ENTRY DATA'!E38</f>
        <v>0</v>
      </c>
      <c r="K27" s="7" t="str">
        <f t="shared" si="6"/>
        <v>X MIPA-1</v>
      </c>
      <c r="L27" s="7">
        <f t="shared" si="7"/>
        <v>1</v>
      </c>
      <c r="M27" s="7" t="str">
        <f t="shared" si="41"/>
        <v>Ganjil</v>
      </c>
      <c r="N27" s="7" t="str">
        <f t="shared" si="8"/>
        <v>2022/2023</v>
      </c>
      <c r="O27" s="8">
        <f t="shared" si="9"/>
        <v>75</v>
      </c>
      <c r="P27" s="8">
        <f t="shared" si="10"/>
        <v>0</v>
      </c>
      <c r="Q27" s="8" t="str">
        <f>IFERROR(ROUND('ENTRY DATA'!N38,0),"-")</f>
        <v>-</v>
      </c>
      <c r="R27" s="8" t="str">
        <f>'ENTRY DATA'!O38</f>
        <v>-</v>
      </c>
      <c r="S27" s="8" t="str">
        <f>IFERROR(ROUND('ENTRY DATA'!P38,0),"-")</f>
        <v>-</v>
      </c>
      <c r="T27" s="8" t="str">
        <f>'ENTRY DATA'!Q38</f>
        <v>-</v>
      </c>
      <c r="U27" s="7">
        <f t="shared" si="11"/>
        <v>75</v>
      </c>
      <c r="V27" s="7">
        <f t="shared" si="12"/>
        <v>0</v>
      </c>
      <c r="W27" s="7" t="str">
        <f>IFERROR(ROUND('ENTRY DATA'!Z38,0),"-")</f>
        <v>-</v>
      </c>
      <c r="X27" s="7" t="str">
        <f>'ENTRY DATA'!AA38</f>
        <v>-</v>
      </c>
      <c r="Y27" s="7" t="str">
        <f>IFERROR(ROUND('ENTRY DATA'!AB38,0),"-")</f>
        <v>-</v>
      </c>
      <c r="Z27" s="7" t="str">
        <f>'ENTRY DATA'!AC38</f>
        <v>-</v>
      </c>
      <c r="AA27" s="8">
        <f t="shared" si="13"/>
        <v>75</v>
      </c>
      <c r="AB27" s="8">
        <f t="shared" si="14"/>
        <v>0</v>
      </c>
      <c r="AC27" s="8" t="str">
        <f>IFERROR(ROUND('ENTRY DATA'!AL38,0),"-")</f>
        <v>-</v>
      </c>
      <c r="AD27" s="8" t="str">
        <f>'ENTRY DATA'!AM38</f>
        <v>-</v>
      </c>
      <c r="AE27" s="8" t="str">
        <f>IFERROR(ROUND('ENTRY DATA'!AN38,0),"-")</f>
        <v>-</v>
      </c>
      <c r="AF27" s="8" t="str">
        <f>'ENTRY DATA'!AO38</f>
        <v>-</v>
      </c>
      <c r="AG27" s="7">
        <f t="shared" si="15"/>
        <v>75</v>
      </c>
      <c r="AH27" s="7">
        <f t="shared" si="16"/>
        <v>0</v>
      </c>
      <c r="AI27" s="7" t="str">
        <f>IFERROR(ROUND('ENTRY DATA'!AX38,0),"-")</f>
        <v>-</v>
      </c>
      <c r="AJ27" s="7" t="str">
        <f>'ENTRY DATA'!AY38</f>
        <v>-</v>
      </c>
      <c r="AK27" s="7" t="str">
        <f>IFERROR(ROUND('ENTRY DATA'!AZ38,0),"-")</f>
        <v>-</v>
      </c>
      <c r="AL27" s="7" t="str">
        <f>'ENTRY DATA'!BA38</f>
        <v>-</v>
      </c>
      <c r="AM27" s="8">
        <f t="shared" si="17"/>
        <v>75</v>
      </c>
      <c r="AN27" s="8">
        <f t="shared" si="18"/>
        <v>0</v>
      </c>
      <c r="AO27" s="8" t="str">
        <f>IFERROR(ROUND('ENTRY DATA'!BJ38,0),"-")</f>
        <v>-</v>
      </c>
      <c r="AP27" s="8" t="str">
        <f>'ENTRY DATA'!BK38</f>
        <v>-</v>
      </c>
      <c r="AQ27" s="8" t="str">
        <f>IFERROR(ROUND('ENTRY DATA'!BL38,0),"-")</f>
        <v>-</v>
      </c>
      <c r="AR27" s="8" t="str">
        <f>'ENTRY DATA'!BM38</f>
        <v>-</v>
      </c>
      <c r="AS27" s="7">
        <f t="shared" si="19"/>
        <v>75</v>
      </c>
      <c r="AT27" s="7">
        <f t="shared" si="20"/>
        <v>0</v>
      </c>
      <c r="AU27" s="7" t="str">
        <f>IFERROR(ROUND('ENTRY DATA'!BV38,0),"-")</f>
        <v>-</v>
      </c>
      <c r="AV27" s="7" t="str">
        <f>'ENTRY DATA'!BW38</f>
        <v>-</v>
      </c>
      <c r="AW27" s="7" t="str">
        <f>IFERROR(ROUND('ENTRY DATA'!BX38,0),"-")</f>
        <v>-</v>
      </c>
      <c r="AX27" s="7" t="str">
        <f>'ENTRY DATA'!BY38</f>
        <v>-</v>
      </c>
      <c r="AY27" s="8">
        <f t="shared" si="21"/>
        <v>75</v>
      </c>
      <c r="AZ27" s="8">
        <f t="shared" si="22"/>
        <v>0</v>
      </c>
      <c r="BA27" s="8" t="str">
        <f>IFERROR(ROUND('ENTRY DATA'!CH38,0),"-")</f>
        <v>-</v>
      </c>
      <c r="BB27" s="8" t="str">
        <f>'ENTRY DATA'!CI38</f>
        <v>-</v>
      </c>
      <c r="BC27" s="8" t="str">
        <f>IFERROR(ROUND('ENTRY DATA'!CJ38,0),"-")</f>
        <v>-</v>
      </c>
      <c r="BD27" s="8" t="str">
        <f>'ENTRY DATA'!CK38</f>
        <v>-</v>
      </c>
      <c r="BE27" s="7">
        <f t="shared" si="23"/>
        <v>75</v>
      </c>
      <c r="BF27" s="7">
        <f t="shared" si="24"/>
        <v>0</v>
      </c>
      <c r="BG27" s="7" t="str">
        <f>IFERROR(ROUND('ENTRY DATA'!CT38,0),"-")</f>
        <v>-</v>
      </c>
      <c r="BH27" s="7" t="str">
        <f>'ENTRY DATA'!CU38</f>
        <v>-</v>
      </c>
      <c r="BI27" s="7" t="str">
        <f>IFERROR(ROUND('ENTRY DATA'!CV38,0),"-")</f>
        <v>-</v>
      </c>
      <c r="BJ27" s="7" t="str">
        <f>'ENTRY DATA'!CW38</f>
        <v>-</v>
      </c>
      <c r="BK27" s="8">
        <f t="shared" si="25"/>
        <v>75</v>
      </c>
      <c r="BL27" s="8">
        <f t="shared" si="26"/>
        <v>0</v>
      </c>
      <c r="BM27" s="8" t="str">
        <f>IFERROR(ROUND('ENTRY DATA'!DF38,0),"-")</f>
        <v>-</v>
      </c>
      <c r="BN27" s="8" t="str">
        <f>'ENTRY DATA'!DG38</f>
        <v>-</v>
      </c>
      <c r="BO27" s="8" t="str">
        <f>IFERROR(ROUND('ENTRY DATA'!DH38,0),"-")</f>
        <v>-</v>
      </c>
      <c r="BP27" s="8" t="str">
        <f>'ENTRY DATA'!DI38</f>
        <v>-</v>
      </c>
      <c r="BQ27" s="7">
        <f t="shared" si="27"/>
        <v>75</v>
      </c>
      <c r="BR27" s="7">
        <f t="shared" si="28"/>
        <v>0</v>
      </c>
      <c r="BS27" s="7" t="str">
        <f>IFERROR(ROUND('ENTRY DATA'!DR38,0),"-")</f>
        <v>-</v>
      </c>
      <c r="BT27" s="7" t="str">
        <f>'ENTRY DATA'!DS38</f>
        <v>-</v>
      </c>
      <c r="BU27" s="7" t="str">
        <f>IFERROR(ROUND('ENTRY DATA'!DT38,0),"-")</f>
        <v>-</v>
      </c>
      <c r="BV27" s="7" t="str">
        <f>'ENTRY DATA'!DU38</f>
        <v>-</v>
      </c>
      <c r="BW27" s="8" t="str">
        <f>'ENTRY DATA'!$DV$8</f>
        <v>Matematika</v>
      </c>
      <c r="BX27" s="8">
        <f t="shared" si="29"/>
        <v>75</v>
      </c>
      <c r="BY27" s="8">
        <f t="shared" si="30"/>
        <v>0</v>
      </c>
      <c r="BZ27" s="8" t="str">
        <f>IFERROR(ROUND('ENTRY DATA'!ED38,0),"-")</f>
        <v>-</v>
      </c>
      <c r="CA27" s="8" t="str">
        <f>'ENTRY DATA'!EE38</f>
        <v>-</v>
      </c>
      <c r="CB27" s="8" t="str">
        <f>IFERROR(ROUND('ENTRY DATA'!EF38,0),"-")</f>
        <v>-</v>
      </c>
      <c r="CC27" s="8" t="str">
        <f>'ENTRY DATA'!EG38</f>
        <v>-</v>
      </c>
      <c r="CD27" s="7" t="str">
        <f>'ENTRY DATA'!$EH$8</f>
        <v>Biologi</v>
      </c>
      <c r="CE27" s="7">
        <f t="shared" si="31"/>
        <v>75</v>
      </c>
      <c r="CF27" s="7">
        <f t="shared" si="32"/>
        <v>0</v>
      </c>
      <c r="CG27" s="7" t="str">
        <f>IFERROR(ROUND('ENTRY DATA'!EP38,0),"-")</f>
        <v>-</v>
      </c>
      <c r="CH27" s="7" t="str">
        <f>'ENTRY DATA'!EQ38</f>
        <v>-</v>
      </c>
      <c r="CI27" s="7" t="str">
        <f>IFERROR(ROUND('ENTRY DATA'!ER38,0),"-")</f>
        <v>-</v>
      </c>
      <c r="CJ27" s="7" t="str">
        <f>'ENTRY DATA'!ES38</f>
        <v>-</v>
      </c>
      <c r="CK27" s="8" t="str">
        <f>'ENTRY DATA'!$ET$8</f>
        <v>Fisika</v>
      </c>
      <c r="CL27" s="8">
        <f t="shared" si="33"/>
        <v>75</v>
      </c>
      <c r="CM27" s="8">
        <f t="shared" si="34"/>
        <v>0</v>
      </c>
      <c r="CN27" s="8" t="str">
        <f>IFERROR(ROUND('ENTRY DATA'!FB38,0),"-")</f>
        <v>-</v>
      </c>
      <c r="CO27" s="8" t="str">
        <f>'ENTRY DATA'!FC38</f>
        <v>-</v>
      </c>
      <c r="CP27" s="8" t="str">
        <f>IFERROR(ROUND('ENTRY DATA'!FD38,0),"-")</f>
        <v>-</v>
      </c>
      <c r="CQ27" s="8" t="str">
        <f>'ENTRY DATA'!FE38</f>
        <v>-</v>
      </c>
      <c r="CR27" s="7" t="str">
        <f>'ENTRY DATA'!$FF$8</f>
        <v>Kimia</v>
      </c>
      <c r="CS27" s="7">
        <f t="shared" si="35"/>
        <v>75</v>
      </c>
      <c r="CT27" s="7">
        <f t="shared" si="36"/>
        <v>0</v>
      </c>
      <c r="CU27" s="7" t="str">
        <f>IFERROR(ROUND('ENTRY DATA'!FN38,0),"-")</f>
        <v>-</v>
      </c>
      <c r="CV27" s="7" t="str">
        <f>'ENTRY DATA'!FO38</f>
        <v>-</v>
      </c>
      <c r="CW27" s="7" t="str">
        <f>IFERROR(ROUND('ENTRY DATA'!FP38,0),"-")</f>
        <v>-</v>
      </c>
      <c r="CX27" s="7" t="str">
        <f>'ENTRY DATA'!FQ38</f>
        <v>-</v>
      </c>
      <c r="CY27" s="8" t="str">
        <f>'ENTRY DATA'!$FR$8</f>
        <v>-</v>
      </c>
      <c r="CZ27" s="8">
        <f t="shared" si="37"/>
        <v>75</v>
      </c>
      <c r="DA27" s="8">
        <f t="shared" si="38"/>
        <v>0</v>
      </c>
      <c r="DB27" s="8" t="str">
        <f>IFERROR(ROUND('ENTRY DATA'!FZ38,0),"-")</f>
        <v>-</v>
      </c>
      <c r="DC27" s="8" t="str">
        <f>'ENTRY DATA'!GA38</f>
        <v>-</v>
      </c>
      <c r="DD27" s="8" t="str">
        <f>IFERROR(ROUND('ENTRY DATA'!GB38,0),"-")</f>
        <v>-</v>
      </c>
      <c r="DE27" s="8" t="str">
        <f>'ENTRY DATA'!GC38</f>
        <v>-</v>
      </c>
      <c r="DF27" s="7" t="str">
        <f>'ENTRY DATA'!$GD$8</f>
        <v>-</v>
      </c>
      <c r="DG27" s="7">
        <f t="shared" si="39"/>
        <v>75</v>
      </c>
      <c r="DH27" s="7">
        <f t="shared" si="40"/>
        <v>0</v>
      </c>
      <c r="DI27" s="7" t="str">
        <f>IFERROR(ROUND('ENTRY DATA'!GL38,0),"-")</f>
        <v>-</v>
      </c>
      <c r="DJ27" s="7" t="str">
        <f>'ENTRY DATA'!GM38</f>
        <v>-</v>
      </c>
      <c r="DK27" s="7" t="str">
        <f>IFERROR(ROUND('ENTRY DATA'!GN38,0),"-")</f>
        <v>-</v>
      </c>
      <c r="DL27" s="7" t="str">
        <f>'ENTRY DATA'!GO38</f>
        <v>-</v>
      </c>
      <c r="DM27" s="16" t="str">
        <f>'ENTRY DATA'!HJ38</f>
        <v>-</v>
      </c>
      <c r="DN27" s="16" t="str">
        <f>'ENTRY DATA'!HK38</f>
        <v>-</v>
      </c>
      <c r="DO27" s="16" t="str">
        <f>'ENTRY DATA'!IF38</f>
        <v>-</v>
      </c>
      <c r="DP27" s="16" t="str">
        <f>'ENTRY DATA'!IG38</f>
        <v>-</v>
      </c>
      <c r="DQ27" s="2" t="str">
        <f>'ENTRY DATA'!IH38</f>
        <v>Pramuka</v>
      </c>
      <c r="DR27" s="2" t="str">
        <f>'ENTRY DATA'!II38</f>
        <v>B</v>
      </c>
      <c r="DS27" s="2" t="str">
        <f>'ENTRY DATA'!IJ38</f>
        <v>Aktif dalam mengikuti kegiatan</v>
      </c>
      <c r="DT27" s="2" t="str">
        <f>'ENTRY DATA'!IK38</f>
        <v>-</v>
      </c>
      <c r="DU27" s="2" t="str">
        <f>'ENTRY DATA'!IL38</f>
        <v>-</v>
      </c>
      <c r="DV27" s="2" t="str">
        <f>'ENTRY DATA'!IM38</f>
        <v>-</v>
      </c>
      <c r="DW27" s="2" t="str">
        <f>'ENTRY DATA'!IN38</f>
        <v>-</v>
      </c>
      <c r="DX27" s="2" t="str">
        <f>'ENTRY DATA'!IO38</f>
        <v>-</v>
      </c>
      <c r="DY27" s="2" t="str">
        <f>'ENTRY DATA'!IP38</f>
        <v>-</v>
      </c>
      <c r="DZ27" s="2" t="str">
        <f>'ENTRY DATA'!IQ38</f>
        <v>-</v>
      </c>
      <c r="EA27" s="2" t="str">
        <f>'ENTRY DATA'!IR38</f>
        <v>-</v>
      </c>
      <c r="EB27" s="2" t="str">
        <f>'ENTRY DATA'!IS38</f>
        <v>-</v>
      </c>
      <c r="EC27" s="2" t="str">
        <f>'ENTRY DATA'!IT38</f>
        <v>-</v>
      </c>
      <c r="ED27" s="2" t="str">
        <f>'ENTRY DATA'!IU38</f>
        <v>-</v>
      </c>
      <c r="EE27" s="2" t="str">
        <f>'ENTRY DATA'!IV38</f>
        <v>-</v>
      </c>
      <c r="EF27" s="2" t="str">
        <f>'ENTRY DATA'!IW38</f>
        <v>-</v>
      </c>
      <c r="EG27" s="2" t="str">
        <f>'ENTRY DATA'!IX38</f>
        <v>-</v>
      </c>
      <c r="EH27" s="2" t="str">
        <f>'ENTRY DATA'!IY38</f>
        <v>-</v>
      </c>
      <c r="EI27" s="2" t="str">
        <f>'ENTRY DATA'!IZ38</f>
        <v>-</v>
      </c>
      <c r="EJ27" s="2">
        <f>'ENTRY DATA'!JA38</f>
        <v>0</v>
      </c>
      <c r="EK27" s="2">
        <f>'ENTRY DATA'!JB38</f>
        <v>1</v>
      </c>
    </row>
    <row r="28" spans="1:141" x14ac:dyDescent="0.25">
      <c r="A28" s="2" t="str">
        <f t="shared" si="0"/>
        <v>MIPA</v>
      </c>
      <c r="B28" s="2" t="str">
        <f t="shared" si="1"/>
        <v>Bandung, 10 Oktober 2022</v>
      </c>
      <c r="C28" s="2" t="str">
        <f t="shared" si="2"/>
        <v>Drs. Ahmad Fathony</v>
      </c>
      <c r="D28" s="2" t="str">
        <f t="shared" si="3"/>
        <v>12345678 123456 1 123</v>
      </c>
      <c r="E28" s="2" t="str">
        <f t="shared" si="4"/>
        <v>H. Abdul Basith, M.Pd.</v>
      </c>
      <c r="F28" s="2" t="str">
        <f t="shared" si="5"/>
        <v>12341234 123123 1 234</v>
      </c>
      <c r="G28" s="74">
        <f>'ENTRY DATA'!B39</f>
        <v>0</v>
      </c>
      <c r="H28" s="74">
        <f>'ENTRY DATA'!C39</f>
        <v>0</v>
      </c>
      <c r="I28" s="74">
        <f>'ENTRY DATA'!D39</f>
        <v>0</v>
      </c>
      <c r="J28" s="74">
        <f>'ENTRY DATA'!E39</f>
        <v>0</v>
      </c>
      <c r="K28" s="7" t="str">
        <f t="shared" si="6"/>
        <v>X MIPA-1</v>
      </c>
      <c r="L28" s="7">
        <f t="shared" si="7"/>
        <v>1</v>
      </c>
      <c r="M28" s="7" t="str">
        <f t="shared" si="41"/>
        <v>Ganjil</v>
      </c>
      <c r="N28" s="7" t="str">
        <f t="shared" si="8"/>
        <v>2022/2023</v>
      </c>
      <c r="O28" s="8">
        <f t="shared" si="9"/>
        <v>75</v>
      </c>
      <c r="P28" s="8">
        <f t="shared" si="10"/>
        <v>0</v>
      </c>
      <c r="Q28" s="8" t="str">
        <f>IFERROR(ROUND('ENTRY DATA'!N39,0),"-")</f>
        <v>-</v>
      </c>
      <c r="R28" s="8" t="str">
        <f>'ENTRY DATA'!O39</f>
        <v>-</v>
      </c>
      <c r="S28" s="8" t="str">
        <f>IFERROR(ROUND('ENTRY DATA'!P39,0),"-")</f>
        <v>-</v>
      </c>
      <c r="T28" s="8" t="str">
        <f>'ENTRY DATA'!Q39</f>
        <v>-</v>
      </c>
      <c r="U28" s="7">
        <f t="shared" si="11"/>
        <v>75</v>
      </c>
      <c r="V28" s="7">
        <f t="shared" si="12"/>
        <v>0</v>
      </c>
      <c r="W28" s="7" t="str">
        <f>IFERROR(ROUND('ENTRY DATA'!Z39,0),"-")</f>
        <v>-</v>
      </c>
      <c r="X28" s="7" t="str">
        <f>'ENTRY DATA'!AA39</f>
        <v>-</v>
      </c>
      <c r="Y28" s="7" t="str">
        <f>IFERROR(ROUND('ENTRY DATA'!AB39,0),"-")</f>
        <v>-</v>
      </c>
      <c r="Z28" s="7" t="str">
        <f>'ENTRY DATA'!AC39</f>
        <v>-</v>
      </c>
      <c r="AA28" s="8">
        <f t="shared" si="13"/>
        <v>75</v>
      </c>
      <c r="AB28" s="8">
        <f t="shared" si="14"/>
        <v>0</v>
      </c>
      <c r="AC28" s="8" t="str">
        <f>IFERROR(ROUND('ENTRY DATA'!AL39,0),"-")</f>
        <v>-</v>
      </c>
      <c r="AD28" s="8" t="str">
        <f>'ENTRY DATA'!AM39</f>
        <v>-</v>
      </c>
      <c r="AE28" s="8" t="str">
        <f>IFERROR(ROUND('ENTRY DATA'!AN39,0),"-")</f>
        <v>-</v>
      </c>
      <c r="AF28" s="8" t="str">
        <f>'ENTRY DATA'!AO39</f>
        <v>-</v>
      </c>
      <c r="AG28" s="7">
        <f t="shared" si="15"/>
        <v>75</v>
      </c>
      <c r="AH28" s="7">
        <f t="shared" si="16"/>
        <v>0</v>
      </c>
      <c r="AI28" s="7" t="str">
        <f>IFERROR(ROUND('ENTRY DATA'!AX39,0),"-")</f>
        <v>-</v>
      </c>
      <c r="AJ28" s="7" t="str">
        <f>'ENTRY DATA'!AY39</f>
        <v>-</v>
      </c>
      <c r="AK28" s="7" t="str">
        <f>IFERROR(ROUND('ENTRY DATA'!AZ39,0),"-")</f>
        <v>-</v>
      </c>
      <c r="AL28" s="7" t="str">
        <f>'ENTRY DATA'!BA39</f>
        <v>-</v>
      </c>
      <c r="AM28" s="8">
        <f t="shared" si="17"/>
        <v>75</v>
      </c>
      <c r="AN28" s="8">
        <f t="shared" si="18"/>
        <v>0</v>
      </c>
      <c r="AO28" s="8" t="str">
        <f>IFERROR(ROUND('ENTRY DATA'!BJ39,0),"-")</f>
        <v>-</v>
      </c>
      <c r="AP28" s="8" t="str">
        <f>'ENTRY DATA'!BK39</f>
        <v>-</v>
      </c>
      <c r="AQ28" s="8" t="str">
        <f>IFERROR(ROUND('ENTRY DATA'!BL39,0),"-")</f>
        <v>-</v>
      </c>
      <c r="AR28" s="8" t="str">
        <f>'ENTRY DATA'!BM39</f>
        <v>-</v>
      </c>
      <c r="AS28" s="7">
        <f t="shared" si="19"/>
        <v>75</v>
      </c>
      <c r="AT28" s="7">
        <f t="shared" si="20"/>
        <v>0</v>
      </c>
      <c r="AU28" s="7" t="str">
        <f>IFERROR(ROUND('ENTRY DATA'!BV39,0),"-")</f>
        <v>-</v>
      </c>
      <c r="AV28" s="7" t="str">
        <f>'ENTRY DATA'!BW39</f>
        <v>-</v>
      </c>
      <c r="AW28" s="7" t="str">
        <f>IFERROR(ROUND('ENTRY DATA'!BX39,0),"-")</f>
        <v>-</v>
      </c>
      <c r="AX28" s="7" t="str">
        <f>'ENTRY DATA'!BY39</f>
        <v>-</v>
      </c>
      <c r="AY28" s="8">
        <f t="shared" si="21"/>
        <v>75</v>
      </c>
      <c r="AZ28" s="8">
        <f t="shared" si="22"/>
        <v>0</v>
      </c>
      <c r="BA28" s="8" t="str">
        <f>IFERROR(ROUND('ENTRY DATA'!CH39,0),"-")</f>
        <v>-</v>
      </c>
      <c r="BB28" s="8" t="str">
        <f>'ENTRY DATA'!CI39</f>
        <v>-</v>
      </c>
      <c r="BC28" s="8" t="str">
        <f>IFERROR(ROUND('ENTRY DATA'!CJ39,0),"-")</f>
        <v>-</v>
      </c>
      <c r="BD28" s="8" t="str">
        <f>'ENTRY DATA'!CK39</f>
        <v>-</v>
      </c>
      <c r="BE28" s="7">
        <f t="shared" si="23"/>
        <v>75</v>
      </c>
      <c r="BF28" s="7">
        <f t="shared" si="24"/>
        <v>0</v>
      </c>
      <c r="BG28" s="7" t="str">
        <f>IFERROR(ROUND('ENTRY DATA'!CT39,0),"-")</f>
        <v>-</v>
      </c>
      <c r="BH28" s="7" t="str">
        <f>'ENTRY DATA'!CU39</f>
        <v>-</v>
      </c>
      <c r="BI28" s="7" t="str">
        <f>IFERROR(ROUND('ENTRY DATA'!CV39,0),"-")</f>
        <v>-</v>
      </c>
      <c r="BJ28" s="7" t="str">
        <f>'ENTRY DATA'!CW39</f>
        <v>-</v>
      </c>
      <c r="BK28" s="8">
        <f t="shared" si="25"/>
        <v>75</v>
      </c>
      <c r="BL28" s="8">
        <f t="shared" si="26"/>
        <v>0</v>
      </c>
      <c r="BM28" s="8" t="str">
        <f>IFERROR(ROUND('ENTRY DATA'!DF39,0),"-")</f>
        <v>-</v>
      </c>
      <c r="BN28" s="8" t="str">
        <f>'ENTRY DATA'!DG39</f>
        <v>-</v>
      </c>
      <c r="BO28" s="8" t="str">
        <f>IFERROR(ROUND('ENTRY DATA'!DH39,0),"-")</f>
        <v>-</v>
      </c>
      <c r="BP28" s="8" t="str">
        <f>'ENTRY DATA'!DI39</f>
        <v>-</v>
      </c>
      <c r="BQ28" s="7">
        <f t="shared" si="27"/>
        <v>75</v>
      </c>
      <c r="BR28" s="7">
        <f t="shared" si="28"/>
        <v>0</v>
      </c>
      <c r="BS28" s="7" t="str">
        <f>IFERROR(ROUND('ENTRY DATA'!DR39,0),"-")</f>
        <v>-</v>
      </c>
      <c r="BT28" s="7" t="str">
        <f>'ENTRY DATA'!DS39</f>
        <v>-</v>
      </c>
      <c r="BU28" s="7" t="str">
        <f>IFERROR(ROUND('ENTRY DATA'!DT39,0),"-")</f>
        <v>-</v>
      </c>
      <c r="BV28" s="7" t="str">
        <f>'ENTRY DATA'!DU39</f>
        <v>-</v>
      </c>
      <c r="BW28" s="8" t="str">
        <f>'ENTRY DATA'!$DV$8</f>
        <v>Matematika</v>
      </c>
      <c r="BX28" s="8">
        <f t="shared" si="29"/>
        <v>75</v>
      </c>
      <c r="BY28" s="8">
        <f t="shared" si="30"/>
        <v>0</v>
      </c>
      <c r="BZ28" s="8" t="str">
        <f>IFERROR(ROUND('ENTRY DATA'!ED39,0),"-")</f>
        <v>-</v>
      </c>
      <c r="CA28" s="8" t="str">
        <f>'ENTRY DATA'!EE39</f>
        <v>-</v>
      </c>
      <c r="CB28" s="8" t="str">
        <f>IFERROR(ROUND('ENTRY DATA'!EF39,0),"-")</f>
        <v>-</v>
      </c>
      <c r="CC28" s="8" t="str">
        <f>'ENTRY DATA'!EG39</f>
        <v>-</v>
      </c>
      <c r="CD28" s="7" t="str">
        <f>'ENTRY DATA'!$EH$8</f>
        <v>Biologi</v>
      </c>
      <c r="CE28" s="7">
        <f t="shared" si="31"/>
        <v>75</v>
      </c>
      <c r="CF28" s="7">
        <f t="shared" si="32"/>
        <v>0</v>
      </c>
      <c r="CG28" s="7" t="str">
        <f>IFERROR(ROUND('ENTRY DATA'!EP39,0),"-")</f>
        <v>-</v>
      </c>
      <c r="CH28" s="7" t="str">
        <f>'ENTRY DATA'!EQ39</f>
        <v>-</v>
      </c>
      <c r="CI28" s="7" t="str">
        <f>IFERROR(ROUND('ENTRY DATA'!ER39,0),"-")</f>
        <v>-</v>
      </c>
      <c r="CJ28" s="7" t="str">
        <f>'ENTRY DATA'!ES39</f>
        <v>-</v>
      </c>
      <c r="CK28" s="8" t="str">
        <f>'ENTRY DATA'!$ET$8</f>
        <v>Fisika</v>
      </c>
      <c r="CL28" s="8">
        <f t="shared" si="33"/>
        <v>75</v>
      </c>
      <c r="CM28" s="8">
        <f t="shared" si="34"/>
        <v>0</v>
      </c>
      <c r="CN28" s="8" t="str">
        <f>IFERROR(ROUND('ENTRY DATA'!FB39,0),"-")</f>
        <v>-</v>
      </c>
      <c r="CO28" s="8" t="str">
        <f>'ENTRY DATA'!FC39</f>
        <v>-</v>
      </c>
      <c r="CP28" s="8" t="str">
        <f>IFERROR(ROUND('ENTRY DATA'!FD39,0),"-")</f>
        <v>-</v>
      </c>
      <c r="CQ28" s="8" t="str">
        <f>'ENTRY DATA'!FE39</f>
        <v>-</v>
      </c>
      <c r="CR28" s="7" t="str">
        <f>'ENTRY DATA'!$FF$8</f>
        <v>Kimia</v>
      </c>
      <c r="CS28" s="7">
        <f t="shared" si="35"/>
        <v>75</v>
      </c>
      <c r="CT28" s="7">
        <f t="shared" si="36"/>
        <v>0</v>
      </c>
      <c r="CU28" s="7" t="str">
        <f>IFERROR(ROUND('ENTRY DATA'!FN39,0),"-")</f>
        <v>-</v>
      </c>
      <c r="CV28" s="7" t="str">
        <f>'ENTRY DATA'!FO39</f>
        <v>-</v>
      </c>
      <c r="CW28" s="7" t="str">
        <f>IFERROR(ROUND('ENTRY DATA'!FP39,0),"-")</f>
        <v>-</v>
      </c>
      <c r="CX28" s="7" t="str">
        <f>'ENTRY DATA'!FQ39</f>
        <v>-</v>
      </c>
      <c r="CY28" s="8" t="str">
        <f>'ENTRY DATA'!$FR$8</f>
        <v>-</v>
      </c>
      <c r="CZ28" s="8">
        <f t="shared" si="37"/>
        <v>75</v>
      </c>
      <c r="DA28" s="8">
        <f t="shared" si="38"/>
        <v>0</v>
      </c>
      <c r="DB28" s="8" t="str">
        <f>IFERROR(ROUND('ENTRY DATA'!FZ39,0),"-")</f>
        <v>-</v>
      </c>
      <c r="DC28" s="8" t="str">
        <f>'ENTRY DATA'!GA39</f>
        <v>-</v>
      </c>
      <c r="DD28" s="8" t="str">
        <f>IFERROR(ROUND('ENTRY DATA'!GB39,0),"-")</f>
        <v>-</v>
      </c>
      <c r="DE28" s="8" t="str">
        <f>'ENTRY DATA'!GC39</f>
        <v>-</v>
      </c>
      <c r="DF28" s="7" t="str">
        <f>'ENTRY DATA'!$GD$8</f>
        <v>-</v>
      </c>
      <c r="DG28" s="7">
        <f t="shared" si="39"/>
        <v>75</v>
      </c>
      <c r="DH28" s="7">
        <f t="shared" si="40"/>
        <v>0</v>
      </c>
      <c r="DI28" s="7" t="str">
        <f>IFERROR(ROUND('ENTRY DATA'!GL39,0),"-")</f>
        <v>-</v>
      </c>
      <c r="DJ28" s="7" t="str">
        <f>'ENTRY DATA'!GM39</f>
        <v>-</v>
      </c>
      <c r="DK28" s="7" t="str">
        <f>IFERROR(ROUND('ENTRY DATA'!GN39,0),"-")</f>
        <v>-</v>
      </c>
      <c r="DL28" s="7" t="str">
        <f>'ENTRY DATA'!GO39</f>
        <v>-</v>
      </c>
      <c r="DM28" s="16" t="str">
        <f>'ENTRY DATA'!HJ39</f>
        <v>-</v>
      </c>
      <c r="DN28" s="16" t="str">
        <f>'ENTRY DATA'!HK39</f>
        <v>-</v>
      </c>
      <c r="DO28" s="16" t="str">
        <f>'ENTRY DATA'!IF39</f>
        <v>-</v>
      </c>
      <c r="DP28" s="16" t="str">
        <f>'ENTRY DATA'!IG39</f>
        <v>-</v>
      </c>
      <c r="DQ28" s="2" t="str">
        <f>'ENTRY DATA'!IH39</f>
        <v>Pramuka</v>
      </c>
      <c r="DR28" s="2" t="str">
        <f>'ENTRY DATA'!II39</f>
        <v>B</v>
      </c>
      <c r="DS28" s="2" t="str">
        <f>'ENTRY DATA'!IJ39</f>
        <v>Aktif dalam mengikuti kegiatan</v>
      </c>
      <c r="DT28" s="2" t="str">
        <f>'ENTRY DATA'!IK39</f>
        <v>-</v>
      </c>
      <c r="DU28" s="2" t="str">
        <f>'ENTRY DATA'!IL39</f>
        <v>-</v>
      </c>
      <c r="DV28" s="2" t="str">
        <f>'ENTRY DATA'!IM39</f>
        <v>-</v>
      </c>
      <c r="DW28" s="2" t="str">
        <f>'ENTRY DATA'!IN39</f>
        <v>-</v>
      </c>
      <c r="DX28" s="2" t="str">
        <f>'ENTRY DATA'!IO39</f>
        <v>-</v>
      </c>
      <c r="DY28" s="2" t="str">
        <f>'ENTRY DATA'!IP39</f>
        <v>-</v>
      </c>
      <c r="DZ28" s="2" t="str">
        <f>'ENTRY DATA'!IQ39</f>
        <v>-</v>
      </c>
      <c r="EA28" s="2" t="str">
        <f>'ENTRY DATA'!IR39</f>
        <v>-</v>
      </c>
      <c r="EB28" s="2" t="str">
        <f>'ENTRY DATA'!IS39</f>
        <v>-</v>
      </c>
      <c r="EC28" s="2" t="str">
        <f>'ENTRY DATA'!IT39</f>
        <v>-</v>
      </c>
      <c r="ED28" s="2" t="str">
        <f>'ENTRY DATA'!IU39</f>
        <v>-</v>
      </c>
      <c r="EE28" s="2" t="str">
        <f>'ENTRY DATA'!IV39</f>
        <v>-</v>
      </c>
      <c r="EF28" s="2" t="str">
        <f>'ENTRY DATA'!IW39</f>
        <v>-</v>
      </c>
      <c r="EG28" s="2" t="str">
        <f>'ENTRY DATA'!IX39</f>
        <v>-</v>
      </c>
      <c r="EH28" s="2" t="str">
        <f>'ENTRY DATA'!IY39</f>
        <v>-</v>
      </c>
      <c r="EI28" s="2" t="str">
        <f>'ENTRY DATA'!IZ39</f>
        <v>-</v>
      </c>
      <c r="EJ28" s="2">
        <f>'ENTRY DATA'!JA39</f>
        <v>0</v>
      </c>
      <c r="EK28" s="2">
        <f>'ENTRY DATA'!JB39</f>
        <v>1</v>
      </c>
    </row>
    <row r="29" spans="1:141" x14ac:dyDescent="0.25">
      <c r="A29" s="2" t="str">
        <f t="shared" si="0"/>
        <v>MIPA</v>
      </c>
      <c r="B29" s="2" t="str">
        <f t="shared" si="1"/>
        <v>Bandung, 10 Oktober 2022</v>
      </c>
      <c r="C29" s="2" t="str">
        <f t="shared" si="2"/>
        <v>Drs. Ahmad Fathony</v>
      </c>
      <c r="D29" s="2" t="str">
        <f t="shared" si="3"/>
        <v>12345678 123456 1 123</v>
      </c>
      <c r="E29" s="2" t="str">
        <f t="shared" si="4"/>
        <v>H. Abdul Basith, M.Pd.</v>
      </c>
      <c r="F29" s="2" t="str">
        <f t="shared" si="5"/>
        <v>12341234 123123 1 234</v>
      </c>
      <c r="G29" s="74">
        <f>'ENTRY DATA'!B40</f>
        <v>0</v>
      </c>
      <c r="H29" s="74">
        <f>'ENTRY DATA'!C40</f>
        <v>0</v>
      </c>
      <c r="I29" s="74">
        <f>'ENTRY DATA'!D40</f>
        <v>0</v>
      </c>
      <c r="J29" s="74">
        <f>'ENTRY DATA'!E40</f>
        <v>0</v>
      </c>
      <c r="K29" s="7" t="str">
        <f t="shared" si="6"/>
        <v>X MIPA-1</v>
      </c>
      <c r="L29" s="7">
        <f t="shared" si="7"/>
        <v>1</v>
      </c>
      <c r="M29" s="7" t="str">
        <f t="shared" si="41"/>
        <v>Ganjil</v>
      </c>
      <c r="N29" s="7" t="str">
        <f t="shared" si="8"/>
        <v>2022/2023</v>
      </c>
      <c r="O29" s="8">
        <f t="shared" si="9"/>
        <v>75</v>
      </c>
      <c r="P29" s="8">
        <f t="shared" si="10"/>
        <v>0</v>
      </c>
      <c r="Q29" s="8" t="str">
        <f>IFERROR(ROUND('ENTRY DATA'!N40,0),"-")</f>
        <v>-</v>
      </c>
      <c r="R29" s="8" t="str">
        <f>'ENTRY DATA'!O40</f>
        <v>-</v>
      </c>
      <c r="S29" s="8" t="str">
        <f>IFERROR(ROUND('ENTRY DATA'!P40,0),"-")</f>
        <v>-</v>
      </c>
      <c r="T29" s="8" t="str">
        <f>'ENTRY DATA'!Q40</f>
        <v>-</v>
      </c>
      <c r="U29" s="7">
        <f t="shared" si="11"/>
        <v>75</v>
      </c>
      <c r="V29" s="7">
        <f t="shared" si="12"/>
        <v>0</v>
      </c>
      <c r="W29" s="7" t="str">
        <f>IFERROR(ROUND('ENTRY DATA'!Z40,0),"-")</f>
        <v>-</v>
      </c>
      <c r="X29" s="7" t="str">
        <f>'ENTRY DATA'!AA40</f>
        <v>-</v>
      </c>
      <c r="Y29" s="7" t="str">
        <f>IFERROR(ROUND('ENTRY DATA'!AB40,0),"-")</f>
        <v>-</v>
      </c>
      <c r="Z29" s="7" t="str">
        <f>'ENTRY DATA'!AC40</f>
        <v>-</v>
      </c>
      <c r="AA29" s="8">
        <f t="shared" si="13"/>
        <v>75</v>
      </c>
      <c r="AB29" s="8">
        <f t="shared" si="14"/>
        <v>0</v>
      </c>
      <c r="AC29" s="8" t="str">
        <f>IFERROR(ROUND('ENTRY DATA'!AL40,0),"-")</f>
        <v>-</v>
      </c>
      <c r="AD29" s="8" t="str">
        <f>'ENTRY DATA'!AM40</f>
        <v>-</v>
      </c>
      <c r="AE29" s="8" t="str">
        <f>IFERROR(ROUND('ENTRY DATA'!AN40,0),"-")</f>
        <v>-</v>
      </c>
      <c r="AF29" s="8" t="str">
        <f>'ENTRY DATA'!AO40</f>
        <v>-</v>
      </c>
      <c r="AG29" s="7">
        <f t="shared" si="15"/>
        <v>75</v>
      </c>
      <c r="AH29" s="7">
        <f t="shared" si="16"/>
        <v>0</v>
      </c>
      <c r="AI29" s="7" t="str">
        <f>IFERROR(ROUND('ENTRY DATA'!AX40,0),"-")</f>
        <v>-</v>
      </c>
      <c r="AJ29" s="7" t="str">
        <f>'ENTRY DATA'!AY40</f>
        <v>-</v>
      </c>
      <c r="AK29" s="7" t="str">
        <f>IFERROR(ROUND('ENTRY DATA'!AZ40,0),"-")</f>
        <v>-</v>
      </c>
      <c r="AL29" s="7" t="str">
        <f>'ENTRY DATA'!BA40</f>
        <v>-</v>
      </c>
      <c r="AM29" s="8">
        <f t="shared" si="17"/>
        <v>75</v>
      </c>
      <c r="AN29" s="8">
        <f t="shared" si="18"/>
        <v>0</v>
      </c>
      <c r="AO29" s="8" t="str">
        <f>IFERROR(ROUND('ENTRY DATA'!BJ40,0),"-")</f>
        <v>-</v>
      </c>
      <c r="AP29" s="8" t="str">
        <f>'ENTRY DATA'!BK40</f>
        <v>-</v>
      </c>
      <c r="AQ29" s="8" t="str">
        <f>IFERROR(ROUND('ENTRY DATA'!BL40,0),"-")</f>
        <v>-</v>
      </c>
      <c r="AR29" s="8" t="str">
        <f>'ENTRY DATA'!BM40</f>
        <v>-</v>
      </c>
      <c r="AS29" s="7">
        <f t="shared" si="19"/>
        <v>75</v>
      </c>
      <c r="AT29" s="7">
        <f t="shared" si="20"/>
        <v>0</v>
      </c>
      <c r="AU29" s="7" t="str">
        <f>IFERROR(ROUND('ENTRY DATA'!BV40,0),"-")</f>
        <v>-</v>
      </c>
      <c r="AV29" s="7" t="str">
        <f>'ENTRY DATA'!BW40</f>
        <v>-</v>
      </c>
      <c r="AW29" s="7" t="str">
        <f>IFERROR(ROUND('ENTRY DATA'!BX40,0),"-")</f>
        <v>-</v>
      </c>
      <c r="AX29" s="7" t="str">
        <f>'ENTRY DATA'!BY40</f>
        <v>-</v>
      </c>
      <c r="AY29" s="8">
        <f t="shared" si="21"/>
        <v>75</v>
      </c>
      <c r="AZ29" s="8">
        <f t="shared" si="22"/>
        <v>0</v>
      </c>
      <c r="BA29" s="8" t="str">
        <f>IFERROR(ROUND('ENTRY DATA'!CH40,0),"-")</f>
        <v>-</v>
      </c>
      <c r="BB29" s="8" t="str">
        <f>'ENTRY DATA'!CI40</f>
        <v>-</v>
      </c>
      <c r="BC29" s="8" t="str">
        <f>IFERROR(ROUND('ENTRY DATA'!CJ40,0),"-")</f>
        <v>-</v>
      </c>
      <c r="BD29" s="8" t="str">
        <f>'ENTRY DATA'!CK40</f>
        <v>-</v>
      </c>
      <c r="BE29" s="7">
        <f t="shared" si="23"/>
        <v>75</v>
      </c>
      <c r="BF29" s="7">
        <f t="shared" si="24"/>
        <v>0</v>
      </c>
      <c r="BG29" s="7" t="str">
        <f>IFERROR(ROUND('ENTRY DATA'!CT40,0),"-")</f>
        <v>-</v>
      </c>
      <c r="BH29" s="7" t="str">
        <f>'ENTRY DATA'!CU40</f>
        <v>-</v>
      </c>
      <c r="BI29" s="7" t="str">
        <f>IFERROR(ROUND('ENTRY DATA'!CV40,0),"-")</f>
        <v>-</v>
      </c>
      <c r="BJ29" s="7" t="str">
        <f>'ENTRY DATA'!CW40</f>
        <v>-</v>
      </c>
      <c r="BK29" s="8">
        <f t="shared" si="25"/>
        <v>75</v>
      </c>
      <c r="BL29" s="8">
        <f t="shared" si="26"/>
        <v>0</v>
      </c>
      <c r="BM29" s="8" t="str">
        <f>IFERROR(ROUND('ENTRY DATA'!DF40,0),"-")</f>
        <v>-</v>
      </c>
      <c r="BN29" s="8" t="str">
        <f>'ENTRY DATA'!DG40</f>
        <v>-</v>
      </c>
      <c r="BO29" s="8" t="str">
        <f>IFERROR(ROUND('ENTRY DATA'!DH40,0),"-")</f>
        <v>-</v>
      </c>
      <c r="BP29" s="8" t="str">
        <f>'ENTRY DATA'!DI40</f>
        <v>-</v>
      </c>
      <c r="BQ29" s="7">
        <f t="shared" si="27"/>
        <v>75</v>
      </c>
      <c r="BR29" s="7">
        <f t="shared" si="28"/>
        <v>0</v>
      </c>
      <c r="BS29" s="7" t="str">
        <f>IFERROR(ROUND('ENTRY DATA'!DR40,0),"-")</f>
        <v>-</v>
      </c>
      <c r="BT29" s="7" t="str">
        <f>'ENTRY DATA'!DS40</f>
        <v>-</v>
      </c>
      <c r="BU29" s="7" t="str">
        <f>IFERROR(ROUND('ENTRY DATA'!DT40,0),"-")</f>
        <v>-</v>
      </c>
      <c r="BV29" s="7" t="str">
        <f>'ENTRY DATA'!DU40</f>
        <v>-</v>
      </c>
      <c r="BW29" s="8" t="str">
        <f>'ENTRY DATA'!$DV$8</f>
        <v>Matematika</v>
      </c>
      <c r="BX29" s="8">
        <f t="shared" si="29"/>
        <v>75</v>
      </c>
      <c r="BY29" s="8">
        <f t="shared" si="30"/>
        <v>0</v>
      </c>
      <c r="BZ29" s="8" t="str">
        <f>IFERROR(ROUND('ENTRY DATA'!ED40,0),"-")</f>
        <v>-</v>
      </c>
      <c r="CA29" s="8" t="str">
        <f>'ENTRY DATA'!EE40</f>
        <v>-</v>
      </c>
      <c r="CB29" s="8" t="str">
        <f>IFERROR(ROUND('ENTRY DATA'!EF40,0),"-")</f>
        <v>-</v>
      </c>
      <c r="CC29" s="8" t="str">
        <f>'ENTRY DATA'!EG40</f>
        <v>-</v>
      </c>
      <c r="CD29" s="7" t="str">
        <f>'ENTRY DATA'!$EH$8</f>
        <v>Biologi</v>
      </c>
      <c r="CE29" s="7">
        <f t="shared" si="31"/>
        <v>75</v>
      </c>
      <c r="CF29" s="7">
        <f t="shared" si="32"/>
        <v>0</v>
      </c>
      <c r="CG29" s="7" t="str">
        <f>IFERROR(ROUND('ENTRY DATA'!EP40,0),"-")</f>
        <v>-</v>
      </c>
      <c r="CH29" s="7" t="str">
        <f>'ENTRY DATA'!EQ40</f>
        <v>-</v>
      </c>
      <c r="CI29" s="7" t="str">
        <f>IFERROR(ROUND('ENTRY DATA'!ER40,0),"-")</f>
        <v>-</v>
      </c>
      <c r="CJ29" s="7" t="str">
        <f>'ENTRY DATA'!ES40</f>
        <v>-</v>
      </c>
      <c r="CK29" s="8" t="str">
        <f>'ENTRY DATA'!$ET$8</f>
        <v>Fisika</v>
      </c>
      <c r="CL29" s="8">
        <f t="shared" si="33"/>
        <v>75</v>
      </c>
      <c r="CM29" s="8">
        <f t="shared" si="34"/>
        <v>0</v>
      </c>
      <c r="CN29" s="8" t="str">
        <f>IFERROR(ROUND('ENTRY DATA'!FB40,0),"-")</f>
        <v>-</v>
      </c>
      <c r="CO29" s="8" t="str">
        <f>'ENTRY DATA'!FC40</f>
        <v>-</v>
      </c>
      <c r="CP29" s="8" t="str">
        <f>IFERROR(ROUND('ENTRY DATA'!FD40,0),"-")</f>
        <v>-</v>
      </c>
      <c r="CQ29" s="8" t="str">
        <f>'ENTRY DATA'!FE40</f>
        <v>-</v>
      </c>
      <c r="CR29" s="7" t="str">
        <f>'ENTRY DATA'!$FF$8</f>
        <v>Kimia</v>
      </c>
      <c r="CS29" s="7">
        <f t="shared" si="35"/>
        <v>75</v>
      </c>
      <c r="CT29" s="7">
        <f t="shared" si="36"/>
        <v>0</v>
      </c>
      <c r="CU29" s="7" t="str">
        <f>IFERROR(ROUND('ENTRY DATA'!FN40,0),"-")</f>
        <v>-</v>
      </c>
      <c r="CV29" s="7" t="str">
        <f>'ENTRY DATA'!FO40</f>
        <v>-</v>
      </c>
      <c r="CW29" s="7" t="str">
        <f>IFERROR(ROUND('ENTRY DATA'!FP40,0),"-")</f>
        <v>-</v>
      </c>
      <c r="CX29" s="7" t="str">
        <f>'ENTRY DATA'!FQ40</f>
        <v>-</v>
      </c>
      <c r="CY29" s="8" t="str">
        <f>'ENTRY DATA'!$FR$8</f>
        <v>-</v>
      </c>
      <c r="CZ29" s="8">
        <f t="shared" si="37"/>
        <v>75</v>
      </c>
      <c r="DA29" s="8">
        <f t="shared" si="38"/>
        <v>0</v>
      </c>
      <c r="DB29" s="8" t="str">
        <f>IFERROR(ROUND('ENTRY DATA'!FZ40,0),"-")</f>
        <v>-</v>
      </c>
      <c r="DC29" s="8" t="str">
        <f>'ENTRY DATA'!GA40</f>
        <v>-</v>
      </c>
      <c r="DD29" s="8" t="str">
        <f>IFERROR(ROUND('ENTRY DATA'!GB40,0),"-")</f>
        <v>-</v>
      </c>
      <c r="DE29" s="8" t="str">
        <f>'ENTRY DATA'!GC40</f>
        <v>-</v>
      </c>
      <c r="DF29" s="7" t="str">
        <f>'ENTRY DATA'!$GD$8</f>
        <v>-</v>
      </c>
      <c r="DG29" s="7">
        <f t="shared" si="39"/>
        <v>75</v>
      </c>
      <c r="DH29" s="7">
        <f t="shared" si="40"/>
        <v>0</v>
      </c>
      <c r="DI29" s="7" t="str">
        <f>IFERROR(ROUND('ENTRY DATA'!GL40,0),"-")</f>
        <v>-</v>
      </c>
      <c r="DJ29" s="7" t="str">
        <f>'ENTRY DATA'!GM40</f>
        <v>-</v>
      </c>
      <c r="DK29" s="7" t="str">
        <f>IFERROR(ROUND('ENTRY DATA'!GN40,0),"-")</f>
        <v>-</v>
      </c>
      <c r="DL29" s="7" t="str">
        <f>'ENTRY DATA'!GO40</f>
        <v>-</v>
      </c>
      <c r="DM29" s="16" t="str">
        <f>'ENTRY DATA'!HJ40</f>
        <v>-</v>
      </c>
      <c r="DN29" s="16" t="str">
        <f>'ENTRY DATA'!HK40</f>
        <v>-</v>
      </c>
      <c r="DO29" s="16" t="str">
        <f>'ENTRY DATA'!IF40</f>
        <v>-</v>
      </c>
      <c r="DP29" s="16" t="str">
        <f>'ENTRY DATA'!IG40</f>
        <v>-</v>
      </c>
      <c r="DQ29" s="2" t="str">
        <f>'ENTRY DATA'!IH40</f>
        <v>Pramuka</v>
      </c>
      <c r="DR29" s="2" t="str">
        <f>'ENTRY DATA'!II40</f>
        <v>B</v>
      </c>
      <c r="DS29" s="2" t="str">
        <f>'ENTRY DATA'!IJ40</f>
        <v>Aktif dalam mengikuti kegiatan</v>
      </c>
      <c r="DT29" s="2" t="str">
        <f>'ENTRY DATA'!IK40</f>
        <v>-</v>
      </c>
      <c r="DU29" s="2" t="str">
        <f>'ENTRY DATA'!IL40</f>
        <v>-</v>
      </c>
      <c r="DV29" s="2" t="str">
        <f>'ENTRY DATA'!IM40</f>
        <v>-</v>
      </c>
      <c r="DW29" s="2" t="str">
        <f>'ENTRY DATA'!IN40</f>
        <v>-</v>
      </c>
      <c r="DX29" s="2" t="str">
        <f>'ENTRY DATA'!IO40</f>
        <v>-</v>
      </c>
      <c r="DY29" s="2" t="str">
        <f>'ENTRY DATA'!IP40</f>
        <v>-</v>
      </c>
      <c r="DZ29" s="2" t="str">
        <f>'ENTRY DATA'!IQ40</f>
        <v>-</v>
      </c>
      <c r="EA29" s="2" t="str">
        <f>'ENTRY DATA'!IR40</f>
        <v>-</v>
      </c>
      <c r="EB29" s="2" t="str">
        <f>'ENTRY DATA'!IS40</f>
        <v>-</v>
      </c>
      <c r="EC29" s="2" t="str">
        <f>'ENTRY DATA'!IT40</f>
        <v>-</v>
      </c>
      <c r="ED29" s="2" t="str">
        <f>'ENTRY DATA'!IU40</f>
        <v>-</v>
      </c>
      <c r="EE29" s="2" t="str">
        <f>'ENTRY DATA'!IV40</f>
        <v>-</v>
      </c>
      <c r="EF29" s="2" t="str">
        <f>'ENTRY DATA'!IW40</f>
        <v>-</v>
      </c>
      <c r="EG29" s="2" t="str">
        <f>'ENTRY DATA'!IX40</f>
        <v>-</v>
      </c>
      <c r="EH29" s="2" t="str">
        <f>'ENTRY DATA'!IY40</f>
        <v>-</v>
      </c>
      <c r="EI29" s="2" t="str">
        <f>'ENTRY DATA'!IZ40</f>
        <v>-</v>
      </c>
      <c r="EJ29" s="2">
        <f>'ENTRY DATA'!JA40</f>
        <v>0</v>
      </c>
      <c r="EK29" s="2">
        <f>'ENTRY DATA'!JB40</f>
        <v>1</v>
      </c>
    </row>
    <row r="30" spans="1:141" x14ac:dyDescent="0.25">
      <c r="A30" s="2" t="str">
        <f t="shared" si="0"/>
        <v>MIPA</v>
      </c>
      <c r="B30" s="2" t="str">
        <f t="shared" si="1"/>
        <v>Bandung, 10 Oktober 2022</v>
      </c>
      <c r="C30" s="2" t="str">
        <f t="shared" si="2"/>
        <v>Drs. Ahmad Fathony</v>
      </c>
      <c r="D30" s="2" t="str">
        <f t="shared" si="3"/>
        <v>12345678 123456 1 123</v>
      </c>
      <c r="E30" s="2" t="str">
        <f t="shared" si="4"/>
        <v>H. Abdul Basith, M.Pd.</v>
      </c>
      <c r="F30" s="2" t="str">
        <f t="shared" si="5"/>
        <v>12341234 123123 1 234</v>
      </c>
      <c r="G30" s="74">
        <f>'ENTRY DATA'!B41</f>
        <v>0</v>
      </c>
      <c r="H30" s="74">
        <f>'ENTRY DATA'!C41</f>
        <v>0</v>
      </c>
      <c r="I30" s="74">
        <f>'ENTRY DATA'!D41</f>
        <v>0</v>
      </c>
      <c r="J30" s="74">
        <f>'ENTRY DATA'!E41</f>
        <v>0</v>
      </c>
      <c r="K30" s="7" t="str">
        <f t="shared" si="6"/>
        <v>X MIPA-1</v>
      </c>
      <c r="L30" s="7">
        <f t="shared" si="7"/>
        <v>1</v>
      </c>
      <c r="M30" s="7" t="str">
        <f t="shared" si="41"/>
        <v>Ganjil</v>
      </c>
      <c r="N30" s="7" t="str">
        <f t="shared" si="8"/>
        <v>2022/2023</v>
      </c>
      <c r="O30" s="8">
        <f t="shared" si="9"/>
        <v>75</v>
      </c>
      <c r="P30" s="8">
        <f t="shared" si="10"/>
        <v>0</v>
      </c>
      <c r="Q30" s="8" t="str">
        <f>IFERROR(ROUND('ENTRY DATA'!N41,0),"-")</f>
        <v>-</v>
      </c>
      <c r="R30" s="8" t="str">
        <f>'ENTRY DATA'!O41</f>
        <v>-</v>
      </c>
      <c r="S30" s="8" t="str">
        <f>IFERROR(ROUND('ENTRY DATA'!P41,0),"-")</f>
        <v>-</v>
      </c>
      <c r="T30" s="8" t="str">
        <f>'ENTRY DATA'!Q41</f>
        <v>-</v>
      </c>
      <c r="U30" s="7">
        <f t="shared" si="11"/>
        <v>75</v>
      </c>
      <c r="V30" s="7">
        <f t="shared" si="12"/>
        <v>0</v>
      </c>
      <c r="W30" s="7" t="str">
        <f>IFERROR(ROUND('ENTRY DATA'!Z41,0),"-")</f>
        <v>-</v>
      </c>
      <c r="X30" s="7" t="str">
        <f>'ENTRY DATA'!AA41</f>
        <v>-</v>
      </c>
      <c r="Y30" s="7" t="str">
        <f>IFERROR(ROUND('ENTRY DATA'!AB41,0),"-")</f>
        <v>-</v>
      </c>
      <c r="Z30" s="7" t="str">
        <f>'ENTRY DATA'!AC41</f>
        <v>-</v>
      </c>
      <c r="AA30" s="8">
        <f t="shared" si="13"/>
        <v>75</v>
      </c>
      <c r="AB30" s="8">
        <f t="shared" si="14"/>
        <v>0</v>
      </c>
      <c r="AC30" s="8" t="str">
        <f>IFERROR(ROUND('ENTRY DATA'!AL41,0),"-")</f>
        <v>-</v>
      </c>
      <c r="AD30" s="8" t="str">
        <f>'ENTRY DATA'!AM41</f>
        <v>-</v>
      </c>
      <c r="AE30" s="8" t="str">
        <f>IFERROR(ROUND('ENTRY DATA'!AN41,0),"-")</f>
        <v>-</v>
      </c>
      <c r="AF30" s="8" t="str">
        <f>'ENTRY DATA'!AO41</f>
        <v>-</v>
      </c>
      <c r="AG30" s="7">
        <f t="shared" si="15"/>
        <v>75</v>
      </c>
      <c r="AH30" s="7">
        <f t="shared" si="16"/>
        <v>0</v>
      </c>
      <c r="AI30" s="7" t="str">
        <f>IFERROR(ROUND('ENTRY DATA'!AX41,0),"-")</f>
        <v>-</v>
      </c>
      <c r="AJ30" s="7" t="str">
        <f>'ENTRY DATA'!AY41</f>
        <v>-</v>
      </c>
      <c r="AK30" s="7" t="str">
        <f>IFERROR(ROUND('ENTRY DATA'!AZ41,0),"-")</f>
        <v>-</v>
      </c>
      <c r="AL30" s="7" t="str">
        <f>'ENTRY DATA'!BA41</f>
        <v>-</v>
      </c>
      <c r="AM30" s="8">
        <f t="shared" si="17"/>
        <v>75</v>
      </c>
      <c r="AN30" s="8">
        <f t="shared" si="18"/>
        <v>0</v>
      </c>
      <c r="AO30" s="8" t="str">
        <f>IFERROR(ROUND('ENTRY DATA'!BJ41,0),"-")</f>
        <v>-</v>
      </c>
      <c r="AP30" s="8" t="str">
        <f>'ENTRY DATA'!BK41</f>
        <v>-</v>
      </c>
      <c r="AQ30" s="8" t="str">
        <f>IFERROR(ROUND('ENTRY DATA'!BL41,0),"-")</f>
        <v>-</v>
      </c>
      <c r="AR30" s="8" t="str">
        <f>'ENTRY DATA'!BM41</f>
        <v>-</v>
      </c>
      <c r="AS30" s="7">
        <f t="shared" si="19"/>
        <v>75</v>
      </c>
      <c r="AT30" s="7">
        <f t="shared" si="20"/>
        <v>0</v>
      </c>
      <c r="AU30" s="7" t="str">
        <f>IFERROR(ROUND('ENTRY DATA'!BV41,0),"-")</f>
        <v>-</v>
      </c>
      <c r="AV30" s="7" t="str">
        <f>'ENTRY DATA'!BW41</f>
        <v>-</v>
      </c>
      <c r="AW30" s="7" t="str">
        <f>IFERROR(ROUND('ENTRY DATA'!BX41,0),"-")</f>
        <v>-</v>
      </c>
      <c r="AX30" s="7" t="str">
        <f>'ENTRY DATA'!BY41</f>
        <v>-</v>
      </c>
      <c r="AY30" s="8">
        <f t="shared" si="21"/>
        <v>75</v>
      </c>
      <c r="AZ30" s="8">
        <f t="shared" si="22"/>
        <v>0</v>
      </c>
      <c r="BA30" s="8" t="str">
        <f>IFERROR(ROUND('ENTRY DATA'!CH41,0),"-")</f>
        <v>-</v>
      </c>
      <c r="BB30" s="8" t="str">
        <f>'ENTRY DATA'!CI41</f>
        <v>-</v>
      </c>
      <c r="BC30" s="8" t="str">
        <f>IFERROR(ROUND('ENTRY DATA'!CJ41,0),"-")</f>
        <v>-</v>
      </c>
      <c r="BD30" s="8" t="str">
        <f>'ENTRY DATA'!CK41</f>
        <v>-</v>
      </c>
      <c r="BE30" s="7">
        <f t="shared" si="23"/>
        <v>75</v>
      </c>
      <c r="BF30" s="7">
        <f t="shared" si="24"/>
        <v>0</v>
      </c>
      <c r="BG30" s="7" t="str">
        <f>IFERROR(ROUND('ENTRY DATA'!CT41,0),"-")</f>
        <v>-</v>
      </c>
      <c r="BH30" s="7" t="str">
        <f>'ENTRY DATA'!CU41</f>
        <v>-</v>
      </c>
      <c r="BI30" s="7" t="str">
        <f>IFERROR(ROUND('ENTRY DATA'!CV41,0),"-")</f>
        <v>-</v>
      </c>
      <c r="BJ30" s="7" t="str">
        <f>'ENTRY DATA'!CW41</f>
        <v>-</v>
      </c>
      <c r="BK30" s="8">
        <f t="shared" si="25"/>
        <v>75</v>
      </c>
      <c r="BL30" s="8">
        <f t="shared" si="26"/>
        <v>0</v>
      </c>
      <c r="BM30" s="8" t="str">
        <f>IFERROR(ROUND('ENTRY DATA'!DF41,0),"-")</f>
        <v>-</v>
      </c>
      <c r="BN30" s="8" t="str">
        <f>'ENTRY DATA'!DG41</f>
        <v>-</v>
      </c>
      <c r="BO30" s="8" t="str">
        <f>IFERROR(ROUND('ENTRY DATA'!DH41,0),"-")</f>
        <v>-</v>
      </c>
      <c r="BP30" s="8" t="str">
        <f>'ENTRY DATA'!DI41</f>
        <v>-</v>
      </c>
      <c r="BQ30" s="7">
        <f t="shared" si="27"/>
        <v>75</v>
      </c>
      <c r="BR30" s="7">
        <f t="shared" si="28"/>
        <v>0</v>
      </c>
      <c r="BS30" s="7" t="str">
        <f>IFERROR(ROUND('ENTRY DATA'!DR41,0),"-")</f>
        <v>-</v>
      </c>
      <c r="BT30" s="7" t="str">
        <f>'ENTRY DATA'!DS41</f>
        <v>-</v>
      </c>
      <c r="BU30" s="7" t="str">
        <f>IFERROR(ROUND('ENTRY DATA'!DT41,0),"-")</f>
        <v>-</v>
      </c>
      <c r="BV30" s="7" t="str">
        <f>'ENTRY DATA'!DU41</f>
        <v>-</v>
      </c>
      <c r="BW30" s="8" t="str">
        <f>'ENTRY DATA'!$DV$8</f>
        <v>Matematika</v>
      </c>
      <c r="BX30" s="8">
        <f t="shared" si="29"/>
        <v>75</v>
      </c>
      <c r="BY30" s="8">
        <f t="shared" si="30"/>
        <v>0</v>
      </c>
      <c r="BZ30" s="8" t="str">
        <f>IFERROR(ROUND('ENTRY DATA'!ED41,0),"-")</f>
        <v>-</v>
      </c>
      <c r="CA30" s="8" t="str">
        <f>'ENTRY DATA'!EE41</f>
        <v>-</v>
      </c>
      <c r="CB30" s="8" t="str">
        <f>IFERROR(ROUND('ENTRY DATA'!EF41,0),"-")</f>
        <v>-</v>
      </c>
      <c r="CC30" s="8" t="str">
        <f>'ENTRY DATA'!EG41</f>
        <v>-</v>
      </c>
      <c r="CD30" s="7" t="str">
        <f>'ENTRY DATA'!$EH$8</f>
        <v>Biologi</v>
      </c>
      <c r="CE30" s="7">
        <f t="shared" si="31"/>
        <v>75</v>
      </c>
      <c r="CF30" s="7">
        <f t="shared" si="32"/>
        <v>0</v>
      </c>
      <c r="CG30" s="7" t="str">
        <f>IFERROR(ROUND('ENTRY DATA'!EP41,0),"-")</f>
        <v>-</v>
      </c>
      <c r="CH30" s="7" t="str">
        <f>'ENTRY DATA'!EQ41</f>
        <v>-</v>
      </c>
      <c r="CI30" s="7" t="str">
        <f>IFERROR(ROUND('ENTRY DATA'!ER41,0),"-")</f>
        <v>-</v>
      </c>
      <c r="CJ30" s="7" t="str">
        <f>'ENTRY DATA'!ES41</f>
        <v>-</v>
      </c>
      <c r="CK30" s="8" t="str">
        <f>'ENTRY DATA'!$ET$8</f>
        <v>Fisika</v>
      </c>
      <c r="CL30" s="8">
        <f t="shared" si="33"/>
        <v>75</v>
      </c>
      <c r="CM30" s="8">
        <f t="shared" si="34"/>
        <v>0</v>
      </c>
      <c r="CN30" s="8" t="str">
        <f>IFERROR(ROUND('ENTRY DATA'!FB41,0),"-")</f>
        <v>-</v>
      </c>
      <c r="CO30" s="8" t="str">
        <f>'ENTRY DATA'!FC41</f>
        <v>-</v>
      </c>
      <c r="CP30" s="8" t="str">
        <f>IFERROR(ROUND('ENTRY DATA'!FD41,0),"-")</f>
        <v>-</v>
      </c>
      <c r="CQ30" s="8" t="str">
        <f>'ENTRY DATA'!FE41</f>
        <v>-</v>
      </c>
      <c r="CR30" s="7" t="str">
        <f>'ENTRY DATA'!$FF$8</f>
        <v>Kimia</v>
      </c>
      <c r="CS30" s="7">
        <f t="shared" si="35"/>
        <v>75</v>
      </c>
      <c r="CT30" s="7">
        <f t="shared" si="36"/>
        <v>0</v>
      </c>
      <c r="CU30" s="7" t="str">
        <f>IFERROR(ROUND('ENTRY DATA'!FN41,0),"-")</f>
        <v>-</v>
      </c>
      <c r="CV30" s="7" t="str">
        <f>'ENTRY DATA'!FO41</f>
        <v>-</v>
      </c>
      <c r="CW30" s="7" t="str">
        <f>IFERROR(ROUND('ENTRY DATA'!FP41,0),"-")</f>
        <v>-</v>
      </c>
      <c r="CX30" s="7" t="str">
        <f>'ENTRY DATA'!FQ41</f>
        <v>-</v>
      </c>
      <c r="CY30" s="8" t="str">
        <f>'ENTRY DATA'!$FR$8</f>
        <v>-</v>
      </c>
      <c r="CZ30" s="8">
        <f t="shared" si="37"/>
        <v>75</v>
      </c>
      <c r="DA30" s="8">
        <f t="shared" si="38"/>
        <v>0</v>
      </c>
      <c r="DB30" s="8" t="str">
        <f>IFERROR(ROUND('ENTRY DATA'!FZ41,0),"-")</f>
        <v>-</v>
      </c>
      <c r="DC30" s="8" t="str">
        <f>'ENTRY DATA'!GA41</f>
        <v>-</v>
      </c>
      <c r="DD30" s="8" t="str">
        <f>IFERROR(ROUND('ENTRY DATA'!GB41,0),"-")</f>
        <v>-</v>
      </c>
      <c r="DE30" s="8" t="str">
        <f>'ENTRY DATA'!GC41</f>
        <v>-</v>
      </c>
      <c r="DF30" s="7" t="str">
        <f>'ENTRY DATA'!$GD$8</f>
        <v>-</v>
      </c>
      <c r="DG30" s="7">
        <f t="shared" si="39"/>
        <v>75</v>
      </c>
      <c r="DH30" s="7">
        <f t="shared" si="40"/>
        <v>0</v>
      </c>
      <c r="DI30" s="7" t="str">
        <f>IFERROR(ROUND('ENTRY DATA'!GL41,0),"-")</f>
        <v>-</v>
      </c>
      <c r="DJ30" s="7" t="str">
        <f>'ENTRY DATA'!GM41</f>
        <v>-</v>
      </c>
      <c r="DK30" s="7" t="str">
        <f>IFERROR(ROUND('ENTRY DATA'!GN41,0),"-")</f>
        <v>-</v>
      </c>
      <c r="DL30" s="7" t="str">
        <f>'ENTRY DATA'!GO41</f>
        <v>-</v>
      </c>
      <c r="DM30" s="16" t="str">
        <f>'ENTRY DATA'!HJ41</f>
        <v>-</v>
      </c>
      <c r="DN30" s="16" t="str">
        <f>'ENTRY DATA'!HK41</f>
        <v>-</v>
      </c>
      <c r="DO30" s="16" t="str">
        <f>'ENTRY DATA'!IF41</f>
        <v>-</v>
      </c>
      <c r="DP30" s="16" t="str">
        <f>'ENTRY DATA'!IG41</f>
        <v>-</v>
      </c>
      <c r="DQ30" s="2" t="str">
        <f>'ENTRY DATA'!IH41</f>
        <v>Pramuka</v>
      </c>
      <c r="DR30" s="2" t="str">
        <f>'ENTRY DATA'!II41</f>
        <v>B</v>
      </c>
      <c r="DS30" s="2" t="str">
        <f>'ENTRY DATA'!IJ41</f>
        <v>Aktif dalam mengikuti kegiatan</v>
      </c>
      <c r="DT30" s="2" t="str">
        <f>'ENTRY DATA'!IK41</f>
        <v>-</v>
      </c>
      <c r="DU30" s="2" t="str">
        <f>'ENTRY DATA'!IL41</f>
        <v>-</v>
      </c>
      <c r="DV30" s="2" t="str">
        <f>'ENTRY DATA'!IM41</f>
        <v>-</v>
      </c>
      <c r="DW30" s="2" t="str">
        <f>'ENTRY DATA'!IN41</f>
        <v>-</v>
      </c>
      <c r="DX30" s="2" t="str">
        <f>'ENTRY DATA'!IO41</f>
        <v>-</v>
      </c>
      <c r="DY30" s="2" t="str">
        <f>'ENTRY DATA'!IP41</f>
        <v>-</v>
      </c>
      <c r="DZ30" s="2" t="str">
        <f>'ENTRY DATA'!IQ41</f>
        <v>-</v>
      </c>
      <c r="EA30" s="2" t="str">
        <f>'ENTRY DATA'!IR41</f>
        <v>-</v>
      </c>
      <c r="EB30" s="2" t="str">
        <f>'ENTRY DATA'!IS41</f>
        <v>-</v>
      </c>
      <c r="EC30" s="2" t="str">
        <f>'ENTRY DATA'!IT41</f>
        <v>-</v>
      </c>
      <c r="ED30" s="2" t="str">
        <f>'ENTRY DATA'!IU41</f>
        <v>-</v>
      </c>
      <c r="EE30" s="2" t="str">
        <f>'ENTRY DATA'!IV41</f>
        <v>-</v>
      </c>
      <c r="EF30" s="2" t="str">
        <f>'ENTRY DATA'!IW41</f>
        <v>-</v>
      </c>
      <c r="EG30" s="2" t="str">
        <f>'ENTRY DATA'!IX41</f>
        <v>-</v>
      </c>
      <c r="EH30" s="2" t="str">
        <f>'ENTRY DATA'!IY41</f>
        <v>-</v>
      </c>
      <c r="EI30" s="2" t="str">
        <f>'ENTRY DATA'!IZ41</f>
        <v>-</v>
      </c>
      <c r="EJ30" s="2">
        <f>'ENTRY DATA'!JA41</f>
        <v>0</v>
      </c>
      <c r="EK30" s="2">
        <f>'ENTRY DATA'!JB41</f>
        <v>1</v>
      </c>
    </row>
    <row r="31" spans="1:141" x14ac:dyDescent="0.25">
      <c r="A31" s="2" t="str">
        <f t="shared" si="0"/>
        <v>MIPA</v>
      </c>
      <c r="B31" s="2" t="str">
        <f t="shared" si="1"/>
        <v>Bandung, 10 Oktober 2022</v>
      </c>
      <c r="C31" s="2" t="str">
        <f t="shared" si="2"/>
        <v>Drs. Ahmad Fathony</v>
      </c>
      <c r="D31" s="2" t="str">
        <f t="shared" si="3"/>
        <v>12345678 123456 1 123</v>
      </c>
      <c r="E31" s="2" t="str">
        <f t="shared" si="4"/>
        <v>H. Abdul Basith, M.Pd.</v>
      </c>
      <c r="F31" s="2" t="str">
        <f t="shared" si="5"/>
        <v>12341234 123123 1 234</v>
      </c>
      <c r="G31" s="74">
        <f>'ENTRY DATA'!B42</f>
        <v>0</v>
      </c>
      <c r="H31" s="74">
        <f>'ENTRY DATA'!C42</f>
        <v>0</v>
      </c>
      <c r="I31" s="74">
        <f>'ENTRY DATA'!D42</f>
        <v>0</v>
      </c>
      <c r="J31" s="74">
        <f>'ENTRY DATA'!E42</f>
        <v>0</v>
      </c>
      <c r="K31" s="7" t="str">
        <f t="shared" si="6"/>
        <v>X MIPA-1</v>
      </c>
      <c r="L31" s="7">
        <f t="shared" si="7"/>
        <v>1</v>
      </c>
      <c r="M31" s="7" t="str">
        <f t="shared" si="41"/>
        <v>Ganjil</v>
      </c>
      <c r="N31" s="7" t="str">
        <f t="shared" si="8"/>
        <v>2022/2023</v>
      </c>
      <c r="O31" s="8">
        <f t="shared" si="9"/>
        <v>75</v>
      </c>
      <c r="P31" s="8">
        <f t="shared" si="10"/>
        <v>0</v>
      </c>
      <c r="Q31" s="8" t="str">
        <f>IFERROR(ROUND('ENTRY DATA'!N42,0),"-")</f>
        <v>-</v>
      </c>
      <c r="R31" s="8" t="str">
        <f>'ENTRY DATA'!O42</f>
        <v>-</v>
      </c>
      <c r="S31" s="8" t="str">
        <f>IFERROR(ROUND('ENTRY DATA'!P42,0),"-")</f>
        <v>-</v>
      </c>
      <c r="T31" s="8" t="str">
        <f>'ENTRY DATA'!Q42</f>
        <v>-</v>
      </c>
      <c r="U31" s="7">
        <f t="shared" si="11"/>
        <v>75</v>
      </c>
      <c r="V31" s="7">
        <f t="shared" si="12"/>
        <v>0</v>
      </c>
      <c r="W31" s="7" t="str">
        <f>IFERROR(ROUND('ENTRY DATA'!Z42,0),"-")</f>
        <v>-</v>
      </c>
      <c r="X31" s="7" t="str">
        <f>'ENTRY DATA'!AA42</f>
        <v>-</v>
      </c>
      <c r="Y31" s="7" t="str">
        <f>IFERROR(ROUND('ENTRY DATA'!AB42,0),"-")</f>
        <v>-</v>
      </c>
      <c r="Z31" s="7" t="str">
        <f>'ENTRY DATA'!AC42</f>
        <v>-</v>
      </c>
      <c r="AA31" s="8">
        <f t="shared" si="13"/>
        <v>75</v>
      </c>
      <c r="AB31" s="8">
        <f t="shared" si="14"/>
        <v>0</v>
      </c>
      <c r="AC31" s="8" t="str">
        <f>IFERROR(ROUND('ENTRY DATA'!AL42,0),"-")</f>
        <v>-</v>
      </c>
      <c r="AD31" s="8" t="str">
        <f>'ENTRY DATA'!AM42</f>
        <v>-</v>
      </c>
      <c r="AE31" s="8" t="str">
        <f>IFERROR(ROUND('ENTRY DATA'!AN42,0),"-")</f>
        <v>-</v>
      </c>
      <c r="AF31" s="8" t="str">
        <f>'ENTRY DATA'!AO42</f>
        <v>-</v>
      </c>
      <c r="AG31" s="7">
        <f t="shared" si="15"/>
        <v>75</v>
      </c>
      <c r="AH31" s="7">
        <f t="shared" si="16"/>
        <v>0</v>
      </c>
      <c r="AI31" s="7" t="str">
        <f>IFERROR(ROUND('ENTRY DATA'!AX42,0),"-")</f>
        <v>-</v>
      </c>
      <c r="AJ31" s="7" t="str">
        <f>'ENTRY DATA'!AY42</f>
        <v>-</v>
      </c>
      <c r="AK31" s="7" t="str">
        <f>IFERROR(ROUND('ENTRY DATA'!AZ42,0),"-")</f>
        <v>-</v>
      </c>
      <c r="AL31" s="7" t="str">
        <f>'ENTRY DATA'!BA42</f>
        <v>-</v>
      </c>
      <c r="AM31" s="8">
        <f t="shared" si="17"/>
        <v>75</v>
      </c>
      <c r="AN31" s="8">
        <f t="shared" si="18"/>
        <v>0</v>
      </c>
      <c r="AO31" s="8" t="str">
        <f>IFERROR(ROUND('ENTRY DATA'!BJ42,0),"-")</f>
        <v>-</v>
      </c>
      <c r="AP31" s="8" t="str">
        <f>'ENTRY DATA'!BK42</f>
        <v>-</v>
      </c>
      <c r="AQ31" s="8" t="str">
        <f>IFERROR(ROUND('ENTRY DATA'!BL42,0),"-")</f>
        <v>-</v>
      </c>
      <c r="AR31" s="8" t="str">
        <f>'ENTRY DATA'!BM42</f>
        <v>-</v>
      </c>
      <c r="AS31" s="7">
        <f t="shared" si="19"/>
        <v>75</v>
      </c>
      <c r="AT31" s="7">
        <f t="shared" si="20"/>
        <v>0</v>
      </c>
      <c r="AU31" s="7" t="str">
        <f>IFERROR(ROUND('ENTRY DATA'!BV42,0),"-")</f>
        <v>-</v>
      </c>
      <c r="AV31" s="7" t="str">
        <f>'ENTRY DATA'!BW42</f>
        <v>-</v>
      </c>
      <c r="AW31" s="7" t="str">
        <f>IFERROR(ROUND('ENTRY DATA'!BX42,0),"-")</f>
        <v>-</v>
      </c>
      <c r="AX31" s="7" t="str">
        <f>'ENTRY DATA'!BY42</f>
        <v>-</v>
      </c>
      <c r="AY31" s="8">
        <f t="shared" si="21"/>
        <v>75</v>
      </c>
      <c r="AZ31" s="8">
        <f t="shared" si="22"/>
        <v>0</v>
      </c>
      <c r="BA31" s="8" t="str">
        <f>IFERROR(ROUND('ENTRY DATA'!CH42,0),"-")</f>
        <v>-</v>
      </c>
      <c r="BB31" s="8" t="str">
        <f>'ENTRY DATA'!CI42</f>
        <v>-</v>
      </c>
      <c r="BC31" s="8" t="str">
        <f>IFERROR(ROUND('ENTRY DATA'!CJ42,0),"-")</f>
        <v>-</v>
      </c>
      <c r="BD31" s="8" t="str">
        <f>'ENTRY DATA'!CK42</f>
        <v>-</v>
      </c>
      <c r="BE31" s="7">
        <f t="shared" si="23"/>
        <v>75</v>
      </c>
      <c r="BF31" s="7">
        <f t="shared" si="24"/>
        <v>0</v>
      </c>
      <c r="BG31" s="7" t="str">
        <f>IFERROR(ROUND('ENTRY DATA'!CT42,0),"-")</f>
        <v>-</v>
      </c>
      <c r="BH31" s="7" t="str">
        <f>'ENTRY DATA'!CU42</f>
        <v>-</v>
      </c>
      <c r="BI31" s="7" t="str">
        <f>IFERROR(ROUND('ENTRY DATA'!CV42,0),"-")</f>
        <v>-</v>
      </c>
      <c r="BJ31" s="7" t="str">
        <f>'ENTRY DATA'!CW42</f>
        <v>-</v>
      </c>
      <c r="BK31" s="8">
        <f t="shared" si="25"/>
        <v>75</v>
      </c>
      <c r="BL31" s="8">
        <f t="shared" si="26"/>
        <v>0</v>
      </c>
      <c r="BM31" s="8" t="str">
        <f>IFERROR(ROUND('ENTRY DATA'!DF42,0),"-")</f>
        <v>-</v>
      </c>
      <c r="BN31" s="8" t="str">
        <f>'ENTRY DATA'!DG42</f>
        <v>-</v>
      </c>
      <c r="BO31" s="8" t="str">
        <f>IFERROR(ROUND('ENTRY DATA'!DH42,0),"-")</f>
        <v>-</v>
      </c>
      <c r="BP31" s="8" t="str">
        <f>'ENTRY DATA'!DI42</f>
        <v>-</v>
      </c>
      <c r="BQ31" s="7">
        <f t="shared" si="27"/>
        <v>75</v>
      </c>
      <c r="BR31" s="7">
        <f t="shared" si="28"/>
        <v>0</v>
      </c>
      <c r="BS31" s="7" t="str">
        <f>IFERROR(ROUND('ENTRY DATA'!DR42,0),"-")</f>
        <v>-</v>
      </c>
      <c r="BT31" s="7" t="str">
        <f>'ENTRY DATA'!DS42</f>
        <v>-</v>
      </c>
      <c r="BU31" s="7" t="str">
        <f>IFERROR(ROUND('ENTRY DATA'!DT42,0),"-")</f>
        <v>-</v>
      </c>
      <c r="BV31" s="7" t="str">
        <f>'ENTRY DATA'!DU42</f>
        <v>-</v>
      </c>
      <c r="BW31" s="8" t="str">
        <f>'ENTRY DATA'!$DV$8</f>
        <v>Matematika</v>
      </c>
      <c r="BX31" s="8">
        <f t="shared" si="29"/>
        <v>75</v>
      </c>
      <c r="BY31" s="8">
        <f t="shared" si="30"/>
        <v>0</v>
      </c>
      <c r="BZ31" s="8" t="str">
        <f>IFERROR(ROUND('ENTRY DATA'!ED42,0),"-")</f>
        <v>-</v>
      </c>
      <c r="CA31" s="8" t="str">
        <f>'ENTRY DATA'!EE42</f>
        <v>-</v>
      </c>
      <c r="CB31" s="8" t="str">
        <f>IFERROR(ROUND('ENTRY DATA'!EF42,0),"-")</f>
        <v>-</v>
      </c>
      <c r="CC31" s="8" t="str">
        <f>'ENTRY DATA'!EG42</f>
        <v>-</v>
      </c>
      <c r="CD31" s="7" t="str">
        <f>'ENTRY DATA'!$EH$8</f>
        <v>Biologi</v>
      </c>
      <c r="CE31" s="7">
        <f t="shared" si="31"/>
        <v>75</v>
      </c>
      <c r="CF31" s="7">
        <f t="shared" si="32"/>
        <v>0</v>
      </c>
      <c r="CG31" s="7" t="str">
        <f>IFERROR(ROUND('ENTRY DATA'!EP42,0),"-")</f>
        <v>-</v>
      </c>
      <c r="CH31" s="7" t="str">
        <f>'ENTRY DATA'!EQ42</f>
        <v>-</v>
      </c>
      <c r="CI31" s="7" t="str">
        <f>IFERROR(ROUND('ENTRY DATA'!ER42,0),"-")</f>
        <v>-</v>
      </c>
      <c r="CJ31" s="7" t="str">
        <f>'ENTRY DATA'!ES42</f>
        <v>-</v>
      </c>
      <c r="CK31" s="8" t="str">
        <f>'ENTRY DATA'!$ET$8</f>
        <v>Fisika</v>
      </c>
      <c r="CL31" s="8">
        <f t="shared" si="33"/>
        <v>75</v>
      </c>
      <c r="CM31" s="8">
        <f t="shared" si="34"/>
        <v>0</v>
      </c>
      <c r="CN31" s="8" t="str">
        <f>IFERROR(ROUND('ENTRY DATA'!FB42,0),"-")</f>
        <v>-</v>
      </c>
      <c r="CO31" s="8" t="str">
        <f>'ENTRY DATA'!FC42</f>
        <v>-</v>
      </c>
      <c r="CP31" s="8" t="str">
        <f>IFERROR(ROUND('ENTRY DATA'!FD42,0),"-")</f>
        <v>-</v>
      </c>
      <c r="CQ31" s="8" t="str">
        <f>'ENTRY DATA'!FE42</f>
        <v>-</v>
      </c>
      <c r="CR31" s="7" t="str">
        <f>'ENTRY DATA'!$FF$8</f>
        <v>Kimia</v>
      </c>
      <c r="CS31" s="7">
        <f t="shared" si="35"/>
        <v>75</v>
      </c>
      <c r="CT31" s="7">
        <f t="shared" si="36"/>
        <v>0</v>
      </c>
      <c r="CU31" s="7" t="str">
        <f>IFERROR(ROUND('ENTRY DATA'!FN42,0),"-")</f>
        <v>-</v>
      </c>
      <c r="CV31" s="7" t="str">
        <f>'ENTRY DATA'!FO42</f>
        <v>-</v>
      </c>
      <c r="CW31" s="7" t="str">
        <f>IFERROR(ROUND('ENTRY DATA'!FP42,0),"-")</f>
        <v>-</v>
      </c>
      <c r="CX31" s="7" t="str">
        <f>'ENTRY DATA'!FQ42</f>
        <v>-</v>
      </c>
      <c r="CY31" s="8" t="str">
        <f>'ENTRY DATA'!$FR$8</f>
        <v>-</v>
      </c>
      <c r="CZ31" s="8">
        <f t="shared" si="37"/>
        <v>75</v>
      </c>
      <c r="DA31" s="8">
        <f t="shared" si="38"/>
        <v>0</v>
      </c>
      <c r="DB31" s="8" t="str">
        <f>IFERROR(ROUND('ENTRY DATA'!FZ42,0),"-")</f>
        <v>-</v>
      </c>
      <c r="DC31" s="8" t="str">
        <f>'ENTRY DATA'!GA42</f>
        <v>-</v>
      </c>
      <c r="DD31" s="8" t="str">
        <f>IFERROR(ROUND('ENTRY DATA'!GB42,0),"-")</f>
        <v>-</v>
      </c>
      <c r="DE31" s="8" t="str">
        <f>'ENTRY DATA'!GC42</f>
        <v>-</v>
      </c>
      <c r="DF31" s="7" t="str">
        <f>'ENTRY DATA'!$GD$8</f>
        <v>-</v>
      </c>
      <c r="DG31" s="7">
        <f t="shared" si="39"/>
        <v>75</v>
      </c>
      <c r="DH31" s="7">
        <f t="shared" si="40"/>
        <v>0</v>
      </c>
      <c r="DI31" s="7" t="str">
        <f>IFERROR(ROUND('ENTRY DATA'!GL42,0),"-")</f>
        <v>-</v>
      </c>
      <c r="DJ31" s="7" t="str">
        <f>'ENTRY DATA'!GM42</f>
        <v>-</v>
      </c>
      <c r="DK31" s="7" t="str">
        <f>IFERROR(ROUND('ENTRY DATA'!GN42,0),"-")</f>
        <v>-</v>
      </c>
      <c r="DL31" s="7" t="str">
        <f>'ENTRY DATA'!GO42</f>
        <v>-</v>
      </c>
      <c r="DM31" s="16" t="str">
        <f>'ENTRY DATA'!HJ42</f>
        <v>-</v>
      </c>
      <c r="DN31" s="16" t="str">
        <f>'ENTRY DATA'!HK42</f>
        <v>-</v>
      </c>
      <c r="DO31" s="16" t="str">
        <f>'ENTRY DATA'!IF42</f>
        <v>-</v>
      </c>
      <c r="DP31" s="16" t="str">
        <f>'ENTRY DATA'!IG42</f>
        <v>-</v>
      </c>
      <c r="DQ31" s="2" t="str">
        <f>'ENTRY DATA'!IH42</f>
        <v>Pramuka</v>
      </c>
      <c r="DR31" s="2" t="str">
        <f>'ENTRY DATA'!II42</f>
        <v>B</v>
      </c>
      <c r="DS31" s="2" t="str">
        <f>'ENTRY DATA'!IJ42</f>
        <v>Aktif dalam mengikuti kegiatan</v>
      </c>
      <c r="DT31" s="2" t="str">
        <f>'ENTRY DATA'!IK42</f>
        <v>-</v>
      </c>
      <c r="DU31" s="2" t="str">
        <f>'ENTRY DATA'!IL42</f>
        <v>-</v>
      </c>
      <c r="DV31" s="2" t="str">
        <f>'ENTRY DATA'!IM42</f>
        <v>-</v>
      </c>
      <c r="DW31" s="2" t="str">
        <f>'ENTRY DATA'!IN42</f>
        <v>-</v>
      </c>
      <c r="DX31" s="2" t="str">
        <f>'ENTRY DATA'!IO42</f>
        <v>-</v>
      </c>
      <c r="DY31" s="2" t="str">
        <f>'ENTRY DATA'!IP42</f>
        <v>-</v>
      </c>
      <c r="DZ31" s="2" t="str">
        <f>'ENTRY DATA'!IQ42</f>
        <v>-</v>
      </c>
      <c r="EA31" s="2" t="str">
        <f>'ENTRY DATA'!IR42</f>
        <v>-</v>
      </c>
      <c r="EB31" s="2" t="str">
        <f>'ENTRY DATA'!IS42</f>
        <v>-</v>
      </c>
      <c r="EC31" s="2" t="str">
        <f>'ENTRY DATA'!IT42</f>
        <v>-</v>
      </c>
      <c r="ED31" s="2" t="str">
        <f>'ENTRY DATA'!IU42</f>
        <v>-</v>
      </c>
      <c r="EE31" s="2" t="str">
        <f>'ENTRY DATA'!IV42</f>
        <v>-</v>
      </c>
      <c r="EF31" s="2" t="str">
        <f>'ENTRY DATA'!IW42</f>
        <v>-</v>
      </c>
      <c r="EG31" s="2" t="str">
        <f>'ENTRY DATA'!IX42</f>
        <v>-</v>
      </c>
      <c r="EH31" s="2" t="str">
        <f>'ENTRY DATA'!IY42</f>
        <v>-</v>
      </c>
      <c r="EI31" s="2" t="str">
        <f>'ENTRY DATA'!IZ42</f>
        <v>-</v>
      </c>
      <c r="EJ31" s="2">
        <f>'ENTRY DATA'!JA42</f>
        <v>0</v>
      </c>
      <c r="EK31" s="2">
        <f>'ENTRY DATA'!JB42</f>
        <v>1</v>
      </c>
    </row>
    <row r="32" spans="1:141" x14ac:dyDescent="0.25">
      <c r="A32" s="2" t="str">
        <f t="shared" si="0"/>
        <v>MIPA</v>
      </c>
      <c r="B32" s="2" t="str">
        <f t="shared" si="1"/>
        <v>Bandung, 10 Oktober 2022</v>
      </c>
      <c r="C32" s="2" t="str">
        <f t="shared" si="2"/>
        <v>Drs. Ahmad Fathony</v>
      </c>
      <c r="D32" s="2" t="str">
        <f t="shared" si="3"/>
        <v>12345678 123456 1 123</v>
      </c>
      <c r="E32" s="2" t="str">
        <f t="shared" si="4"/>
        <v>H. Abdul Basith, M.Pd.</v>
      </c>
      <c r="F32" s="2" t="str">
        <f t="shared" si="5"/>
        <v>12341234 123123 1 234</v>
      </c>
      <c r="G32" s="74">
        <f>'ENTRY DATA'!B43</f>
        <v>0</v>
      </c>
      <c r="H32" s="74">
        <f>'ENTRY DATA'!C43</f>
        <v>0</v>
      </c>
      <c r="I32" s="74">
        <f>'ENTRY DATA'!D43</f>
        <v>0</v>
      </c>
      <c r="J32" s="74">
        <f>'ENTRY DATA'!E43</f>
        <v>0</v>
      </c>
      <c r="K32" s="7" t="str">
        <f t="shared" si="6"/>
        <v>X MIPA-1</v>
      </c>
      <c r="L32" s="7">
        <f t="shared" si="7"/>
        <v>1</v>
      </c>
      <c r="M32" s="7" t="str">
        <f t="shared" si="41"/>
        <v>Ganjil</v>
      </c>
      <c r="N32" s="7" t="str">
        <f t="shared" si="8"/>
        <v>2022/2023</v>
      </c>
      <c r="O32" s="8">
        <f t="shared" si="9"/>
        <v>75</v>
      </c>
      <c r="P32" s="8">
        <f t="shared" si="10"/>
        <v>0</v>
      </c>
      <c r="Q32" s="8" t="str">
        <f>IFERROR(ROUND('ENTRY DATA'!N43,0),"-")</f>
        <v>-</v>
      </c>
      <c r="R32" s="8" t="str">
        <f>'ENTRY DATA'!O43</f>
        <v>-</v>
      </c>
      <c r="S32" s="8" t="str">
        <f>IFERROR(ROUND('ENTRY DATA'!P43,0),"-")</f>
        <v>-</v>
      </c>
      <c r="T32" s="8" t="str">
        <f>'ENTRY DATA'!Q43</f>
        <v>-</v>
      </c>
      <c r="U32" s="7">
        <f t="shared" si="11"/>
        <v>75</v>
      </c>
      <c r="V32" s="7">
        <f t="shared" si="12"/>
        <v>0</v>
      </c>
      <c r="W32" s="7" t="str">
        <f>IFERROR(ROUND('ENTRY DATA'!Z43,0),"-")</f>
        <v>-</v>
      </c>
      <c r="X32" s="7" t="str">
        <f>'ENTRY DATA'!AA43</f>
        <v>-</v>
      </c>
      <c r="Y32" s="7" t="str">
        <f>IFERROR(ROUND('ENTRY DATA'!AB43,0),"-")</f>
        <v>-</v>
      </c>
      <c r="Z32" s="7" t="str">
        <f>'ENTRY DATA'!AC43</f>
        <v>-</v>
      </c>
      <c r="AA32" s="8">
        <f t="shared" si="13"/>
        <v>75</v>
      </c>
      <c r="AB32" s="8">
        <f t="shared" si="14"/>
        <v>0</v>
      </c>
      <c r="AC32" s="8" t="str">
        <f>IFERROR(ROUND('ENTRY DATA'!AL43,0),"-")</f>
        <v>-</v>
      </c>
      <c r="AD32" s="8" t="str">
        <f>'ENTRY DATA'!AM43</f>
        <v>-</v>
      </c>
      <c r="AE32" s="8" t="str">
        <f>IFERROR(ROUND('ENTRY DATA'!AN43,0),"-")</f>
        <v>-</v>
      </c>
      <c r="AF32" s="8" t="str">
        <f>'ENTRY DATA'!AO43</f>
        <v>-</v>
      </c>
      <c r="AG32" s="7">
        <f t="shared" si="15"/>
        <v>75</v>
      </c>
      <c r="AH32" s="7">
        <f t="shared" si="16"/>
        <v>0</v>
      </c>
      <c r="AI32" s="7" t="str">
        <f>IFERROR(ROUND('ENTRY DATA'!AX43,0),"-")</f>
        <v>-</v>
      </c>
      <c r="AJ32" s="7" t="str">
        <f>'ENTRY DATA'!AY43</f>
        <v>-</v>
      </c>
      <c r="AK32" s="7" t="str">
        <f>IFERROR(ROUND('ENTRY DATA'!AZ43,0),"-")</f>
        <v>-</v>
      </c>
      <c r="AL32" s="7" t="str">
        <f>'ENTRY DATA'!BA43</f>
        <v>-</v>
      </c>
      <c r="AM32" s="8">
        <f t="shared" si="17"/>
        <v>75</v>
      </c>
      <c r="AN32" s="8">
        <f t="shared" si="18"/>
        <v>0</v>
      </c>
      <c r="AO32" s="8" t="str">
        <f>IFERROR(ROUND('ENTRY DATA'!BJ43,0),"-")</f>
        <v>-</v>
      </c>
      <c r="AP32" s="8" t="str">
        <f>'ENTRY DATA'!BK43</f>
        <v>-</v>
      </c>
      <c r="AQ32" s="8" t="str">
        <f>IFERROR(ROUND('ENTRY DATA'!BL43,0),"-")</f>
        <v>-</v>
      </c>
      <c r="AR32" s="8" t="str">
        <f>'ENTRY DATA'!BM43</f>
        <v>-</v>
      </c>
      <c r="AS32" s="7">
        <f t="shared" si="19"/>
        <v>75</v>
      </c>
      <c r="AT32" s="7">
        <f t="shared" si="20"/>
        <v>0</v>
      </c>
      <c r="AU32" s="7" t="str">
        <f>IFERROR(ROUND('ENTRY DATA'!BV43,0),"-")</f>
        <v>-</v>
      </c>
      <c r="AV32" s="7" t="str">
        <f>'ENTRY DATA'!BW43</f>
        <v>-</v>
      </c>
      <c r="AW32" s="7" t="str">
        <f>IFERROR(ROUND('ENTRY DATA'!BX43,0),"-")</f>
        <v>-</v>
      </c>
      <c r="AX32" s="7" t="str">
        <f>'ENTRY DATA'!BY43</f>
        <v>-</v>
      </c>
      <c r="AY32" s="8">
        <f t="shared" si="21"/>
        <v>75</v>
      </c>
      <c r="AZ32" s="8">
        <f t="shared" si="22"/>
        <v>0</v>
      </c>
      <c r="BA32" s="8" t="str">
        <f>IFERROR(ROUND('ENTRY DATA'!CH43,0),"-")</f>
        <v>-</v>
      </c>
      <c r="BB32" s="8" t="str">
        <f>'ENTRY DATA'!CI43</f>
        <v>-</v>
      </c>
      <c r="BC32" s="8" t="str">
        <f>IFERROR(ROUND('ENTRY DATA'!CJ43,0),"-")</f>
        <v>-</v>
      </c>
      <c r="BD32" s="8" t="str">
        <f>'ENTRY DATA'!CK43</f>
        <v>-</v>
      </c>
      <c r="BE32" s="7">
        <f t="shared" si="23"/>
        <v>75</v>
      </c>
      <c r="BF32" s="7">
        <f t="shared" si="24"/>
        <v>0</v>
      </c>
      <c r="BG32" s="7" t="str">
        <f>IFERROR(ROUND('ENTRY DATA'!CT43,0),"-")</f>
        <v>-</v>
      </c>
      <c r="BH32" s="7" t="str">
        <f>'ENTRY DATA'!CU43</f>
        <v>-</v>
      </c>
      <c r="BI32" s="7" t="str">
        <f>IFERROR(ROUND('ENTRY DATA'!CV43,0),"-")</f>
        <v>-</v>
      </c>
      <c r="BJ32" s="7" t="str">
        <f>'ENTRY DATA'!CW43</f>
        <v>-</v>
      </c>
      <c r="BK32" s="8">
        <f t="shared" si="25"/>
        <v>75</v>
      </c>
      <c r="BL32" s="8">
        <f t="shared" si="26"/>
        <v>0</v>
      </c>
      <c r="BM32" s="8" t="str">
        <f>IFERROR(ROUND('ENTRY DATA'!DF43,0),"-")</f>
        <v>-</v>
      </c>
      <c r="BN32" s="8" t="str">
        <f>'ENTRY DATA'!DG43</f>
        <v>-</v>
      </c>
      <c r="BO32" s="8" t="str">
        <f>IFERROR(ROUND('ENTRY DATA'!DH43,0),"-")</f>
        <v>-</v>
      </c>
      <c r="BP32" s="8" t="str">
        <f>'ENTRY DATA'!DI43</f>
        <v>-</v>
      </c>
      <c r="BQ32" s="7">
        <f t="shared" si="27"/>
        <v>75</v>
      </c>
      <c r="BR32" s="7">
        <f t="shared" si="28"/>
        <v>0</v>
      </c>
      <c r="BS32" s="7" t="str">
        <f>IFERROR(ROUND('ENTRY DATA'!DR43,0),"-")</f>
        <v>-</v>
      </c>
      <c r="BT32" s="7" t="str">
        <f>'ENTRY DATA'!DS43</f>
        <v>-</v>
      </c>
      <c r="BU32" s="7" t="str">
        <f>IFERROR(ROUND('ENTRY DATA'!DT43,0),"-")</f>
        <v>-</v>
      </c>
      <c r="BV32" s="7" t="str">
        <f>'ENTRY DATA'!DU43</f>
        <v>-</v>
      </c>
      <c r="BW32" s="8" t="str">
        <f>'ENTRY DATA'!$DV$8</f>
        <v>Matematika</v>
      </c>
      <c r="BX32" s="8">
        <f t="shared" si="29"/>
        <v>75</v>
      </c>
      <c r="BY32" s="8">
        <f t="shared" si="30"/>
        <v>0</v>
      </c>
      <c r="BZ32" s="8" t="str">
        <f>IFERROR(ROUND('ENTRY DATA'!ED43,0),"-")</f>
        <v>-</v>
      </c>
      <c r="CA32" s="8" t="str">
        <f>'ENTRY DATA'!EE43</f>
        <v>-</v>
      </c>
      <c r="CB32" s="8" t="str">
        <f>IFERROR(ROUND('ENTRY DATA'!EF43,0),"-")</f>
        <v>-</v>
      </c>
      <c r="CC32" s="8" t="str">
        <f>'ENTRY DATA'!EG43</f>
        <v>-</v>
      </c>
      <c r="CD32" s="7" t="str">
        <f>'ENTRY DATA'!$EH$8</f>
        <v>Biologi</v>
      </c>
      <c r="CE32" s="7">
        <f t="shared" si="31"/>
        <v>75</v>
      </c>
      <c r="CF32" s="7">
        <f t="shared" si="32"/>
        <v>0</v>
      </c>
      <c r="CG32" s="7" t="str">
        <f>IFERROR(ROUND('ENTRY DATA'!EP43,0),"-")</f>
        <v>-</v>
      </c>
      <c r="CH32" s="7" t="str">
        <f>'ENTRY DATA'!EQ43</f>
        <v>-</v>
      </c>
      <c r="CI32" s="7" t="str">
        <f>IFERROR(ROUND('ENTRY DATA'!ER43,0),"-")</f>
        <v>-</v>
      </c>
      <c r="CJ32" s="7" t="str">
        <f>'ENTRY DATA'!ES43</f>
        <v>-</v>
      </c>
      <c r="CK32" s="8" t="str">
        <f>'ENTRY DATA'!$ET$8</f>
        <v>Fisika</v>
      </c>
      <c r="CL32" s="8">
        <f t="shared" si="33"/>
        <v>75</v>
      </c>
      <c r="CM32" s="8">
        <f t="shared" si="34"/>
        <v>0</v>
      </c>
      <c r="CN32" s="8" t="str">
        <f>IFERROR(ROUND('ENTRY DATA'!FB43,0),"-")</f>
        <v>-</v>
      </c>
      <c r="CO32" s="8" t="str">
        <f>'ENTRY DATA'!FC43</f>
        <v>-</v>
      </c>
      <c r="CP32" s="8" t="str">
        <f>IFERROR(ROUND('ENTRY DATA'!FD43,0),"-")</f>
        <v>-</v>
      </c>
      <c r="CQ32" s="8" t="str">
        <f>'ENTRY DATA'!FE43</f>
        <v>-</v>
      </c>
      <c r="CR32" s="7" t="str">
        <f>'ENTRY DATA'!$FF$8</f>
        <v>Kimia</v>
      </c>
      <c r="CS32" s="7">
        <f t="shared" si="35"/>
        <v>75</v>
      </c>
      <c r="CT32" s="7">
        <f t="shared" si="36"/>
        <v>0</v>
      </c>
      <c r="CU32" s="7" t="str">
        <f>IFERROR(ROUND('ENTRY DATA'!FN43,0),"-")</f>
        <v>-</v>
      </c>
      <c r="CV32" s="7" t="str">
        <f>'ENTRY DATA'!FO43</f>
        <v>-</v>
      </c>
      <c r="CW32" s="7" t="str">
        <f>IFERROR(ROUND('ENTRY DATA'!FP43,0),"-")</f>
        <v>-</v>
      </c>
      <c r="CX32" s="7" t="str">
        <f>'ENTRY DATA'!FQ43</f>
        <v>-</v>
      </c>
      <c r="CY32" s="8" t="str">
        <f>'ENTRY DATA'!$FR$8</f>
        <v>-</v>
      </c>
      <c r="CZ32" s="8">
        <f t="shared" si="37"/>
        <v>75</v>
      </c>
      <c r="DA32" s="8">
        <f t="shared" si="38"/>
        <v>0</v>
      </c>
      <c r="DB32" s="8" t="str">
        <f>IFERROR(ROUND('ENTRY DATA'!FZ43,0),"-")</f>
        <v>-</v>
      </c>
      <c r="DC32" s="8" t="str">
        <f>'ENTRY DATA'!GA43</f>
        <v>-</v>
      </c>
      <c r="DD32" s="8" t="str">
        <f>IFERROR(ROUND('ENTRY DATA'!GB43,0),"-")</f>
        <v>-</v>
      </c>
      <c r="DE32" s="8" t="str">
        <f>'ENTRY DATA'!GC43</f>
        <v>-</v>
      </c>
      <c r="DF32" s="7" t="str">
        <f>'ENTRY DATA'!$GD$8</f>
        <v>-</v>
      </c>
      <c r="DG32" s="7">
        <f t="shared" si="39"/>
        <v>75</v>
      </c>
      <c r="DH32" s="7">
        <f t="shared" si="40"/>
        <v>0</v>
      </c>
      <c r="DI32" s="7" t="str">
        <f>IFERROR(ROUND('ENTRY DATA'!GL43,0),"-")</f>
        <v>-</v>
      </c>
      <c r="DJ32" s="7" t="str">
        <f>'ENTRY DATA'!GM43</f>
        <v>-</v>
      </c>
      <c r="DK32" s="7" t="str">
        <f>IFERROR(ROUND('ENTRY DATA'!GN43,0),"-")</f>
        <v>-</v>
      </c>
      <c r="DL32" s="7" t="str">
        <f>'ENTRY DATA'!GO43</f>
        <v>-</v>
      </c>
      <c r="DM32" s="16" t="str">
        <f>'ENTRY DATA'!HJ43</f>
        <v>-</v>
      </c>
      <c r="DN32" s="16" t="str">
        <f>'ENTRY DATA'!HK43</f>
        <v>-</v>
      </c>
      <c r="DO32" s="16" t="str">
        <f>'ENTRY DATA'!IF43</f>
        <v>-</v>
      </c>
      <c r="DP32" s="16" t="str">
        <f>'ENTRY DATA'!IG43</f>
        <v>-</v>
      </c>
      <c r="DQ32" s="2" t="str">
        <f>'ENTRY DATA'!IH43</f>
        <v>Pramuka</v>
      </c>
      <c r="DR32" s="2" t="str">
        <f>'ENTRY DATA'!II43</f>
        <v>B</v>
      </c>
      <c r="DS32" s="2" t="str">
        <f>'ENTRY DATA'!IJ43</f>
        <v>Aktif dalam mengikuti kegiatan</v>
      </c>
      <c r="DT32" s="2" t="str">
        <f>'ENTRY DATA'!IK43</f>
        <v>-</v>
      </c>
      <c r="DU32" s="2" t="str">
        <f>'ENTRY DATA'!IL43</f>
        <v>-</v>
      </c>
      <c r="DV32" s="2" t="str">
        <f>'ENTRY DATA'!IM43</f>
        <v>-</v>
      </c>
      <c r="DW32" s="2" t="str">
        <f>'ENTRY DATA'!IN43</f>
        <v>-</v>
      </c>
      <c r="DX32" s="2" t="str">
        <f>'ENTRY DATA'!IO43</f>
        <v>-</v>
      </c>
      <c r="DY32" s="2" t="str">
        <f>'ENTRY DATA'!IP43</f>
        <v>-</v>
      </c>
      <c r="DZ32" s="2" t="str">
        <f>'ENTRY DATA'!IQ43</f>
        <v>-</v>
      </c>
      <c r="EA32" s="2" t="str">
        <f>'ENTRY DATA'!IR43</f>
        <v>-</v>
      </c>
      <c r="EB32" s="2" t="str">
        <f>'ENTRY DATA'!IS43</f>
        <v>-</v>
      </c>
      <c r="EC32" s="2" t="str">
        <f>'ENTRY DATA'!IT43</f>
        <v>-</v>
      </c>
      <c r="ED32" s="2" t="str">
        <f>'ENTRY DATA'!IU43</f>
        <v>-</v>
      </c>
      <c r="EE32" s="2" t="str">
        <f>'ENTRY DATA'!IV43</f>
        <v>-</v>
      </c>
      <c r="EF32" s="2" t="str">
        <f>'ENTRY DATA'!IW43</f>
        <v>-</v>
      </c>
      <c r="EG32" s="2" t="str">
        <f>'ENTRY DATA'!IX43</f>
        <v>-</v>
      </c>
      <c r="EH32" s="2" t="str">
        <f>'ENTRY DATA'!IY43</f>
        <v>-</v>
      </c>
      <c r="EI32" s="2" t="str">
        <f>'ENTRY DATA'!IZ43</f>
        <v>-</v>
      </c>
      <c r="EJ32" s="2">
        <f>'ENTRY DATA'!JA43</f>
        <v>0</v>
      </c>
      <c r="EK32" s="2">
        <f>'ENTRY DATA'!JB43</f>
        <v>1</v>
      </c>
    </row>
    <row r="33" spans="1:141" x14ac:dyDescent="0.25">
      <c r="A33" s="2" t="str">
        <f t="shared" si="0"/>
        <v>MIPA</v>
      </c>
      <c r="B33" s="2" t="str">
        <f t="shared" si="1"/>
        <v>Bandung, 10 Oktober 2022</v>
      </c>
      <c r="C33" s="2" t="str">
        <f t="shared" si="2"/>
        <v>Drs. Ahmad Fathony</v>
      </c>
      <c r="D33" s="2" t="str">
        <f t="shared" si="3"/>
        <v>12345678 123456 1 123</v>
      </c>
      <c r="E33" s="2" t="str">
        <f t="shared" si="4"/>
        <v>H. Abdul Basith, M.Pd.</v>
      </c>
      <c r="F33" s="2" t="str">
        <f t="shared" si="5"/>
        <v>12341234 123123 1 234</v>
      </c>
      <c r="G33" s="74">
        <f>'ENTRY DATA'!B44</f>
        <v>0</v>
      </c>
      <c r="H33" s="74">
        <f>'ENTRY DATA'!C44</f>
        <v>0</v>
      </c>
      <c r="I33" s="74">
        <f>'ENTRY DATA'!D44</f>
        <v>0</v>
      </c>
      <c r="J33" s="74">
        <f>'ENTRY DATA'!E44</f>
        <v>0</v>
      </c>
      <c r="K33" s="7" t="str">
        <f t="shared" si="6"/>
        <v>X MIPA-1</v>
      </c>
      <c r="L33" s="7">
        <f t="shared" si="7"/>
        <v>1</v>
      </c>
      <c r="M33" s="7" t="str">
        <f t="shared" si="41"/>
        <v>Ganjil</v>
      </c>
      <c r="N33" s="7" t="str">
        <f t="shared" si="8"/>
        <v>2022/2023</v>
      </c>
      <c r="O33" s="8">
        <f t="shared" si="9"/>
        <v>75</v>
      </c>
      <c r="P33" s="8">
        <f t="shared" si="10"/>
        <v>0</v>
      </c>
      <c r="Q33" s="8" t="str">
        <f>IFERROR(ROUND('ENTRY DATA'!N44,0),"-")</f>
        <v>-</v>
      </c>
      <c r="R33" s="8" t="str">
        <f>'ENTRY DATA'!O44</f>
        <v>-</v>
      </c>
      <c r="S33" s="8" t="str">
        <f>IFERROR(ROUND('ENTRY DATA'!P44,0),"-")</f>
        <v>-</v>
      </c>
      <c r="T33" s="8" t="str">
        <f>'ENTRY DATA'!Q44</f>
        <v>-</v>
      </c>
      <c r="U33" s="7">
        <f t="shared" si="11"/>
        <v>75</v>
      </c>
      <c r="V33" s="7">
        <f t="shared" si="12"/>
        <v>0</v>
      </c>
      <c r="W33" s="7" t="str">
        <f>IFERROR(ROUND('ENTRY DATA'!Z44,0),"-")</f>
        <v>-</v>
      </c>
      <c r="X33" s="7" t="str">
        <f>'ENTRY DATA'!AA44</f>
        <v>-</v>
      </c>
      <c r="Y33" s="7" t="str">
        <f>IFERROR(ROUND('ENTRY DATA'!AB44,0),"-")</f>
        <v>-</v>
      </c>
      <c r="Z33" s="7" t="str">
        <f>'ENTRY DATA'!AC44</f>
        <v>-</v>
      </c>
      <c r="AA33" s="8">
        <f t="shared" si="13"/>
        <v>75</v>
      </c>
      <c r="AB33" s="8">
        <f t="shared" si="14"/>
        <v>0</v>
      </c>
      <c r="AC33" s="8" t="str">
        <f>IFERROR(ROUND('ENTRY DATA'!AL44,0),"-")</f>
        <v>-</v>
      </c>
      <c r="AD33" s="8" t="str">
        <f>'ENTRY DATA'!AM44</f>
        <v>-</v>
      </c>
      <c r="AE33" s="8" t="str">
        <f>IFERROR(ROUND('ENTRY DATA'!AN44,0),"-")</f>
        <v>-</v>
      </c>
      <c r="AF33" s="8" t="str">
        <f>'ENTRY DATA'!AO44</f>
        <v>-</v>
      </c>
      <c r="AG33" s="7">
        <f t="shared" si="15"/>
        <v>75</v>
      </c>
      <c r="AH33" s="7">
        <f t="shared" si="16"/>
        <v>0</v>
      </c>
      <c r="AI33" s="7" t="str">
        <f>IFERROR(ROUND('ENTRY DATA'!AX44,0),"-")</f>
        <v>-</v>
      </c>
      <c r="AJ33" s="7" t="str">
        <f>'ENTRY DATA'!AY44</f>
        <v>-</v>
      </c>
      <c r="AK33" s="7" t="str">
        <f>IFERROR(ROUND('ENTRY DATA'!AZ44,0),"-")</f>
        <v>-</v>
      </c>
      <c r="AL33" s="7" t="str">
        <f>'ENTRY DATA'!BA44</f>
        <v>-</v>
      </c>
      <c r="AM33" s="8">
        <f t="shared" si="17"/>
        <v>75</v>
      </c>
      <c r="AN33" s="8">
        <f t="shared" si="18"/>
        <v>0</v>
      </c>
      <c r="AO33" s="8" t="str">
        <f>IFERROR(ROUND('ENTRY DATA'!BJ44,0),"-")</f>
        <v>-</v>
      </c>
      <c r="AP33" s="8" t="str">
        <f>'ENTRY DATA'!BK44</f>
        <v>-</v>
      </c>
      <c r="AQ33" s="8" t="str">
        <f>IFERROR(ROUND('ENTRY DATA'!BL44,0),"-")</f>
        <v>-</v>
      </c>
      <c r="AR33" s="8" t="str">
        <f>'ENTRY DATA'!BM44</f>
        <v>-</v>
      </c>
      <c r="AS33" s="7">
        <f t="shared" si="19"/>
        <v>75</v>
      </c>
      <c r="AT33" s="7">
        <f t="shared" si="20"/>
        <v>0</v>
      </c>
      <c r="AU33" s="7" t="str">
        <f>IFERROR(ROUND('ENTRY DATA'!BV44,0),"-")</f>
        <v>-</v>
      </c>
      <c r="AV33" s="7" t="str">
        <f>'ENTRY DATA'!BW44</f>
        <v>-</v>
      </c>
      <c r="AW33" s="7" t="str">
        <f>IFERROR(ROUND('ENTRY DATA'!BX44,0),"-")</f>
        <v>-</v>
      </c>
      <c r="AX33" s="7" t="str">
        <f>'ENTRY DATA'!BY44</f>
        <v>-</v>
      </c>
      <c r="AY33" s="8">
        <f t="shared" si="21"/>
        <v>75</v>
      </c>
      <c r="AZ33" s="8">
        <f t="shared" si="22"/>
        <v>0</v>
      </c>
      <c r="BA33" s="8" t="str">
        <f>IFERROR(ROUND('ENTRY DATA'!CH44,0),"-")</f>
        <v>-</v>
      </c>
      <c r="BB33" s="8" t="str">
        <f>'ENTRY DATA'!CI44</f>
        <v>-</v>
      </c>
      <c r="BC33" s="8" t="str">
        <f>IFERROR(ROUND('ENTRY DATA'!CJ44,0),"-")</f>
        <v>-</v>
      </c>
      <c r="BD33" s="8" t="str">
        <f>'ENTRY DATA'!CK44</f>
        <v>-</v>
      </c>
      <c r="BE33" s="7">
        <f t="shared" si="23"/>
        <v>75</v>
      </c>
      <c r="BF33" s="7">
        <f t="shared" si="24"/>
        <v>0</v>
      </c>
      <c r="BG33" s="7" t="str">
        <f>IFERROR(ROUND('ENTRY DATA'!CT44,0),"-")</f>
        <v>-</v>
      </c>
      <c r="BH33" s="7" t="str">
        <f>'ENTRY DATA'!CU44</f>
        <v>-</v>
      </c>
      <c r="BI33" s="7" t="str">
        <f>IFERROR(ROUND('ENTRY DATA'!CV44,0),"-")</f>
        <v>-</v>
      </c>
      <c r="BJ33" s="7" t="str">
        <f>'ENTRY DATA'!CW44</f>
        <v>-</v>
      </c>
      <c r="BK33" s="8">
        <f t="shared" si="25"/>
        <v>75</v>
      </c>
      <c r="BL33" s="8">
        <f t="shared" si="26"/>
        <v>0</v>
      </c>
      <c r="BM33" s="8" t="str">
        <f>IFERROR(ROUND('ENTRY DATA'!DF44,0),"-")</f>
        <v>-</v>
      </c>
      <c r="BN33" s="8" t="str">
        <f>'ENTRY DATA'!DG44</f>
        <v>-</v>
      </c>
      <c r="BO33" s="8" t="str">
        <f>IFERROR(ROUND('ENTRY DATA'!DH44,0),"-")</f>
        <v>-</v>
      </c>
      <c r="BP33" s="8" t="str">
        <f>'ENTRY DATA'!DI44</f>
        <v>-</v>
      </c>
      <c r="BQ33" s="7">
        <f t="shared" si="27"/>
        <v>75</v>
      </c>
      <c r="BR33" s="7">
        <f t="shared" si="28"/>
        <v>0</v>
      </c>
      <c r="BS33" s="7" t="str">
        <f>IFERROR(ROUND('ENTRY DATA'!DR44,0),"-")</f>
        <v>-</v>
      </c>
      <c r="BT33" s="7" t="str">
        <f>'ENTRY DATA'!DS44</f>
        <v>-</v>
      </c>
      <c r="BU33" s="7" t="str">
        <f>IFERROR(ROUND('ENTRY DATA'!DT44,0),"-")</f>
        <v>-</v>
      </c>
      <c r="BV33" s="7" t="str">
        <f>'ENTRY DATA'!DU44</f>
        <v>-</v>
      </c>
      <c r="BW33" s="8" t="str">
        <f>'ENTRY DATA'!$DV$8</f>
        <v>Matematika</v>
      </c>
      <c r="BX33" s="8">
        <f t="shared" si="29"/>
        <v>75</v>
      </c>
      <c r="BY33" s="8">
        <f t="shared" si="30"/>
        <v>0</v>
      </c>
      <c r="BZ33" s="8" t="str">
        <f>IFERROR(ROUND('ENTRY DATA'!ED44,0),"-")</f>
        <v>-</v>
      </c>
      <c r="CA33" s="8" t="str">
        <f>'ENTRY DATA'!EE44</f>
        <v>-</v>
      </c>
      <c r="CB33" s="8" t="str">
        <f>IFERROR(ROUND('ENTRY DATA'!EF44,0),"-")</f>
        <v>-</v>
      </c>
      <c r="CC33" s="8" t="str">
        <f>'ENTRY DATA'!EG44</f>
        <v>-</v>
      </c>
      <c r="CD33" s="7" t="str">
        <f>'ENTRY DATA'!$EH$8</f>
        <v>Biologi</v>
      </c>
      <c r="CE33" s="7">
        <f t="shared" si="31"/>
        <v>75</v>
      </c>
      <c r="CF33" s="7">
        <f t="shared" si="32"/>
        <v>0</v>
      </c>
      <c r="CG33" s="7" t="str">
        <f>IFERROR(ROUND('ENTRY DATA'!EP44,0),"-")</f>
        <v>-</v>
      </c>
      <c r="CH33" s="7" t="str">
        <f>'ENTRY DATA'!EQ44</f>
        <v>-</v>
      </c>
      <c r="CI33" s="7" t="str">
        <f>IFERROR(ROUND('ENTRY DATA'!ER44,0),"-")</f>
        <v>-</v>
      </c>
      <c r="CJ33" s="7" t="str">
        <f>'ENTRY DATA'!ES44</f>
        <v>-</v>
      </c>
      <c r="CK33" s="8" t="str">
        <f>'ENTRY DATA'!$ET$8</f>
        <v>Fisika</v>
      </c>
      <c r="CL33" s="8">
        <f t="shared" si="33"/>
        <v>75</v>
      </c>
      <c r="CM33" s="8">
        <f t="shared" si="34"/>
        <v>0</v>
      </c>
      <c r="CN33" s="8" t="str">
        <f>IFERROR(ROUND('ENTRY DATA'!FB44,0),"-")</f>
        <v>-</v>
      </c>
      <c r="CO33" s="8" t="str">
        <f>'ENTRY DATA'!FC44</f>
        <v>-</v>
      </c>
      <c r="CP33" s="8" t="str">
        <f>IFERROR(ROUND('ENTRY DATA'!FD44,0),"-")</f>
        <v>-</v>
      </c>
      <c r="CQ33" s="8" t="str">
        <f>'ENTRY DATA'!FE44</f>
        <v>-</v>
      </c>
      <c r="CR33" s="7" t="str">
        <f>'ENTRY DATA'!$FF$8</f>
        <v>Kimia</v>
      </c>
      <c r="CS33" s="7">
        <f t="shared" si="35"/>
        <v>75</v>
      </c>
      <c r="CT33" s="7">
        <f t="shared" si="36"/>
        <v>0</v>
      </c>
      <c r="CU33" s="7" t="str">
        <f>IFERROR(ROUND('ENTRY DATA'!FN44,0),"-")</f>
        <v>-</v>
      </c>
      <c r="CV33" s="7" t="str">
        <f>'ENTRY DATA'!FO44</f>
        <v>-</v>
      </c>
      <c r="CW33" s="7" t="str">
        <f>IFERROR(ROUND('ENTRY DATA'!FP44,0),"-")</f>
        <v>-</v>
      </c>
      <c r="CX33" s="7" t="str">
        <f>'ENTRY DATA'!FQ44</f>
        <v>-</v>
      </c>
      <c r="CY33" s="8" t="str">
        <f>'ENTRY DATA'!$FR$8</f>
        <v>-</v>
      </c>
      <c r="CZ33" s="8">
        <f t="shared" si="37"/>
        <v>75</v>
      </c>
      <c r="DA33" s="8">
        <f t="shared" si="38"/>
        <v>0</v>
      </c>
      <c r="DB33" s="8" t="str">
        <f>IFERROR(ROUND('ENTRY DATA'!FZ44,0),"-")</f>
        <v>-</v>
      </c>
      <c r="DC33" s="8" t="str">
        <f>'ENTRY DATA'!GA44</f>
        <v>-</v>
      </c>
      <c r="DD33" s="8" t="str">
        <f>IFERROR(ROUND('ENTRY DATA'!GB44,0),"-")</f>
        <v>-</v>
      </c>
      <c r="DE33" s="8" t="str">
        <f>'ENTRY DATA'!GC44</f>
        <v>-</v>
      </c>
      <c r="DF33" s="7" t="str">
        <f>'ENTRY DATA'!$GD$8</f>
        <v>-</v>
      </c>
      <c r="DG33" s="7">
        <f t="shared" si="39"/>
        <v>75</v>
      </c>
      <c r="DH33" s="7">
        <f t="shared" si="40"/>
        <v>0</v>
      </c>
      <c r="DI33" s="7" t="str">
        <f>IFERROR(ROUND('ENTRY DATA'!GL44,0),"-")</f>
        <v>-</v>
      </c>
      <c r="DJ33" s="7" t="str">
        <f>'ENTRY DATA'!GM44</f>
        <v>-</v>
      </c>
      <c r="DK33" s="7" t="str">
        <f>IFERROR(ROUND('ENTRY DATA'!GN44,0),"-")</f>
        <v>-</v>
      </c>
      <c r="DL33" s="7" t="str">
        <f>'ENTRY DATA'!GO44</f>
        <v>-</v>
      </c>
      <c r="DM33" s="16" t="str">
        <f>'ENTRY DATA'!HJ44</f>
        <v>-</v>
      </c>
      <c r="DN33" s="16" t="str">
        <f>'ENTRY DATA'!HK44</f>
        <v>-</v>
      </c>
      <c r="DO33" s="16" t="str">
        <f>'ENTRY DATA'!IF44</f>
        <v>-</v>
      </c>
      <c r="DP33" s="16" t="str">
        <f>'ENTRY DATA'!IG44</f>
        <v>-</v>
      </c>
      <c r="DQ33" s="2" t="str">
        <f>'ENTRY DATA'!IH44</f>
        <v>Pramuka</v>
      </c>
      <c r="DR33" s="2" t="str">
        <f>'ENTRY DATA'!II44</f>
        <v>B</v>
      </c>
      <c r="DS33" s="2" t="str">
        <f>'ENTRY DATA'!IJ44</f>
        <v>Aktif dalam mengikuti kegiatan</v>
      </c>
      <c r="DT33" s="2" t="str">
        <f>'ENTRY DATA'!IK44</f>
        <v>-</v>
      </c>
      <c r="DU33" s="2" t="str">
        <f>'ENTRY DATA'!IL44</f>
        <v>-</v>
      </c>
      <c r="DV33" s="2" t="str">
        <f>'ENTRY DATA'!IM44</f>
        <v>-</v>
      </c>
      <c r="DW33" s="2" t="str">
        <f>'ENTRY DATA'!IN44</f>
        <v>-</v>
      </c>
      <c r="DX33" s="2" t="str">
        <f>'ENTRY DATA'!IO44</f>
        <v>-</v>
      </c>
      <c r="DY33" s="2" t="str">
        <f>'ENTRY DATA'!IP44</f>
        <v>-</v>
      </c>
      <c r="DZ33" s="2" t="str">
        <f>'ENTRY DATA'!IQ44</f>
        <v>-</v>
      </c>
      <c r="EA33" s="2" t="str">
        <f>'ENTRY DATA'!IR44</f>
        <v>-</v>
      </c>
      <c r="EB33" s="2" t="str">
        <f>'ENTRY DATA'!IS44</f>
        <v>-</v>
      </c>
      <c r="EC33" s="2" t="str">
        <f>'ENTRY DATA'!IT44</f>
        <v>-</v>
      </c>
      <c r="ED33" s="2" t="str">
        <f>'ENTRY DATA'!IU44</f>
        <v>-</v>
      </c>
      <c r="EE33" s="2" t="str">
        <f>'ENTRY DATA'!IV44</f>
        <v>-</v>
      </c>
      <c r="EF33" s="2" t="str">
        <f>'ENTRY DATA'!IW44</f>
        <v>-</v>
      </c>
      <c r="EG33" s="2" t="str">
        <f>'ENTRY DATA'!IX44</f>
        <v>-</v>
      </c>
      <c r="EH33" s="2" t="str">
        <f>'ENTRY DATA'!IY44</f>
        <v>-</v>
      </c>
      <c r="EI33" s="2" t="str">
        <f>'ENTRY DATA'!IZ44</f>
        <v>-</v>
      </c>
      <c r="EJ33" s="2">
        <f>'ENTRY DATA'!JA44</f>
        <v>0</v>
      </c>
      <c r="EK33" s="2">
        <f>'ENTRY DATA'!JB44</f>
        <v>1</v>
      </c>
    </row>
    <row r="34" spans="1:141" x14ac:dyDescent="0.25">
      <c r="A34" s="2" t="str">
        <f t="shared" ref="A34:A51" si="42">JURUSAN</f>
        <v>MIPA</v>
      </c>
      <c r="B34" s="2" t="str">
        <f t="shared" ref="B34:B51" si="43">TITIMANGSA</f>
        <v>Bandung, 10 Oktober 2022</v>
      </c>
      <c r="C34" s="2" t="str">
        <f t="shared" ref="C34:C51" si="44">NM_WALIKELAS</f>
        <v>Drs. Ahmad Fathony</v>
      </c>
      <c r="D34" s="2" t="str">
        <f t="shared" ref="D34:D51" si="45">NIP_WALIKELAS</f>
        <v>12345678 123456 1 123</v>
      </c>
      <c r="E34" s="2" t="str">
        <f t="shared" ref="E34:E51" si="46">NM_KEPSEK</f>
        <v>H. Abdul Basith, M.Pd.</v>
      </c>
      <c r="F34" s="2" t="str">
        <f t="shared" ref="F34:F51" si="47">NIP_KEPSEK</f>
        <v>12341234 123123 1 234</v>
      </c>
      <c r="G34" s="74">
        <f>'ENTRY DATA'!B45</f>
        <v>0</v>
      </c>
      <c r="H34" s="74">
        <f>'ENTRY DATA'!C45</f>
        <v>0</v>
      </c>
      <c r="I34" s="74">
        <f>'ENTRY DATA'!D45</f>
        <v>0</v>
      </c>
      <c r="J34" s="74">
        <f>'ENTRY DATA'!E45</f>
        <v>0</v>
      </c>
      <c r="K34" s="7" t="str">
        <f t="shared" ref="K34:K51" si="48">KELAS</f>
        <v>X MIPA-1</v>
      </c>
      <c r="L34" s="7">
        <f t="shared" ref="L34:L51" si="49">SEMESTER</f>
        <v>1</v>
      </c>
      <c r="M34" s="7" t="str">
        <f t="shared" si="41"/>
        <v>Ganjil</v>
      </c>
      <c r="N34" s="7" t="str">
        <f t="shared" ref="N34:N51" si="50">TH_PELAJARAN</f>
        <v>2022/2023</v>
      </c>
      <c r="O34" s="8">
        <f t="shared" ref="O34:O51" si="51">KKM_1</f>
        <v>75</v>
      </c>
      <c r="P34" s="8">
        <f t="shared" ref="P34:P51" si="52">GURU_1</f>
        <v>0</v>
      </c>
      <c r="Q34" s="8" t="str">
        <f>IFERROR(ROUND('ENTRY DATA'!N45,0),"-")</f>
        <v>-</v>
      </c>
      <c r="R34" s="8" t="str">
        <f>'ENTRY DATA'!O45</f>
        <v>-</v>
      </c>
      <c r="S34" s="8" t="str">
        <f>IFERROR(ROUND('ENTRY DATA'!P45,0),"-")</f>
        <v>-</v>
      </c>
      <c r="T34" s="8" t="str">
        <f>'ENTRY DATA'!Q45</f>
        <v>-</v>
      </c>
      <c r="U34" s="7">
        <f t="shared" ref="U34:U51" si="53">KKM_2</f>
        <v>75</v>
      </c>
      <c r="V34" s="7">
        <f t="shared" ref="V34:V51" si="54">GURU_2</f>
        <v>0</v>
      </c>
      <c r="W34" s="7" t="str">
        <f>IFERROR(ROUND('ENTRY DATA'!Z45,0),"-")</f>
        <v>-</v>
      </c>
      <c r="X34" s="7" t="str">
        <f>'ENTRY DATA'!AA45</f>
        <v>-</v>
      </c>
      <c r="Y34" s="7" t="str">
        <f>IFERROR(ROUND('ENTRY DATA'!AB45,0),"-")</f>
        <v>-</v>
      </c>
      <c r="Z34" s="7" t="str">
        <f>'ENTRY DATA'!AC45</f>
        <v>-</v>
      </c>
      <c r="AA34" s="8">
        <f t="shared" ref="AA34:AA51" si="55">KKM_3</f>
        <v>75</v>
      </c>
      <c r="AB34" s="8">
        <f t="shared" ref="AB34:AB51" si="56">GURU_3</f>
        <v>0</v>
      </c>
      <c r="AC34" s="8" t="str">
        <f>IFERROR(ROUND('ENTRY DATA'!AL45,0),"-")</f>
        <v>-</v>
      </c>
      <c r="AD34" s="8" t="str">
        <f>'ENTRY DATA'!AM45</f>
        <v>-</v>
      </c>
      <c r="AE34" s="8" t="str">
        <f>IFERROR(ROUND('ENTRY DATA'!AN45,0),"-")</f>
        <v>-</v>
      </c>
      <c r="AF34" s="8" t="str">
        <f>'ENTRY DATA'!AO45</f>
        <v>-</v>
      </c>
      <c r="AG34" s="7">
        <f t="shared" ref="AG34:AG51" si="57">KKM_4</f>
        <v>75</v>
      </c>
      <c r="AH34" s="7">
        <f t="shared" ref="AH34:AH51" si="58">GURU_4</f>
        <v>0</v>
      </c>
      <c r="AI34" s="7" t="str">
        <f>IFERROR(ROUND('ENTRY DATA'!AX45,0),"-")</f>
        <v>-</v>
      </c>
      <c r="AJ34" s="7" t="str">
        <f>'ENTRY DATA'!AY45</f>
        <v>-</v>
      </c>
      <c r="AK34" s="7" t="str">
        <f>IFERROR(ROUND('ENTRY DATA'!AZ45,0),"-")</f>
        <v>-</v>
      </c>
      <c r="AL34" s="7" t="str">
        <f>'ENTRY DATA'!BA45</f>
        <v>-</v>
      </c>
      <c r="AM34" s="8">
        <f t="shared" ref="AM34:AM51" si="59">KKM_5</f>
        <v>75</v>
      </c>
      <c r="AN34" s="8">
        <f t="shared" ref="AN34:AN51" si="60">GURU_5</f>
        <v>0</v>
      </c>
      <c r="AO34" s="8" t="str">
        <f>IFERROR(ROUND('ENTRY DATA'!BJ45,0),"-")</f>
        <v>-</v>
      </c>
      <c r="AP34" s="8" t="str">
        <f>'ENTRY DATA'!BK45</f>
        <v>-</v>
      </c>
      <c r="AQ34" s="8" t="str">
        <f>IFERROR(ROUND('ENTRY DATA'!BL45,0),"-")</f>
        <v>-</v>
      </c>
      <c r="AR34" s="8" t="str">
        <f>'ENTRY DATA'!BM45</f>
        <v>-</v>
      </c>
      <c r="AS34" s="7">
        <f t="shared" ref="AS34:AS51" si="61">KKM_6</f>
        <v>75</v>
      </c>
      <c r="AT34" s="7">
        <f t="shared" ref="AT34:AT51" si="62">GURU_6</f>
        <v>0</v>
      </c>
      <c r="AU34" s="7" t="str">
        <f>IFERROR(ROUND('ENTRY DATA'!BV45,0),"-")</f>
        <v>-</v>
      </c>
      <c r="AV34" s="7" t="str">
        <f>'ENTRY DATA'!BW45</f>
        <v>-</v>
      </c>
      <c r="AW34" s="7" t="str">
        <f>IFERROR(ROUND('ENTRY DATA'!BX45,0),"-")</f>
        <v>-</v>
      </c>
      <c r="AX34" s="7" t="str">
        <f>'ENTRY DATA'!BY45</f>
        <v>-</v>
      </c>
      <c r="AY34" s="8">
        <f t="shared" ref="AY34:AY51" si="63">KKM_7</f>
        <v>75</v>
      </c>
      <c r="AZ34" s="8">
        <f t="shared" ref="AZ34:AZ51" si="64">GURU_7</f>
        <v>0</v>
      </c>
      <c r="BA34" s="8" t="str">
        <f>IFERROR(ROUND('ENTRY DATA'!CH45,0),"-")</f>
        <v>-</v>
      </c>
      <c r="BB34" s="8" t="str">
        <f>'ENTRY DATA'!CI45</f>
        <v>-</v>
      </c>
      <c r="BC34" s="8" t="str">
        <f>IFERROR(ROUND('ENTRY DATA'!CJ45,0),"-")</f>
        <v>-</v>
      </c>
      <c r="BD34" s="8" t="str">
        <f>'ENTRY DATA'!CK45</f>
        <v>-</v>
      </c>
      <c r="BE34" s="7">
        <f t="shared" ref="BE34:BE51" si="65">KKM_8</f>
        <v>75</v>
      </c>
      <c r="BF34" s="7">
        <f t="shared" ref="BF34:BF51" si="66">GURU_8</f>
        <v>0</v>
      </c>
      <c r="BG34" s="7" t="str">
        <f>IFERROR(ROUND('ENTRY DATA'!CT45,0),"-")</f>
        <v>-</v>
      </c>
      <c r="BH34" s="7" t="str">
        <f>'ENTRY DATA'!CU45</f>
        <v>-</v>
      </c>
      <c r="BI34" s="7" t="str">
        <f>IFERROR(ROUND('ENTRY DATA'!CV45,0),"-")</f>
        <v>-</v>
      </c>
      <c r="BJ34" s="7" t="str">
        <f>'ENTRY DATA'!CW45</f>
        <v>-</v>
      </c>
      <c r="BK34" s="8">
        <f t="shared" ref="BK34:BK51" si="67">KKM_9</f>
        <v>75</v>
      </c>
      <c r="BL34" s="8">
        <f t="shared" ref="BL34:BL51" si="68">GURU_9</f>
        <v>0</v>
      </c>
      <c r="BM34" s="8" t="str">
        <f>IFERROR(ROUND('ENTRY DATA'!DF45,0),"-")</f>
        <v>-</v>
      </c>
      <c r="BN34" s="8" t="str">
        <f>'ENTRY DATA'!DG45</f>
        <v>-</v>
      </c>
      <c r="BO34" s="8" t="str">
        <f>IFERROR(ROUND('ENTRY DATA'!DH45,0),"-")</f>
        <v>-</v>
      </c>
      <c r="BP34" s="8" t="str">
        <f>'ENTRY DATA'!DI45</f>
        <v>-</v>
      </c>
      <c r="BQ34" s="7">
        <f t="shared" ref="BQ34:BQ51" si="69">KKM_10</f>
        <v>75</v>
      </c>
      <c r="BR34" s="7">
        <f t="shared" ref="BR34:BR51" si="70">GURU_10</f>
        <v>0</v>
      </c>
      <c r="BS34" s="7" t="str">
        <f>IFERROR(ROUND('ENTRY DATA'!DR45,0),"-")</f>
        <v>-</v>
      </c>
      <c r="BT34" s="7" t="str">
        <f>'ENTRY DATA'!DS45</f>
        <v>-</v>
      </c>
      <c r="BU34" s="7" t="str">
        <f>IFERROR(ROUND('ENTRY DATA'!DT45,0),"-")</f>
        <v>-</v>
      </c>
      <c r="BV34" s="7" t="str">
        <f>'ENTRY DATA'!DU45</f>
        <v>-</v>
      </c>
      <c r="BW34" s="8" t="str">
        <f>'ENTRY DATA'!$DV$8</f>
        <v>Matematika</v>
      </c>
      <c r="BX34" s="8">
        <f t="shared" ref="BX34:BX51" si="71">KKM_11</f>
        <v>75</v>
      </c>
      <c r="BY34" s="8">
        <f t="shared" ref="BY34:BY51" si="72">GURU_11</f>
        <v>0</v>
      </c>
      <c r="BZ34" s="8" t="str">
        <f>IFERROR(ROUND('ENTRY DATA'!ED45,0),"-")</f>
        <v>-</v>
      </c>
      <c r="CA34" s="8" t="str">
        <f>'ENTRY DATA'!EE45</f>
        <v>-</v>
      </c>
      <c r="CB34" s="8" t="str">
        <f>IFERROR(ROUND('ENTRY DATA'!EF45,0),"-")</f>
        <v>-</v>
      </c>
      <c r="CC34" s="8" t="str">
        <f>'ENTRY DATA'!EG45</f>
        <v>-</v>
      </c>
      <c r="CD34" s="7" t="str">
        <f>'ENTRY DATA'!$EH$8</f>
        <v>Biologi</v>
      </c>
      <c r="CE34" s="7">
        <f t="shared" ref="CE34:CE51" si="73">KKM_12</f>
        <v>75</v>
      </c>
      <c r="CF34" s="7">
        <f t="shared" ref="CF34:CF51" si="74">GURU_12</f>
        <v>0</v>
      </c>
      <c r="CG34" s="7" t="str">
        <f>IFERROR(ROUND('ENTRY DATA'!EP45,0),"-")</f>
        <v>-</v>
      </c>
      <c r="CH34" s="7" t="str">
        <f>'ENTRY DATA'!EQ45</f>
        <v>-</v>
      </c>
      <c r="CI34" s="7" t="str">
        <f>IFERROR(ROUND('ENTRY DATA'!ER45,0),"-")</f>
        <v>-</v>
      </c>
      <c r="CJ34" s="7" t="str">
        <f>'ENTRY DATA'!ES45</f>
        <v>-</v>
      </c>
      <c r="CK34" s="8" t="str">
        <f>'ENTRY DATA'!$ET$8</f>
        <v>Fisika</v>
      </c>
      <c r="CL34" s="8">
        <f t="shared" ref="CL34:CL51" si="75">KKM_13</f>
        <v>75</v>
      </c>
      <c r="CM34" s="8">
        <f t="shared" ref="CM34:CM51" si="76">GURU_13</f>
        <v>0</v>
      </c>
      <c r="CN34" s="8" t="str">
        <f>IFERROR(ROUND('ENTRY DATA'!FB45,0),"-")</f>
        <v>-</v>
      </c>
      <c r="CO34" s="8" t="str">
        <f>'ENTRY DATA'!FC45</f>
        <v>-</v>
      </c>
      <c r="CP34" s="8" t="str">
        <f>IFERROR(ROUND('ENTRY DATA'!FD45,0),"-")</f>
        <v>-</v>
      </c>
      <c r="CQ34" s="8" t="str">
        <f>'ENTRY DATA'!FE45</f>
        <v>-</v>
      </c>
      <c r="CR34" s="7" t="str">
        <f>'ENTRY DATA'!$FF$8</f>
        <v>Kimia</v>
      </c>
      <c r="CS34" s="7">
        <f t="shared" ref="CS34:CS51" si="77">KKM_14</f>
        <v>75</v>
      </c>
      <c r="CT34" s="7">
        <f t="shared" ref="CT34:CT51" si="78">GURU_14</f>
        <v>0</v>
      </c>
      <c r="CU34" s="7" t="str">
        <f>IFERROR(ROUND('ENTRY DATA'!FN45,0),"-")</f>
        <v>-</v>
      </c>
      <c r="CV34" s="7" t="str">
        <f>'ENTRY DATA'!FO45</f>
        <v>-</v>
      </c>
      <c r="CW34" s="7" t="str">
        <f>IFERROR(ROUND('ENTRY DATA'!FP45,0),"-")</f>
        <v>-</v>
      </c>
      <c r="CX34" s="7" t="str">
        <f>'ENTRY DATA'!FQ45</f>
        <v>-</v>
      </c>
      <c r="CY34" s="8" t="str">
        <f>'ENTRY DATA'!$FR$8</f>
        <v>-</v>
      </c>
      <c r="CZ34" s="8">
        <f t="shared" ref="CZ34:CZ51" si="79">KKM_15</f>
        <v>75</v>
      </c>
      <c r="DA34" s="8">
        <f t="shared" ref="DA34:DA51" si="80">GURU_15</f>
        <v>0</v>
      </c>
      <c r="DB34" s="8" t="str">
        <f>IFERROR(ROUND('ENTRY DATA'!FZ45,0),"-")</f>
        <v>-</v>
      </c>
      <c r="DC34" s="8" t="str">
        <f>'ENTRY DATA'!GA45</f>
        <v>-</v>
      </c>
      <c r="DD34" s="8" t="str">
        <f>IFERROR(ROUND('ENTRY DATA'!GB45,0),"-")</f>
        <v>-</v>
      </c>
      <c r="DE34" s="8" t="str">
        <f>'ENTRY DATA'!GC45</f>
        <v>-</v>
      </c>
      <c r="DF34" s="7" t="str">
        <f>'ENTRY DATA'!$GD$8</f>
        <v>-</v>
      </c>
      <c r="DG34" s="7">
        <f t="shared" ref="DG34:DG51" si="81">KKM_16</f>
        <v>75</v>
      </c>
      <c r="DH34" s="7">
        <f t="shared" ref="DH34:DH51" si="82">GURU_16</f>
        <v>0</v>
      </c>
      <c r="DI34" s="7" t="str">
        <f>IFERROR(ROUND('ENTRY DATA'!GL45,0),"-")</f>
        <v>-</v>
      </c>
      <c r="DJ34" s="7" t="str">
        <f>'ENTRY DATA'!GM45</f>
        <v>-</v>
      </c>
      <c r="DK34" s="7" t="str">
        <f>IFERROR(ROUND('ENTRY DATA'!GN45,0),"-")</f>
        <v>-</v>
      </c>
      <c r="DL34" s="7" t="str">
        <f>'ENTRY DATA'!GO45</f>
        <v>-</v>
      </c>
      <c r="DM34" s="16" t="str">
        <f>'ENTRY DATA'!HJ45</f>
        <v>-</v>
      </c>
      <c r="DN34" s="16" t="str">
        <f>'ENTRY DATA'!HK45</f>
        <v>-</v>
      </c>
      <c r="DO34" s="16" t="str">
        <f>'ENTRY DATA'!IF45</f>
        <v>-</v>
      </c>
      <c r="DP34" s="16" t="str">
        <f>'ENTRY DATA'!IG45</f>
        <v>-</v>
      </c>
      <c r="DQ34" s="2" t="str">
        <f>'ENTRY DATA'!IH45</f>
        <v>Pramuka</v>
      </c>
      <c r="DR34" s="2" t="str">
        <f>'ENTRY DATA'!II45</f>
        <v>B</v>
      </c>
      <c r="DS34" s="2" t="str">
        <f>'ENTRY DATA'!IJ45</f>
        <v>Aktif dalam mengikuti kegiatan</v>
      </c>
      <c r="DT34" s="2" t="str">
        <f>'ENTRY DATA'!IK45</f>
        <v>-</v>
      </c>
      <c r="DU34" s="2" t="str">
        <f>'ENTRY DATA'!IL45</f>
        <v>-</v>
      </c>
      <c r="DV34" s="2" t="str">
        <f>'ENTRY DATA'!IM45</f>
        <v>-</v>
      </c>
      <c r="DW34" s="2" t="str">
        <f>'ENTRY DATA'!IN45</f>
        <v>-</v>
      </c>
      <c r="DX34" s="2" t="str">
        <f>'ENTRY DATA'!IO45</f>
        <v>-</v>
      </c>
      <c r="DY34" s="2" t="str">
        <f>'ENTRY DATA'!IP45</f>
        <v>-</v>
      </c>
      <c r="DZ34" s="2" t="str">
        <f>'ENTRY DATA'!IQ45</f>
        <v>-</v>
      </c>
      <c r="EA34" s="2" t="str">
        <f>'ENTRY DATA'!IR45</f>
        <v>-</v>
      </c>
      <c r="EB34" s="2" t="str">
        <f>'ENTRY DATA'!IS45</f>
        <v>-</v>
      </c>
      <c r="EC34" s="2" t="str">
        <f>'ENTRY DATA'!IT45</f>
        <v>-</v>
      </c>
      <c r="ED34" s="2" t="str">
        <f>'ENTRY DATA'!IU45</f>
        <v>-</v>
      </c>
      <c r="EE34" s="2" t="str">
        <f>'ENTRY DATA'!IV45</f>
        <v>-</v>
      </c>
      <c r="EF34" s="2" t="str">
        <f>'ENTRY DATA'!IW45</f>
        <v>-</v>
      </c>
      <c r="EG34" s="2" t="str">
        <f>'ENTRY DATA'!IX45</f>
        <v>-</v>
      </c>
      <c r="EH34" s="2" t="str">
        <f>'ENTRY DATA'!IY45</f>
        <v>-</v>
      </c>
      <c r="EI34" s="2" t="str">
        <f>'ENTRY DATA'!IZ45</f>
        <v>-</v>
      </c>
      <c r="EJ34" s="2">
        <f>'ENTRY DATA'!JA45</f>
        <v>0</v>
      </c>
      <c r="EK34" s="2">
        <f>'ENTRY DATA'!JB45</f>
        <v>1</v>
      </c>
    </row>
    <row r="35" spans="1:141" x14ac:dyDescent="0.25">
      <c r="A35" s="2" t="str">
        <f t="shared" si="42"/>
        <v>MIPA</v>
      </c>
      <c r="B35" s="2" t="str">
        <f t="shared" si="43"/>
        <v>Bandung, 10 Oktober 2022</v>
      </c>
      <c r="C35" s="2" t="str">
        <f t="shared" si="44"/>
        <v>Drs. Ahmad Fathony</v>
      </c>
      <c r="D35" s="2" t="str">
        <f t="shared" si="45"/>
        <v>12345678 123456 1 123</v>
      </c>
      <c r="E35" s="2" t="str">
        <f t="shared" si="46"/>
        <v>H. Abdul Basith, M.Pd.</v>
      </c>
      <c r="F35" s="2" t="str">
        <f t="shared" si="47"/>
        <v>12341234 123123 1 234</v>
      </c>
      <c r="G35" s="74">
        <f>'ENTRY DATA'!B46</f>
        <v>0</v>
      </c>
      <c r="H35" s="74">
        <f>'ENTRY DATA'!C46</f>
        <v>0</v>
      </c>
      <c r="I35" s="74">
        <f>'ENTRY DATA'!D46</f>
        <v>0</v>
      </c>
      <c r="J35" s="74">
        <f>'ENTRY DATA'!E46</f>
        <v>0</v>
      </c>
      <c r="K35" s="7" t="str">
        <f t="shared" si="48"/>
        <v>X MIPA-1</v>
      </c>
      <c r="L35" s="7">
        <f t="shared" si="49"/>
        <v>1</v>
      </c>
      <c r="M35" s="7" t="str">
        <f t="shared" si="41"/>
        <v>Ganjil</v>
      </c>
      <c r="N35" s="7" t="str">
        <f t="shared" si="50"/>
        <v>2022/2023</v>
      </c>
      <c r="O35" s="8">
        <f t="shared" si="51"/>
        <v>75</v>
      </c>
      <c r="P35" s="8">
        <f t="shared" si="52"/>
        <v>0</v>
      </c>
      <c r="Q35" s="8" t="str">
        <f>IFERROR(ROUND('ENTRY DATA'!N46,0),"-")</f>
        <v>-</v>
      </c>
      <c r="R35" s="8" t="str">
        <f>'ENTRY DATA'!O46</f>
        <v>-</v>
      </c>
      <c r="S35" s="8" t="str">
        <f>IFERROR(ROUND('ENTRY DATA'!P46,0),"-")</f>
        <v>-</v>
      </c>
      <c r="T35" s="8" t="str">
        <f>'ENTRY DATA'!Q46</f>
        <v>-</v>
      </c>
      <c r="U35" s="7">
        <f t="shared" si="53"/>
        <v>75</v>
      </c>
      <c r="V35" s="7">
        <f t="shared" si="54"/>
        <v>0</v>
      </c>
      <c r="W35" s="7" t="str">
        <f>IFERROR(ROUND('ENTRY DATA'!Z46,0),"-")</f>
        <v>-</v>
      </c>
      <c r="X35" s="7" t="str">
        <f>'ENTRY DATA'!AA46</f>
        <v>-</v>
      </c>
      <c r="Y35" s="7" t="str">
        <f>IFERROR(ROUND('ENTRY DATA'!AB46,0),"-")</f>
        <v>-</v>
      </c>
      <c r="Z35" s="7" t="str">
        <f>'ENTRY DATA'!AC46</f>
        <v>-</v>
      </c>
      <c r="AA35" s="8">
        <f t="shared" si="55"/>
        <v>75</v>
      </c>
      <c r="AB35" s="8">
        <f t="shared" si="56"/>
        <v>0</v>
      </c>
      <c r="AC35" s="8" t="str">
        <f>IFERROR(ROUND('ENTRY DATA'!AL46,0),"-")</f>
        <v>-</v>
      </c>
      <c r="AD35" s="8" t="str">
        <f>'ENTRY DATA'!AM46</f>
        <v>-</v>
      </c>
      <c r="AE35" s="8" t="str">
        <f>IFERROR(ROUND('ENTRY DATA'!AN46,0),"-")</f>
        <v>-</v>
      </c>
      <c r="AF35" s="8" t="str">
        <f>'ENTRY DATA'!AO46</f>
        <v>-</v>
      </c>
      <c r="AG35" s="7">
        <f t="shared" si="57"/>
        <v>75</v>
      </c>
      <c r="AH35" s="7">
        <f t="shared" si="58"/>
        <v>0</v>
      </c>
      <c r="AI35" s="7" t="str">
        <f>IFERROR(ROUND('ENTRY DATA'!AX46,0),"-")</f>
        <v>-</v>
      </c>
      <c r="AJ35" s="7" t="str">
        <f>'ENTRY DATA'!AY46</f>
        <v>-</v>
      </c>
      <c r="AK35" s="7" t="str">
        <f>IFERROR(ROUND('ENTRY DATA'!AZ46,0),"-")</f>
        <v>-</v>
      </c>
      <c r="AL35" s="7" t="str">
        <f>'ENTRY DATA'!BA46</f>
        <v>-</v>
      </c>
      <c r="AM35" s="8">
        <f t="shared" si="59"/>
        <v>75</v>
      </c>
      <c r="AN35" s="8">
        <f t="shared" si="60"/>
        <v>0</v>
      </c>
      <c r="AO35" s="8" t="str">
        <f>IFERROR(ROUND('ENTRY DATA'!BJ46,0),"-")</f>
        <v>-</v>
      </c>
      <c r="AP35" s="8" t="str">
        <f>'ENTRY DATA'!BK46</f>
        <v>-</v>
      </c>
      <c r="AQ35" s="8" t="str">
        <f>IFERROR(ROUND('ENTRY DATA'!BL46,0),"-")</f>
        <v>-</v>
      </c>
      <c r="AR35" s="8" t="str">
        <f>'ENTRY DATA'!BM46</f>
        <v>-</v>
      </c>
      <c r="AS35" s="7">
        <f t="shared" si="61"/>
        <v>75</v>
      </c>
      <c r="AT35" s="7">
        <f t="shared" si="62"/>
        <v>0</v>
      </c>
      <c r="AU35" s="7" t="str">
        <f>IFERROR(ROUND('ENTRY DATA'!BV46,0),"-")</f>
        <v>-</v>
      </c>
      <c r="AV35" s="7" t="str">
        <f>'ENTRY DATA'!BW46</f>
        <v>-</v>
      </c>
      <c r="AW35" s="7" t="str">
        <f>IFERROR(ROUND('ENTRY DATA'!BX46,0),"-")</f>
        <v>-</v>
      </c>
      <c r="AX35" s="7" t="str">
        <f>'ENTRY DATA'!BY46</f>
        <v>-</v>
      </c>
      <c r="AY35" s="8">
        <f t="shared" si="63"/>
        <v>75</v>
      </c>
      <c r="AZ35" s="8">
        <f t="shared" si="64"/>
        <v>0</v>
      </c>
      <c r="BA35" s="8" t="str">
        <f>IFERROR(ROUND('ENTRY DATA'!CH46,0),"-")</f>
        <v>-</v>
      </c>
      <c r="BB35" s="8" t="str">
        <f>'ENTRY DATA'!CI46</f>
        <v>-</v>
      </c>
      <c r="BC35" s="8" t="str">
        <f>IFERROR(ROUND('ENTRY DATA'!CJ46,0),"-")</f>
        <v>-</v>
      </c>
      <c r="BD35" s="8" t="str">
        <f>'ENTRY DATA'!CK46</f>
        <v>-</v>
      </c>
      <c r="BE35" s="7">
        <f t="shared" si="65"/>
        <v>75</v>
      </c>
      <c r="BF35" s="7">
        <f t="shared" si="66"/>
        <v>0</v>
      </c>
      <c r="BG35" s="7" t="str">
        <f>IFERROR(ROUND('ENTRY DATA'!CT46,0),"-")</f>
        <v>-</v>
      </c>
      <c r="BH35" s="7" t="str">
        <f>'ENTRY DATA'!CU46</f>
        <v>-</v>
      </c>
      <c r="BI35" s="7" t="str">
        <f>IFERROR(ROUND('ENTRY DATA'!CV46,0),"-")</f>
        <v>-</v>
      </c>
      <c r="BJ35" s="7" t="str">
        <f>'ENTRY DATA'!CW46</f>
        <v>-</v>
      </c>
      <c r="BK35" s="8">
        <f t="shared" si="67"/>
        <v>75</v>
      </c>
      <c r="BL35" s="8">
        <f t="shared" si="68"/>
        <v>0</v>
      </c>
      <c r="BM35" s="8" t="str">
        <f>IFERROR(ROUND('ENTRY DATA'!DF46,0),"-")</f>
        <v>-</v>
      </c>
      <c r="BN35" s="8" t="str">
        <f>'ENTRY DATA'!DG46</f>
        <v>-</v>
      </c>
      <c r="BO35" s="8" t="str">
        <f>IFERROR(ROUND('ENTRY DATA'!DH46,0),"-")</f>
        <v>-</v>
      </c>
      <c r="BP35" s="8" t="str">
        <f>'ENTRY DATA'!DI46</f>
        <v>-</v>
      </c>
      <c r="BQ35" s="7">
        <f t="shared" si="69"/>
        <v>75</v>
      </c>
      <c r="BR35" s="7">
        <f t="shared" si="70"/>
        <v>0</v>
      </c>
      <c r="BS35" s="7" t="str">
        <f>IFERROR(ROUND('ENTRY DATA'!DR46,0),"-")</f>
        <v>-</v>
      </c>
      <c r="BT35" s="7" t="str">
        <f>'ENTRY DATA'!DS46</f>
        <v>-</v>
      </c>
      <c r="BU35" s="7" t="str">
        <f>IFERROR(ROUND('ENTRY DATA'!DT46,0),"-")</f>
        <v>-</v>
      </c>
      <c r="BV35" s="7" t="str">
        <f>'ENTRY DATA'!DU46</f>
        <v>-</v>
      </c>
      <c r="BW35" s="8" t="str">
        <f>'ENTRY DATA'!$DV$8</f>
        <v>Matematika</v>
      </c>
      <c r="BX35" s="8">
        <f t="shared" si="71"/>
        <v>75</v>
      </c>
      <c r="BY35" s="8">
        <f t="shared" si="72"/>
        <v>0</v>
      </c>
      <c r="BZ35" s="8" t="str">
        <f>IFERROR(ROUND('ENTRY DATA'!ED46,0),"-")</f>
        <v>-</v>
      </c>
      <c r="CA35" s="8" t="str">
        <f>'ENTRY DATA'!EE46</f>
        <v>-</v>
      </c>
      <c r="CB35" s="8" t="str">
        <f>IFERROR(ROUND('ENTRY DATA'!EF46,0),"-")</f>
        <v>-</v>
      </c>
      <c r="CC35" s="8" t="str">
        <f>'ENTRY DATA'!EG46</f>
        <v>-</v>
      </c>
      <c r="CD35" s="7" t="str">
        <f>'ENTRY DATA'!$EH$8</f>
        <v>Biologi</v>
      </c>
      <c r="CE35" s="7">
        <f t="shared" si="73"/>
        <v>75</v>
      </c>
      <c r="CF35" s="7">
        <f t="shared" si="74"/>
        <v>0</v>
      </c>
      <c r="CG35" s="7" t="str">
        <f>IFERROR(ROUND('ENTRY DATA'!EP46,0),"-")</f>
        <v>-</v>
      </c>
      <c r="CH35" s="7" t="str">
        <f>'ENTRY DATA'!EQ46</f>
        <v>-</v>
      </c>
      <c r="CI35" s="7" t="str">
        <f>IFERROR(ROUND('ENTRY DATA'!ER46,0),"-")</f>
        <v>-</v>
      </c>
      <c r="CJ35" s="7" t="str">
        <f>'ENTRY DATA'!ES46</f>
        <v>-</v>
      </c>
      <c r="CK35" s="8" t="str">
        <f>'ENTRY DATA'!$ET$8</f>
        <v>Fisika</v>
      </c>
      <c r="CL35" s="8">
        <f t="shared" si="75"/>
        <v>75</v>
      </c>
      <c r="CM35" s="8">
        <f t="shared" si="76"/>
        <v>0</v>
      </c>
      <c r="CN35" s="8" t="str">
        <f>IFERROR(ROUND('ENTRY DATA'!FB46,0),"-")</f>
        <v>-</v>
      </c>
      <c r="CO35" s="8" t="str">
        <f>'ENTRY DATA'!FC46</f>
        <v>-</v>
      </c>
      <c r="CP35" s="8" t="str">
        <f>IFERROR(ROUND('ENTRY DATA'!FD46,0),"-")</f>
        <v>-</v>
      </c>
      <c r="CQ35" s="8" t="str">
        <f>'ENTRY DATA'!FE46</f>
        <v>-</v>
      </c>
      <c r="CR35" s="7" t="str">
        <f>'ENTRY DATA'!$FF$8</f>
        <v>Kimia</v>
      </c>
      <c r="CS35" s="7">
        <f t="shared" si="77"/>
        <v>75</v>
      </c>
      <c r="CT35" s="7">
        <f t="shared" si="78"/>
        <v>0</v>
      </c>
      <c r="CU35" s="7" t="str">
        <f>IFERROR(ROUND('ENTRY DATA'!FN46,0),"-")</f>
        <v>-</v>
      </c>
      <c r="CV35" s="7" t="str">
        <f>'ENTRY DATA'!FO46</f>
        <v>-</v>
      </c>
      <c r="CW35" s="7" t="str">
        <f>IFERROR(ROUND('ENTRY DATA'!FP46,0),"-")</f>
        <v>-</v>
      </c>
      <c r="CX35" s="7" t="str">
        <f>'ENTRY DATA'!FQ46</f>
        <v>-</v>
      </c>
      <c r="CY35" s="8" t="str">
        <f>'ENTRY DATA'!$FR$8</f>
        <v>-</v>
      </c>
      <c r="CZ35" s="8">
        <f t="shared" si="79"/>
        <v>75</v>
      </c>
      <c r="DA35" s="8">
        <f t="shared" si="80"/>
        <v>0</v>
      </c>
      <c r="DB35" s="8" t="str">
        <f>IFERROR(ROUND('ENTRY DATA'!FZ46,0),"-")</f>
        <v>-</v>
      </c>
      <c r="DC35" s="8" t="str">
        <f>'ENTRY DATA'!GA46</f>
        <v>-</v>
      </c>
      <c r="DD35" s="8" t="str">
        <f>IFERROR(ROUND('ENTRY DATA'!GB46,0),"-")</f>
        <v>-</v>
      </c>
      <c r="DE35" s="8" t="str">
        <f>'ENTRY DATA'!GC46</f>
        <v>-</v>
      </c>
      <c r="DF35" s="7" t="str">
        <f>'ENTRY DATA'!$GD$8</f>
        <v>-</v>
      </c>
      <c r="DG35" s="7">
        <f t="shared" si="81"/>
        <v>75</v>
      </c>
      <c r="DH35" s="7">
        <f t="shared" si="82"/>
        <v>0</v>
      </c>
      <c r="DI35" s="7" t="str">
        <f>IFERROR(ROUND('ENTRY DATA'!GL46,0),"-")</f>
        <v>-</v>
      </c>
      <c r="DJ35" s="7" t="str">
        <f>'ENTRY DATA'!GM46</f>
        <v>-</v>
      </c>
      <c r="DK35" s="7" t="str">
        <f>IFERROR(ROUND('ENTRY DATA'!GN46,0),"-")</f>
        <v>-</v>
      </c>
      <c r="DL35" s="7" t="str">
        <f>'ENTRY DATA'!GO46</f>
        <v>-</v>
      </c>
      <c r="DM35" s="16" t="str">
        <f>'ENTRY DATA'!HJ46</f>
        <v>-</v>
      </c>
      <c r="DN35" s="16" t="str">
        <f>'ENTRY DATA'!HK46</f>
        <v>-</v>
      </c>
      <c r="DO35" s="16" t="str">
        <f>'ENTRY DATA'!IF46</f>
        <v>-</v>
      </c>
      <c r="DP35" s="16" t="str">
        <f>'ENTRY DATA'!IG46</f>
        <v>-</v>
      </c>
      <c r="DQ35" s="2" t="str">
        <f>'ENTRY DATA'!IH46</f>
        <v>Pramuka</v>
      </c>
      <c r="DR35" s="2" t="str">
        <f>'ENTRY DATA'!II46</f>
        <v>B</v>
      </c>
      <c r="DS35" s="2" t="str">
        <f>'ENTRY DATA'!IJ46</f>
        <v>Aktif dalam mengikuti kegiatan</v>
      </c>
      <c r="DT35" s="2" t="str">
        <f>'ENTRY DATA'!IK46</f>
        <v>-</v>
      </c>
      <c r="DU35" s="2" t="str">
        <f>'ENTRY DATA'!IL46</f>
        <v>-</v>
      </c>
      <c r="DV35" s="2" t="str">
        <f>'ENTRY DATA'!IM46</f>
        <v>-</v>
      </c>
      <c r="DW35" s="2" t="str">
        <f>'ENTRY DATA'!IN46</f>
        <v>-</v>
      </c>
      <c r="DX35" s="2" t="str">
        <f>'ENTRY DATA'!IO46</f>
        <v>-</v>
      </c>
      <c r="DY35" s="2" t="str">
        <f>'ENTRY DATA'!IP46</f>
        <v>-</v>
      </c>
      <c r="DZ35" s="2" t="str">
        <f>'ENTRY DATA'!IQ46</f>
        <v>-</v>
      </c>
      <c r="EA35" s="2" t="str">
        <f>'ENTRY DATA'!IR46</f>
        <v>-</v>
      </c>
      <c r="EB35" s="2" t="str">
        <f>'ENTRY DATA'!IS46</f>
        <v>-</v>
      </c>
      <c r="EC35" s="2" t="str">
        <f>'ENTRY DATA'!IT46</f>
        <v>-</v>
      </c>
      <c r="ED35" s="2" t="str">
        <f>'ENTRY DATA'!IU46</f>
        <v>-</v>
      </c>
      <c r="EE35" s="2" t="str">
        <f>'ENTRY DATA'!IV46</f>
        <v>-</v>
      </c>
      <c r="EF35" s="2" t="str">
        <f>'ENTRY DATA'!IW46</f>
        <v>-</v>
      </c>
      <c r="EG35" s="2" t="str">
        <f>'ENTRY DATA'!IX46</f>
        <v>-</v>
      </c>
      <c r="EH35" s="2" t="str">
        <f>'ENTRY DATA'!IY46</f>
        <v>-</v>
      </c>
      <c r="EI35" s="2" t="str">
        <f>'ENTRY DATA'!IZ46</f>
        <v>-</v>
      </c>
      <c r="EJ35" s="2">
        <f>'ENTRY DATA'!JA46</f>
        <v>0</v>
      </c>
      <c r="EK35" s="2">
        <f>'ENTRY DATA'!JB46</f>
        <v>1</v>
      </c>
    </row>
    <row r="36" spans="1:141" x14ac:dyDescent="0.25">
      <c r="A36" s="2" t="str">
        <f t="shared" si="42"/>
        <v>MIPA</v>
      </c>
      <c r="B36" s="2" t="str">
        <f t="shared" si="43"/>
        <v>Bandung, 10 Oktober 2022</v>
      </c>
      <c r="C36" s="2" t="str">
        <f t="shared" si="44"/>
        <v>Drs. Ahmad Fathony</v>
      </c>
      <c r="D36" s="2" t="str">
        <f t="shared" si="45"/>
        <v>12345678 123456 1 123</v>
      </c>
      <c r="E36" s="2" t="str">
        <f t="shared" si="46"/>
        <v>H. Abdul Basith, M.Pd.</v>
      </c>
      <c r="F36" s="2" t="str">
        <f t="shared" si="47"/>
        <v>12341234 123123 1 234</v>
      </c>
      <c r="G36" s="74">
        <f>'ENTRY DATA'!B47</f>
        <v>0</v>
      </c>
      <c r="H36" s="74">
        <f>'ENTRY DATA'!C47</f>
        <v>0</v>
      </c>
      <c r="I36" s="74">
        <f>'ENTRY DATA'!D47</f>
        <v>0</v>
      </c>
      <c r="J36" s="74">
        <f>'ENTRY DATA'!E47</f>
        <v>0</v>
      </c>
      <c r="K36" s="7" t="str">
        <f t="shared" si="48"/>
        <v>X MIPA-1</v>
      </c>
      <c r="L36" s="7">
        <f t="shared" si="49"/>
        <v>1</v>
      </c>
      <c r="M36" s="7" t="str">
        <f t="shared" si="41"/>
        <v>Ganjil</v>
      </c>
      <c r="N36" s="7" t="str">
        <f t="shared" si="50"/>
        <v>2022/2023</v>
      </c>
      <c r="O36" s="8">
        <f t="shared" si="51"/>
        <v>75</v>
      </c>
      <c r="P36" s="8">
        <f t="shared" si="52"/>
        <v>0</v>
      </c>
      <c r="Q36" s="8" t="str">
        <f>IFERROR(ROUND('ENTRY DATA'!N47,0),"-")</f>
        <v>-</v>
      </c>
      <c r="R36" s="8" t="str">
        <f>'ENTRY DATA'!O47</f>
        <v>-</v>
      </c>
      <c r="S36" s="8" t="str">
        <f>IFERROR(ROUND('ENTRY DATA'!P47,0),"-")</f>
        <v>-</v>
      </c>
      <c r="T36" s="8" t="str">
        <f>'ENTRY DATA'!Q47</f>
        <v>-</v>
      </c>
      <c r="U36" s="7">
        <f t="shared" si="53"/>
        <v>75</v>
      </c>
      <c r="V36" s="7">
        <f t="shared" si="54"/>
        <v>0</v>
      </c>
      <c r="W36" s="7" t="str">
        <f>IFERROR(ROUND('ENTRY DATA'!Z47,0),"-")</f>
        <v>-</v>
      </c>
      <c r="X36" s="7" t="str">
        <f>'ENTRY DATA'!AA47</f>
        <v>-</v>
      </c>
      <c r="Y36" s="7" t="str">
        <f>IFERROR(ROUND('ENTRY DATA'!AB47,0),"-")</f>
        <v>-</v>
      </c>
      <c r="Z36" s="7" t="str">
        <f>'ENTRY DATA'!AC47</f>
        <v>-</v>
      </c>
      <c r="AA36" s="8">
        <f t="shared" si="55"/>
        <v>75</v>
      </c>
      <c r="AB36" s="8">
        <f t="shared" si="56"/>
        <v>0</v>
      </c>
      <c r="AC36" s="8" t="str">
        <f>IFERROR(ROUND('ENTRY DATA'!AL47,0),"-")</f>
        <v>-</v>
      </c>
      <c r="AD36" s="8" t="str">
        <f>'ENTRY DATA'!AM47</f>
        <v>-</v>
      </c>
      <c r="AE36" s="8" t="str">
        <f>IFERROR(ROUND('ENTRY DATA'!AN47,0),"-")</f>
        <v>-</v>
      </c>
      <c r="AF36" s="8" t="str">
        <f>'ENTRY DATA'!AO47</f>
        <v>-</v>
      </c>
      <c r="AG36" s="7">
        <f t="shared" si="57"/>
        <v>75</v>
      </c>
      <c r="AH36" s="7">
        <f t="shared" si="58"/>
        <v>0</v>
      </c>
      <c r="AI36" s="7" t="str">
        <f>IFERROR(ROUND('ENTRY DATA'!AX47,0),"-")</f>
        <v>-</v>
      </c>
      <c r="AJ36" s="7" t="str">
        <f>'ENTRY DATA'!AY47</f>
        <v>-</v>
      </c>
      <c r="AK36" s="7" t="str">
        <f>IFERROR(ROUND('ENTRY DATA'!AZ47,0),"-")</f>
        <v>-</v>
      </c>
      <c r="AL36" s="7" t="str">
        <f>'ENTRY DATA'!BA47</f>
        <v>-</v>
      </c>
      <c r="AM36" s="8">
        <f t="shared" si="59"/>
        <v>75</v>
      </c>
      <c r="AN36" s="8">
        <f t="shared" si="60"/>
        <v>0</v>
      </c>
      <c r="AO36" s="8" t="str">
        <f>IFERROR(ROUND('ENTRY DATA'!BJ47,0),"-")</f>
        <v>-</v>
      </c>
      <c r="AP36" s="8" t="str">
        <f>'ENTRY DATA'!BK47</f>
        <v>-</v>
      </c>
      <c r="AQ36" s="8" t="str">
        <f>IFERROR(ROUND('ENTRY DATA'!BL47,0),"-")</f>
        <v>-</v>
      </c>
      <c r="AR36" s="8" t="str">
        <f>'ENTRY DATA'!BM47</f>
        <v>-</v>
      </c>
      <c r="AS36" s="7">
        <f t="shared" si="61"/>
        <v>75</v>
      </c>
      <c r="AT36" s="7">
        <f t="shared" si="62"/>
        <v>0</v>
      </c>
      <c r="AU36" s="7" t="str">
        <f>IFERROR(ROUND('ENTRY DATA'!BV47,0),"-")</f>
        <v>-</v>
      </c>
      <c r="AV36" s="7" t="str">
        <f>'ENTRY DATA'!BW47</f>
        <v>-</v>
      </c>
      <c r="AW36" s="7" t="str">
        <f>IFERROR(ROUND('ENTRY DATA'!BX47,0),"-")</f>
        <v>-</v>
      </c>
      <c r="AX36" s="7" t="str">
        <f>'ENTRY DATA'!BY47</f>
        <v>-</v>
      </c>
      <c r="AY36" s="8">
        <f t="shared" si="63"/>
        <v>75</v>
      </c>
      <c r="AZ36" s="8">
        <f t="shared" si="64"/>
        <v>0</v>
      </c>
      <c r="BA36" s="8" t="str">
        <f>IFERROR(ROUND('ENTRY DATA'!CH47,0),"-")</f>
        <v>-</v>
      </c>
      <c r="BB36" s="8" t="str">
        <f>'ENTRY DATA'!CI47</f>
        <v>-</v>
      </c>
      <c r="BC36" s="8" t="str">
        <f>IFERROR(ROUND('ENTRY DATA'!CJ47,0),"-")</f>
        <v>-</v>
      </c>
      <c r="BD36" s="8" t="str">
        <f>'ENTRY DATA'!CK47</f>
        <v>-</v>
      </c>
      <c r="BE36" s="7">
        <f t="shared" si="65"/>
        <v>75</v>
      </c>
      <c r="BF36" s="7">
        <f t="shared" si="66"/>
        <v>0</v>
      </c>
      <c r="BG36" s="7" t="str">
        <f>IFERROR(ROUND('ENTRY DATA'!CT47,0),"-")</f>
        <v>-</v>
      </c>
      <c r="BH36" s="7" t="str">
        <f>'ENTRY DATA'!CU47</f>
        <v>-</v>
      </c>
      <c r="BI36" s="7" t="str">
        <f>IFERROR(ROUND('ENTRY DATA'!CV47,0),"-")</f>
        <v>-</v>
      </c>
      <c r="BJ36" s="7" t="str">
        <f>'ENTRY DATA'!CW47</f>
        <v>-</v>
      </c>
      <c r="BK36" s="8">
        <f t="shared" si="67"/>
        <v>75</v>
      </c>
      <c r="BL36" s="8">
        <f t="shared" si="68"/>
        <v>0</v>
      </c>
      <c r="BM36" s="8" t="str">
        <f>IFERROR(ROUND('ENTRY DATA'!DF47,0),"-")</f>
        <v>-</v>
      </c>
      <c r="BN36" s="8" t="str">
        <f>'ENTRY DATA'!DG47</f>
        <v>-</v>
      </c>
      <c r="BO36" s="8" t="str">
        <f>IFERROR(ROUND('ENTRY DATA'!DH47,0),"-")</f>
        <v>-</v>
      </c>
      <c r="BP36" s="8" t="str">
        <f>'ENTRY DATA'!DI47</f>
        <v>-</v>
      </c>
      <c r="BQ36" s="7">
        <f t="shared" si="69"/>
        <v>75</v>
      </c>
      <c r="BR36" s="7">
        <f t="shared" si="70"/>
        <v>0</v>
      </c>
      <c r="BS36" s="7" t="str">
        <f>IFERROR(ROUND('ENTRY DATA'!DR47,0),"-")</f>
        <v>-</v>
      </c>
      <c r="BT36" s="7" t="str">
        <f>'ENTRY DATA'!DS47</f>
        <v>-</v>
      </c>
      <c r="BU36" s="7" t="str">
        <f>IFERROR(ROUND('ENTRY DATA'!DT47,0),"-")</f>
        <v>-</v>
      </c>
      <c r="BV36" s="7" t="str">
        <f>'ENTRY DATA'!DU47</f>
        <v>-</v>
      </c>
      <c r="BW36" s="8" t="str">
        <f>'ENTRY DATA'!$DV$8</f>
        <v>Matematika</v>
      </c>
      <c r="BX36" s="8">
        <f t="shared" si="71"/>
        <v>75</v>
      </c>
      <c r="BY36" s="8">
        <f t="shared" si="72"/>
        <v>0</v>
      </c>
      <c r="BZ36" s="8" t="str">
        <f>IFERROR(ROUND('ENTRY DATA'!ED47,0),"-")</f>
        <v>-</v>
      </c>
      <c r="CA36" s="8" t="str">
        <f>'ENTRY DATA'!EE47</f>
        <v>-</v>
      </c>
      <c r="CB36" s="8" t="str">
        <f>IFERROR(ROUND('ENTRY DATA'!EF47,0),"-")</f>
        <v>-</v>
      </c>
      <c r="CC36" s="8" t="str">
        <f>'ENTRY DATA'!EG47</f>
        <v>-</v>
      </c>
      <c r="CD36" s="7" t="str">
        <f>'ENTRY DATA'!$EH$8</f>
        <v>Biologi</v>
      </c>
      <c r="CE36" s="7">
        <f t="shared" si="73"/>
        <v>75</v>
      </c>
      <c r="CF36" s="7">
        <f t="shared" si="74"/>
        <v>0</v>
      </c>
      <c r="CG36" s="7" t="str">
        <f>IFERROR(ROUND('ENTRY DATA'!EP47,0),"-")</f>
        <v>-</v>
      </c>
      <c r="CH36" s="7" t="str">
        <f>'ENTRY DATA'!EQ47</f>
        <v>-</v>
      </c>
      <c r="CI36" s="7" t="str">
        <f>IFERROR(ROUND('ENTRY DATA'!ER47,0),"-")</f>
        <v>-</v>
      </c>
      <c r="CJ36" s="7" t="str">
        <f>'ENTRY DATA'!ES47</f>
        <v>-</v>
      </c>
      <c r="CK36" s="8" t="str">
        <f>'ENTRY DATA'!$ET$8</f>
        <v>Fisika</v>
      </c>
      <c r="CL36" s="8">
        <f t="shared" si="75"/>
        <v>75</v>
      </c>
      <c r="CM36" s="8">
        <f t="shared" si="76"/>
        <v>0</v>
      </c>
      <c r="CN36" s="8" t="str">
        <f>IFERROR(ROUND('ENTRY DATA'!FB47,0),"-")</f>
        <v>-</v>
      </c>
      <c r="CO36" s="8" t="str">
        <f>'ENTRY DATA'!FC47</f>
        <v>-</v>
      </c>
      <c r="CP36" s="8" t="str">
        <f>IFERROR(ROUND('ENTRY DATA'!FD47,0),"-")</f>
        <v>-</v>
      </c>
      <c r="CQ36" s="8" t="str">
        <f>'ENTRY DATA'!FE47</f>
        <v>-</v>
      </c>
      <c r="CR36" s="7" t="str">
        <f>'ENTRY DATA'!$FF$8</f>
        <v>Kimia</v>
      </c>
      <c r="CS36" s="7">
        <f t="shared" si="77"/>
        <v>75</v>
      </c>
      <c r="CT36" s="7">
        <f t="shared" si="78"/>
        <v>0</v>
      </c>
      <c r="CU36" s="7" t="str">
        <f>IFERROR(ROUND('ENTRY DATA'!FN47,0),"-")</f>
        <v>-</v>
      </c>
      <c r="CV36" s="7" t="str">
        <f>'ENTRY DATA'!FO47</f>
        <v>-</v>
      </c>
      <c r="CW36" s="7" t="str">
        <f>IFERROR(ROUND('ENTRY DATA'!FP47,0),"-")</f>
        <v>-</v>
      </c>
      <c r="CX36" s="7" t="str">
        <f>'ENTRY DATA'!FQ47</f>
        <v>-</v>
      </c>
      <c r="CY36" s="8" t="str">
        <f>'ENTRY DATA'!$FR$8</f>
        <v>-</v>
      </c>
      <c r="CZ36" s="8">
        <f t="shared" si="79"/>
        <v>75</v>
      </c>
      <c r="DA36" s="8">
        <f t="shared" si="80"/>
        <v>0</v>
      </c>
      <c r="DB36" s="8" t="str">
        <f>IFERROR(ROUND('ENTRY DATA'!FZ47,0),"-")</f>
        <v>-</v>
      </c>
      <c r="DC36" s="8" t="str">
        <f>'ENTRY DATA'!GA47</f>
        <v>-</v>
      </c>
      <c r="DD36" s="8" t="str">
        <f>IFERROR(ROUND('ENTRY DATA'!GB47,0),"-")</f>
        <v>-</v>
      </c>
      <c r="DE36" s="8" t="str">
        <f>'ENTRY DATA'!GC47</f>
        <v>-</v>
      </c>
      <c r="DF36" s="7" t="str">
        <f>'ENTRY DATA'!$GD$8</f>
        <v>-</v>
      </c>
      <c r="DG36" s="7">
        <f t="shared" si="81"/>
        <v>75</v>
      </c>
      <c r="DH36" s="7">
        <f t="shared" si="82"/>
        <v>0</v>
      </c>
      <c r="DI36" s="7" t="str">
        <f>IFERROR(ROUND('ENTRY DATA'!GL47,0),"-")</f>
        <v>-</v>
      </c>
      <c r="DJ36" s="7" t="str">
        <f>'ENTRY DATA'!GM47</f>
        <v>-</v>
      </c>
      <c r="DK36" s="7" t="str">
        <f>IFERROR(ROUND('ENTRY DATA'!GN47,0),"-")</f>
        <v>-</v>
      </c>
      <c r="DL36" s="7" t="str">
        <f>'ENTRY DATA'!GO47</f>
        <v>-</v>
      </c>
      <c r="DM36" s="16" t="str">
        <f>'ENTRY DATA'!HJ47</f>
        <v>-</v>
      </c>
      <c r="DN36" s="16" t="str">
        <f>'ENTRY DATA'!HK47</f>
        <v>-</v>
      </c>
      <c r="DO36" s="16" t="str">
        <f>'ENTRY DATA'!IF47</f>
        <v>-</v>
      </c>
      <c r="DP36" s="16" t="str">
        <f>'ENTRY DATA'!IG47</f>
        <v>-</v>
      </c>
      <c r="DQ36" s="2" t="str">
        <f>'ENTRY DATA'!IH47</f>
        <v>Pramuka</v>
      </c>
      <c r="DR36" s="2" t="str">
        <f>'ENTRY DATA'!II47</f>
        <v>B</v>
      </c>
      <c r="DS36" s="2" t="str">
        <f>'ENTRY DATA'!IJ47</f>
        <v>Aktif dalam mengikuti kegiatan</v>
      </c>
      <c r="DT36" s="2" t="str">
        <f>'ENTRY DATA'!IK47</f>
        <v>-</v>
      </c>
      <c r="DU36" s="2" t="str">
        <f>'ENTRY DATA'!IL47</f>
        <v>-</v>
      </c>
      <c r="DV36" s="2" t="str">
        <f>'ENTRY DATA'!IM47</f>
        <v>-</v>
      </c>
      <c r="DW36" s="2" t="str">
        <f>'ENTRY DATA'!IN47</f>
        <v>-</v>
      </c>
      <c r="DX36" s="2" t="str">
        <f>'ENTRY DATA'!IO47</f>
        <v>-</v>
      </c>
      <c r="DY36" s="2" t="str">
        <f>'ENTRY DATA'!IP47</f>
        <v>-</v>
      </c>
      <c r="DZ36" s="2" t="str">
        <f>'ENTRY DATA'!IQ47</f>
        <v>-</v>
      </c>
      <c r="EA36" s="2" t="str">
        <f>'ENTRY DATA'!IR47</f>
        <v>-</v>
      </c>
      <c r="EB36" s="2" t="str">
        <f>'ENTRY DATA'!IS47</f>
        <v>-</v>
      </c>
      <c r="EC36" s="2" t="str">
        <f>'ENTRY DATA'!IT47</f>
        <v>-</v>
      </c>
      <c r="ED36" s="2" t="str">
        <f>'ENTRY DATA'!IU47</f>
        <v>-</v>
      </c>
      <c r="EE36" s="2" t="str">
        <f>'ENTRY DATA'!IV47</f>
        <v>-</v>
      </c>
      <c r="EF36" s="2" t="str">
        <f>'ENTRY DATA'!IW47</f>
        <v>-</v>
      </c>
      <c r="EG36" s="2" t="str">
        <f>'ENTRY DATA'!IX47</f>
        <v>-</v>
      </c>
      <c r="EH36" s="2" t="str">
        <f>'ENTRY DATA'!IY47</f>
        <v>-</v>
      </c>
      <c r="EI36" s="2" t="str">
        <f>'ENTRY DATA'!IZ47</f>
        <v>-</v>
      </c>
      <c r="EJ36" s="2">
        <f>'ENTRY DATA'!JA47</f>
        <v>0</v>
      </c>
      <c r="EK36" s="2">
        <f>'ENTRY DATA'!JB47</f>
        <v>1</v>
      </c>
    </row>
    <row r="37" spans="1:141" x14ac:dyDescent="0.25">
      <c r="A37" s="2" t="str">
        <f t="shared" si="42"/>
        <v>MIPA</v>
      </c>
      <c r="B37" s="2" t="str">
        <f t="shared" si="43"/>
        <v>Bandung, 10 Oktober 2022</v>
      </c>
      <c r="C37" s="2" t="str">
        <f t="shared" si="44"/>
        <v>Drs. Ahmad Fathony</v>
      </c>
      <c r="D37" s="2" t="str">
        <f t="shared" si="45"/>
        <v>12345678 123456 1 123</v>
      </c>
      <c r="E37" s="2" t="str">
        <f t="shared" si="46"/>
        <v>H. Abdul Basith, M.Pd.</v>
      </c>
      <c r="F37" s="2" t="str">
        <f t="shared" si="47"/>
        <v>12341234 123123 1 234</v>
      </c>
      <c r="G37" s="74">
        <f>'ENTRY DATA'!B48</f>
        <v>0</v>
      </c>
      <c r="H37" s="74">
        <f>'ENTRY DATA'!C48</f>
        <v>0</v>
      </c>
      <c r="I37" s="74">
        <f>'ENTRY DATA'!D48</f>
        <v>0</v>
      </c>
      <c r="J37" s="74">
        <f>'ENTRY DATA'!E48</f>
        <v>0</v>
      </c>
      <c r="K37" s="7" t="str">
        <f t="shared" si="48"/>
        <v>X MIPA-1</v>
      </c>
      <c r="L37" s="7">
        <f t="shared" si="49"/>
        <v>1</v>
      </c>
      <c r="M37" s="7" t="str">
        <f t="shared" si="41"/>
        <v>Ganjil</v>
      </c>
      <c r="N37" s="7" t="str">
        <f t="shared" si="50"/>
        <v>2022/2023</v>
      </c>
      <c r="O37" s="8">
        <f t="shared" si="51"/>
        <v>75</v>
      </c>
      <c r="P37" s="8">
        <f t="shared" si="52"/>
        <v>0</v>
      </c>
      <c r="Q37" s="8" t="str">
        <f>IFERROR(ROUND('ENTRY DATA'!N48,0),"-")</f>
        <v>-</v>
      </c>
      <c r="R37" s="8" t="str">
        <f>'ENTRY DATA'!O48</f>
        <v>-</v>
      </c>
      <c r="S37" s="8" t="str">
        <f>IFERROR(ROUND('ENTRY DATA'!P48,0),"-")</f>
        <v>-</v>
      </c>
      <c r="T37" s="8" t="str">
        <f>'ENTRY DATA'!Q48</f>
        <v>-</v>
      </c>
      <c r="U37" s="7">
        <f t="shared" si="53"/>
        <v>75</v>
      </c>
      <c r="V37" s="7">
        <f t="shared" si="54"/>
        <v>0</v>
      </c>
      <c r="W37" s="7" t="str">
        <f>IFERROR(ROUND('ENTRY DATA'!Z48,0),"-")</f>
        <v>-</v>
      </c>
      <c r="X37" s="7" t="str">
        <f>'ENTRY DATA'!AA48</f>
        <v>-</v>
      </c>
      <c r="Y37" s="7" t="str">
        <f>IFERROR(ROUND('ENTRY DATA'!AB48,0),"-")</f>
        <v>-</v>
      </c>
      <c r="Z37" s="7" t="str">
        <f>'ENTRY DATA'!AC48</f>
        <v>-</v>
      </c>
      <c r="AA37" s="8">
        <f t="shared" si="55"/>
        <v>75</v>
      </c>
      <c r="AB37" s="8">
        <f t="shared" si="56"/>
        <v>0</v>
      </c>
      <c r="AC37" s="8" t="str">
        <f>IFERROR(ROUND('ENTRY DATA'!AL48,0),"-")</f>
        <v>-</v>
      </c>
      <c r="AD37" s="8" t="str">
        <f>'ENTRY DATA'!AM48</f>
        <v>-</v>
      </c>
      <c r="AE37" s="8" t="str">
        <f>IFERROR(ROUND('ENTRY DATA'!AN48,0),"-")</f>
        <v>-</v>
      </c>
      <c r="AF37" s="8" t="str">
        <f>'ENTRY DATA'!AO48</f>
        <v>-</v>
      </c>
      <c r="AG37" s="7">
        <f t="shared" si="57"/>
        <v>75</v>
      </c>
      <c r="AH37" s="7">
        <f t="shared" si="58"/>
        <v>0</v>
      </c>
      <c r="AI37" s="7" t="str">
        <f>IFERROR(ROUND('ENTRY DATA'!AX48,0),"-")</f>
        <v>-</v>
      </c>
      <c r="AJ37" s="7" t="str">
        <f>'ENTRY DATA'!AY48</f>
        <v>-</v>
      </c>
      <c r="AK37" s="7" t="str">
        <f>IFERROR(ROUND('ENTRY DATA'!AZ48,0),"-")</f>
        <v>-</v>
      </c>
      <c r="AL37" s="7" t="str">
        <f>'ENTRY DATA'!BA48</f>
        <v>-</v>
      </c>
      <c r="AM37" s="8">
        <f t="shared" si="59"/>
        <v>75</v>
      </c>
      <c r="AN37" s="8">
        <f t="shared" si="60"/>
        <v>0</v>
      </c>
      <c r="AO37" s="8" t="str">
        <f>IFERROR(ROUND('ENTRY DATA'!BJ48,0),"-")</f>
        <v>-</v>
      </c>
      <c r="AP37" s="8" t="str">
        <f>'ENTRY DATA'!BK48</f>
        <v>-</v>
      </c>
      <c r="AQ37" s="8" t="str">
        <f>IFERROR(ROUND('ENTRY DATA'!BL48,0),"-")</f>
        <v>-</v>
      </c>
      <c r="AR37" s="8" t="str">
        <f>'ENTRY DATA'!BM48</f>
        <v>-</v>
      </c>
      <c r="AS37" s="7">
        <f t="shared" si="61"/>
        <v>75</v>
      </c>
      <c r="AT37" s="7">
        <f t="shared" si="62"/>
        <v>0</v>
      </c>
      <c r="AU37" s="7" t="str">
        <f>IFERROR(ROUND('ENTRY DATA'!BV48,0),"-")</f>
        <v>-</v>
      </c>
      <c r="AV37" s="7" t="str">
        <f>'ENTRY DATA'!BW48</f>
        <v>-</v>
      </c>
      <c r="AW37" s="7" t="str">
        <f>IFERROR(ROUND('ENTRY DATA'!BX48,0),"-")</f>
        <v>-</v>
      </c>
      <c r="AX37" s="7" t="str">
        <f>'ENTRY DATA'!BY48</f>
        <v>-</v>
      </c>
      <c r="AY37" s="8">
        <f t="shared" si="63"/>
        <v>75</v>
      </c>
      <c r="AZ37" s="8">
        <f t="shared" si="64"/>
        <v>0</v>
      </c>
      <c r="BA37" s="8" t="str">
        <f>IFERROR(ROUND('ENTRY DATA'!CH48,0),"-")</f>
        <v>-</v>
      </c>
      <c r="BB37" s="8" t="str">
        <f>'ENTRY DATA'!CI48</f>
        <v>-</v>
      </c>
      <c r="BC37" s="8" t="str">
        <f>IFERROR(ROUND('ENTRY DATA'!CJ48,0),"-")</f>
        <v>-</v>
      </c>
      <c r="BD37" s="8" t="str">
        <f>'ENTRY DATA'!CK48</f>
        <v>-</v>
      </c>
      <c r="BE37" s="7">
        <f t="shared" si="65"/>
        <v>75</v>
      </c>
      <c r="BF37" s="7">
        <f t="shared" si="66"/>
        <v>0</v>
      </c>
      <c r="BG37" s="7" t="str">
        <f>IFERROR(ROUND('ENTRY DATA'!CT48,0),"-")</f>
        <v>-</v>
      </c>
      <c r="BH37" s="7" t="str">
        <f>'ENTRY DATA'!CU48</f>
        <v>-</v>
      </c>
      <c r="BI37" s="7" t="str">
        <f>IFERROR(ROUND('ENTRY DATA'!CV48,0),"-")</f>
        <v>-</v>
      </c>
      <c r="BJ37" s="7" t="str">
        <f>'ENTRY DATA'!CW48</f>
        <v>-</v>
      </c>
      <c r="BK37" s="8">
        <f t="shared" si="67"/>
        <v>75</v>
      </c>
      <c r="BL37" s="8">
        <f t="shared" si="68"/>
        <v>0</v>
      </c>
      <c r="BM37" s="8" t="str">
        <f>IFERROR(ROUND('ENTRY DATA'!DF48,0),"-")</f>
        <v>-</v>
      </c>
      <c r="BN37" s="8" t="str">
        <f>'ENTRY DATA'!DG48</f>
        <v>-</v>
      </c>
      <c r="BO37" s="8" t="str">
        <f>IFERROR(ROUND('ENTRY DATA'!DH48,0),"-")</f>
        <v>-</v>
      </c>
      <c r="BP37" s="8" t="str">
        <f>'ENTRY DATA'!DI48</f>
        <v>-</v>
      </c>
      <c r="BQ37" s="7">
        <f t="shared" si="69"/>
        <v>75</v>
      </c>
      <c r="BR37" s="7">
        <f t="shared" si="70"/>
        <v>0</v>
      </c>
      <c r="BS37" s="7" t="str">
        <f>IFERROR(ROUND('ENTRY DATA'!DR48,0),"-")</f>
        <v>-</v>
      </c>
      <c r="BT37" s="7" t="str">
        <f>'ENTRY DATA'!DS48</f>
        <v>-</v>
      </c>
      <c r="BU37" s="7" t="str">
        <f>IFERROR(ROUND('ENTRY DATA'!DT48,0),"-")</f>
        <v>-</v>
      </c>
      <c r="BV37" s="7" t="str">
        <f>'ENTRY DATA'!DU48</f>
        <v>-</v>
      </c>
      <c r="BW37" s="8" t="str">
        <f>'ENTRY DATA'!$DV$8</f>
        <v>Matematika</v>
      </c>
      <c r="BX37" s="8">
        <f t="shared" si="71"/>
        <v>75</v>
      </c>
      <c r="BY37" s="8">
        <f t="shared" si="72"/>
        <v>0</v>
      </c>
      <c r="BZ37" s="8" t="str">
        <f>IFERROR(ROUND('ENTRY DATA'!ED48,0),"-")</f>
        <v>-</v>
      </c>
      <c r="CA37" s="8" t="str">
        <f>'ENTRY DATA'!EE48</f>
        <v>-</v>
      </c>
      <c r="CB37" s="8" t="str">
        <f>IFERROR(ROUND('ENTRY DATA'!EF48,0),"-")</f>
        <v>-</v>
      </c>
      <c r="CC37" s="8" t="str">
        <f>'ENTRY DATA'!EG48</f>
        <v>-</v>
      </c>
      <c r="CD37" s="7" t="str">
        <f>'ENTRY DATA'!$EH$8</f>
        <v>Biologi</v>
      </c>
      <c r="CE37" s="7">
        <f t="shared" si="73"/>
        <v>75</v>
      </c>
      <c r="CF37" s="7">
        <f t="shared" si="74"/>
        <v>0</v>
      </c>
      <c r="CG37" s="7" t="str">
        <f>IFERROR(ROUND('ENTRY DATA'!EP48,0),"-")</f>
        <v>-</v>
      </c>
      <c r="CH37" s="7" t="str">
        <f>'ENTRY DATA'!EQ48</f>
        <v>-</v>
      </c>
      <c r="CI37" s="7" t="str">
        <f>IFERROR(ROUND('ENTRY DATA'!ER48,0),"-")</f>
        <v>-</v>
      </c>
      <c r="CJ37" s="7" t="str">
        <f>'ENTRY DATA'!ES48</f>
        <v>-</v>
      </c>
      <c r="CK37" s="8" t="str">
        <f>'ENTRY DATA'!$ET$8</f>
        <v>Fisika</v>
      </c>
      <c r="CL37" s="8">
        <f t="shared" si="75"/>
        <v>75</v>
      </c>
      <c r="CM37" s="8">
        <f t="shared" si="76"/>
        <v>0</v>
      </c>
      <c r="CN37" s="8" t="str">
        <f>IFERROR(ROUND('ENTRY DATA'!FB48,0),"-")</f>
        <v>-</v>
      </c>
      <c r="CO37" s="8" t="str">
        <f>'ENTRY DATA'!FC48</f>
        <v>-</v>
      </c>
      <c r="CP37" s="8" t="str">
        <f>IFERROR(ROUND('ENTRY DATA'!FD48,0),"-")</f>
        <v>-</v>
      </c>
      <c r="CQ37" s="8" t="str">
        <f>'ENTRY DATA'!FE48</f>
        <v>-</v>
      </c>
      <c r="CR37" s="7" t="str">
        <f>'ENTRY DATA'!$FF$8</f>
        <v>Kimia</v>
      </c>
      <c r="CS37" s="7">
        <f t="shared" si="77"/>
        <v>75</v>
      </c>
      <c r="CT37" s="7">
        <f t="shared" si="78"/>
        <v>0</v>
      </c>
      <c r="CU37" s="7" t="str">
        <f>IFERROR(ROUND('ENTRY DATA'!FN48,0),"-")</f>
        <v>-</v>
      </c>
      <c r="CV37" s="7" t="str">
        <f>'ENTRY DATA'!FO48</f>
        <v>-</v>
      </c>
      <c r="CW37" s="7" t="str">
        <f>IFERROR(ROUND('ENTRY DATA'!FP48,0),"-")</f>
        <v>-</v>
      </c>
      <c r="CX37" s="7" t="str">
        <f>'ENTRY DATA'!FQ48</f>
        <v>-</v>
      </c>
      <c r="CY37" s="8" t="str">
        <f>'ENTRY DATA'!$FR$8</f>
        <v>-</v>
      </c>
      <c r="CZ37" s="8">
        <f t="shared" si="79"/>
        <v>75</v>
      </c>
      <c r="DA37" s="8">
        <f t="shared" si="80"/>
        <v>0</v>
      </c>
      <c r="DB37" s="8" t="str">
        <f>IFERROR(ROUND('ENTRY DATA'!FZ48,0),"-")</f>
        <v>-</v>
      </c>
      <c r="DC37" s="8" t="str">
        <f>'ENTRY DATA'!GA48</f>
        <v>-</v>
      </c>
      <c r="DD37" s="8" t="str">
        <f>IFERROR(ROUND('ENTRY DATA'!GB48,0),"-")</f>
        <v>-</v>
      </c>
      <c r="DE37" s="8" t="str">
        <f>'ENTRY DATA'!GC48</f>
        <v>-</v>
      </c>
      <c r="DF37" s="7" t="str">
        <f>'ENTRY DATA'!$GD$8</f>
        <v>-</v>
      </c>
      <c r="DG37" s="7">
        <f t="shared" si="81"/>
        <v>75</v>
      </c>
      <c r="DH37" s="7">
        <f t="shared" si="82"/>
        <v>0</v>
      </c>
      <c r="DI37" s="7" t="str">
        <f>IFERROR(ROUND('ENTRY DATA'!GL48,0),"-")</f>
        <v>-</v>
      </c>
      <c r="DJ37" s="7" t="str">
        <f>'ENTRY DATA'!GM48</f>
        <v>-</v>
      </c>
      <c r="DK37" s="7" t="str">
        <f>IFERROR(ROUND('ENTRY DATA'!GN48,0),"-")</f>
        <v>-</v>
      </c>
      <c r="DL37" s="7" t="str">
        <f>'ENTRY DATA'!GO48</f>
        <v>-</v>
      </c>
      <c r="DM37" s="16" t="str">
        <f>'ENTRY DATA'!HJ48</f>
        <v>-</v>
      </c>
      <c r="DN37" s="16" t="str">
        <f>'ENTRY DATA'!HK48</f>
        <v>-</v>
      </c>
      <c r="DO37" s="16" t="str">
        <f>'ENTRY DATA'!IF48</f>
        <v>-</v>
      </c>
      <c r="DP37" s="16" t="str">
        <f>'ENTRY DATA'!IG48</f>
        <v>-</v>
      </c>
      <c r="DQ37" s="2" t="str">
        <f>'ENTRY DATA'!IH48</f>
        <v>Pramuka</v>
      </c>
      <c r="DR37" s="2" t="str">
        <f>'ENTRY DATA'!II48</f>
        <v>B</v>
      </c>
      <c r="DS37" s="2" t="str">
        <f>'ENTRY DATA'!IJ48</f>
        <v>Aktif dalam mengikuti kegiatan</v>
      </c>
      <c r="DT37" s="2" t="str">
        <f>'ENTRY DATA'!IK48</f>
        <v>-</v>
      </c>
      <c r="DU37" s="2" t="str">
        <f>'ENTRY DATA'!IL48</f>
        <v>-</v>
      </c>
      <c r="DV37" s="2" t="str">
        <f>'ENTRY DATA'!IM48</f>
        <v>-</v>
      </c>
      <c r="DW37" s="2" t="str">
        <f>'ENTRY DATA'!IN48</f>
        <v>-</v>
      </c>
      <c r="DX37" s="2" t="str">
        <f>'ENTRY DATA'!IO48</f>
        <v>-</v>
      </c>
      <c r="DY37" s="2" t="str">
        <f>'ENTRY DATA'!IP48</f>
        <v>-</v>
      </c>
      <c r="DZ37" s="2" t="str">
        <f>'ENTRY DATA'!IQ48</f>
        <v>-</v>
      </c>
      <c r="EA37" s="2" t="str">
        <f>'ENTRY DATA'!IR48</f>
        <v>-</v>
      </c>
      <c r="EB37" s="2" t="str">
        <f>'ENTRY DATA'!IS48</f>
        <v>-</v>
      </c>
      <c r="EC37" s="2" t="str">
        <f>'ENTRY DATA'!IT48</f>
        <v>-</v>
      </c>
      <c r="ED37" s="2" t="str">
        <f>'ENTRY DATA'!IU48</f>
        <v>-</v>
      </c>
      <c r="EE37" s="2" t="str">
        <f>'ENTRY DATA'!IV48</f>
        <v>-</v>
      </c>
      <c r="EF37" s="2" t="str">
        <f>'ENTRY DATA'!IW48</f>
        <v>-</v>
      </c>
      <c r="EG37" s="2" t="str">
        <f>'ENTRY DATA'!IX48</f>
        <v>-</v>
      </c>
      <c r="EH37" s="2" t="str">
        <f>'ENTRY DATA'!IY48</f>
        <v>-</v>
      </c>
      <c r="EI37" s="2" t="str">
        <f>'ENTRY DATA'!IZ48</f>
        <v>-</v>
      </c>
      <c r="EJ37" s="2">
        <f>'ENTRY DATA'!JA48</f>
        <v>0</v>
      </c>
      <c r="EK37" s="2">
        <f>'ENTRY DATA'!JB48</f>
        <v>1</v>
      </c>
    </row>
    <row r="38" spans="1:141" x14ac:dyDescent="0.25">
      <c r="A38" s="2" t="str">
        <f t="shared" si="42"/>
        <v>MIPA</v>
      </c>
      <c r="B38" s="2" t="str">
        <f t="shared" si="43"/>
        <v>Bandung, 10 Oktober 2022</v>
      </c>
      <c r="C38" s="2" t="str">
        <f t="shared" si="44"/>
        <v>Drs. Ahmad Fathony</v>
      </c>
      <c r="D38" s="2" t="str">
        <f t="shared" si="45"/>
        <v>12345678 123456 1 123</v>
      </c>
      <c r="E38" s="2" t="str">
        <f t="shared" si="46"/>
        <v>H. Abdul Basith, M.Pd.</v>
      </c>
      <c r="F38" s="2" t="str">
        <f t="shared" si="47"/>
        <v>12341234 123123 1 234</v>
      </c>
      <c r="G38" s="74">
        <f>'ENTRY DATA'!B49</f>
        <v>0</v>
      </c>
      <c r="H38" s="74">
        <f>'ENTRY DATA'!C49</f>
        <v>0</v>
      </c>
      <c r="I38" s="74">
        <f>'ENTRY DATA'!D49</f>
        <v>0</v>
      </c>
      <c r="J38" s="74">
        <f>'ENTRY DATA'!E49</f>
        <v>0</v>
      </c>
      <c r="K38" s="7" t="str">
        <f t="shared" si="48"/>
        <v>X MIPA-1</v>
      </c>
      <c r="L38" s="7">
        <f t="shared" si="49"/>
        <v>1</v>
      </c>
      <c r="M38" s="7" t="str">
        <f t="shared" si="41"/>
        <v>Ganjil</v>
      </c>
      <c r="N38" s="7" t="str">
        <f t="shared" si="50"/>
        <v>2022/2023</v>
      </c>
      <c r="O38" s="8">
        <f t="shared" si="51"/>
        <v>75</v>
      </c>
      <c r="P38" s="8">
        <f t="shared" si="52"/>
        <v>0</v>
      </c>
      <c r="Q38" s="8" t="str">
        <f>IFERROR(ROUND('ENTRY DATA'!N49,0),"-")</f>
        <v>-</v>
      </c>
      <c r="R38" s="8" t="str">
        <f>'ENTRY DATA'!O49</f>
        <v>-</v>
      </c>
      <c r="S38" s="8" t="str">
        <f>IFERROR(ROUND('ENTRY DATA'!P49,0),"-")</f>
        <v>-</v>
      </c>
      <c r="T38" s="8" t="str">
        <f>'ENTRY DATA'!Q49</f>
        <v>-</v>
      </c>
      <c r="U38" s="7">
        <f t="shared" si="53"/>
        <v>75</v>
      </c>
      <c r="V38" s="7">
        <f t="shared" si="54"/>
        <v>0</v>
      </c>
      <c r="W38" s="7" t="str">
        <f>IFERROR(ROUND('ENTRY DATA'!Z49,0),"-")</f>
        <v>-</v>
      </c>
      <c r="X38" s="7" t="str">
        <f>'ENTRY DATA'!AA49</f>
        <v>-</v>
      </c>
      <c r="Y38" s="7" t="str">
        <f>IFERROR(ROUND('ENTRY DATA'!AB49,0),"-")</f>
        <v>-</v>
      </c>
      <c r="Z38" s="7" t="str">
        <f>'ENTRY DATA'!AC49</f>
        <v>-</v>
      </c>
      <c r="AA38" s="8">
        <f t="shared" si="55"/>
        <v>75</v>
      </c>
      <c r="AB38" s="8">
        <f t="shared" si="56"/>
        <v>0</v>
      </c>
      <c r="AC38" s="8" t="str">
        <f>IFERROR(ROUND('ENTRY DATA'!AL49,0),"-")</f>
        <v>-</v>
      </c>
      <c r="AD38" s="8" t="str">
        <f>'ENTRY DATA'!AM49</f>
        <v>-</v>
      </c>
      <c r="AE38" s="8" t="str">
        <f>IFERROR(ROUND('ENTRY DATA'!AN49,0),"-")</f>
        <v>-</v>
      </c>
      <c r="AF38" s="8" t="str">
        <f>'ENTRY DATA'!AO49</f>
        <v>-</v>
      </c>
      <c r="AG38" s="7">
        <f t="shared" si="57"/>
        <v>75</v>
      </c>
      <c r="AH38" s="7">
        <f t="shared" si="58"/>
        <v>0</v>
      </c>
      <c r="AI38" s="7" t="str">
        <f>IFERROR(ROUND('ENTRY DATA'!AX49,0),"-")</f>
        <v>-</v>
      </c>
      <c r="AJ38" s="7" t="str">
        <f>'ENTRY DATA'!AY49</f>
        <v>-</v>
      </c>
      <c r="AK38" s="7" t="str">
        <f>IFERROR(ROUND('ENTRY DATA'!AZ49,0),"-")</f>
        <v>-</v>
      </c>
      <c r="AL38" s="7" t="str">
        <f>'ENTRY DATA'!BA49</f>
        <v>-</v>
      </c>
      <c r="AM38" s="8">
        <f t="shared" si="59"/>
        <v>75</v>
      </c>
      <c r="AN38" s="8">
        <f t="shared" si="60"/>
        <v>0</v>
      </c>
      <c r="AO38" s="8" t="str">
        <f>IFERROR(ROUND('ENTRY DATA'!BJ49,0),"-")</f>
        <v>-</v>
      </c>
      <c r="AP38" s="8" t="str">
        <f>'ENTRY DATA'!BK49</f>
        <v>-</v>
      </c>
      <c r="AQ38" s="8" t="str">
        <f>IFERROR(ROUND('ENTRY DATA'!BL49,0),"-")</f>
        <v>-</v>
      </c>
      <c r="AR38" s="8" t="str">
        <f>'ENTRY DATA'!BM49</f>
        <v>-</v>
      </c>
      <c r="AS38" s="7">
        <f t="shared" si="61"/>
        <v>75</v>
      </c>
      <c r="AT38" s="7">
        <f t="shared" si="62"/>
        <v>0</v>
      </c>
      <c r="AU38" s="7" t="str">
        <f>IFERROR(ROUND('ENTRY DATA'!BV49,0),"-")</f>
        <v>-</v>
      </c>
      <c r="AV38" s="7" t="str">
        <f>'ENTRY DATA'!BW49</f>
        <v>-</v>
      </c>
      <c r="AW38" s="7" t="str">
        <f>IFERROR(ROUND('ENTRY DATA'!BX49,0),"-")</f>
        <v>-</v>
      </c>
      <c r="AX38" s="7" t="str">
        <f>'ENTRY DATA'!BY49</f>
        <v>-</v>
      </c>
      <c r="AY38" s="8">
        <f t="shared" si="63"/>
        <v>75</v>
      </c>
      <c r="AZ38" s="8">
        <f t="shared" si="64"/>
        <v>0</v>
      </c>
      <c r="BA38" s="8" t="str">
        <f>IFERROR(ROUND('ENTRY DATA'!CH49,0),"-")</f>
        <v>-</v>
      </c>
      <c r="BB38" s="8" t="str">
        <f>'ENTRY DATA'!CI49</f>
        <v>-</v>
      </c>
      <c r="BC38" s="8" t="str">
        <f>IFERROR(ROUND('ENTRY DATA'!CJ49,0),"-")</f>
        <v>-</v>
      </c>
      <c r="BD38" s="8" t="str">
        <f>'ENTRY DATA'!CK49</f>
        <v>-</v>
      </c>
      <c r="BE38" s="7">
        <f t="shared" si="65"/>
        <v>75</v>
      </c>
      <c r="BF38" s="7">
        <f t="shared" si="66"/>
        <v>0</v>
      </c>
      <c r="BG38" s="7" t="str">
        <f>IFERROR(ROUND('ENTRY DATA'!CT49,0),"-")</f>
        <v>-</v>
      </c>
      <c r="BH38" s="7" t="str">
        <f>'ENTRY DATA'!CU49</f>
        <v>-</v>
      </c>
      <c r="BI38" s="7" t="str">
        <f>IFERROR(ROUND('ENTRY DATA'!CV49,0),"-")</f>
        <v>-</v>
      </c>
      <c r="BJ38" s="7" t="str">
        <f>'ENTRY DATA'!CW49</f>
        <v>-</v>
      </c>
      <c r="BK38" s="8">
        <f t="shared" si="67"/>
        <v>75</v>
      </c>
      <c r="BL38" s="8">
        <f t="shared" si="68"/>
        <v>0</v>
      </c>
      <c r="BM38" s="8" t="str">
        <f>IFERROR(ROUND('ENTRY DATA'!DF49,0),"-")</f>
        <v>-</v>
      </c>
      <c r="BN38" s="8" t="str">
        <f>'ENTRY DATA'!DG49</f>
        <v>-</v>
      </c>
      <c r="BO38" s="8" t="str">
        <f>IFERROR(ROUND('ENTRY DATA'!DH49,0),"-")</f>
        <v>-</v>
      </c>
      <c r="BP38" s="8" t="str">
        <f>'ENTRY DATA'!DI49</f>
        <v>-</v>
      </c>
      <c r="BQ38" s="7">
        <f t="shared" si="69"/>
        <v>75</v>
      </c>
      <c r="BR38" s="7">
        <f t="shared" si="70"/>
        <v>0</v>
      </c>
      <c r="BS38" s="7" t="str">
        <f>IFERROR(ROUND('ENTRY DATA'!DR49,0),"-")</f>
        <v>-</v>
      </c>
      <c r="BT38" s="7" t="str">
        <f>'ENTRY DATA'!DS49</f>
        <v>-</v>
      </c>
      <c r="BU38" s="7" t="str">
        <f>IFERROR(ROUND('ENTRY DATA'!DT49,0),"-")</f>
        <v>-</v>
      </c>
      <c r="BV38" s="7" t="str">
        <f>'ENTRY DATA'!DU49</f>
        <v>-</v>
      </c>
      <c r="BW38" s="8" t="str">
        <f>'ENTRY DATA'!$DV$8</f>
        <v>Matematika</v>
      </c>
      <c r="BX38" s="8">
        <f t="shared" si="71"/>
        <v>75</v>
      </c>
      <c r="BY38" s="8">
        <f t="shared" si="72"/>
        <v>0</v>
      </c>
      <c r="BZ38" s="8" t="str">
        <f>IFERROR(ROUND('ENTRY DATA'!ED49,0),"-")</f>
        <v>-</v>
      </c>
      <c r="CA38" s="8" t="str">
        <f>'ENTRY DATA'!EE49</f>
        <v>-</v>
      </c>
      <c r="CB38" s="8" t="str">
        <f>IFERROR(ROUND('ENTRY DATA'!EF49,0),"-")</f>
        <v>-</v>
      </c>
      <c r="CC38" s="8" t="str">
        <f>'ENTRY DATA'!EG49</f>
        <v>-</v>
      </c>
      <c r="CD38" s="7" t="str">
        <f>'ENTRY DATA'!$EH$8</f>
        <v>Biologi</v>
      </c>
      <c r="CE38" s="7">
        <f t="shared" si="73"/>
        <v>75</v>
      </c>
      <c r="CF38" s="7">
        <f t="shared" si="74"/>
        <v>0</v>
      </c>
      <c r="CG38" s="7" t="str">
        <f>IFERROR(ROUND('ENTRY DATA'!EP49,0),"-")</f>
        <v>-</v>
      </c>
      <c r="CH38" s="7" t="str">
        <f>'ENTRY DATA'!EQ49</f>
        <v>-</v>
      </c>
      <c r="CI38" s="7" t="str">
        <f>IFERROR(ROUND('ENTRY DATA'!ER49,0),"-")</f>
        <v>-</v>
      </c>
      <c r="CJ38" s="7" t="str">
        <f>'ENTRY DATA'!ES49</f>
        <v>-</v>
      </c>
      <c r="CK38" s="8" t="str">
        <f>'ENTRY DATA'!$ET$8</f>
        <v>Fisika</v>
      </c>
      <c r="CL38" s="8">
        <f t="shared" si="75"/>
        <v>75</v>
      </c>
      <c r="CM38" s="8">
        <f t="shared" si="76"/>
        <v>0</v>
      </c>
      <c r="CN38" s="8" t="str">
        <f>IFERROR(ROUND('ENTRY DATA'!FB49,0),"-")</f>
        <v>-</v>
      </c>
      <c r="CO38" s="8" t="str">
        <f>'ENTRY DATA'!FC49</f>
        <v>-</v>
      </c>
      <c r="CP38" s="8" t="str">
        <f>IFERROR(ROUND('ENTRY DATA'!FD49,0),"-")</f>
        <v>-</v>
      </c>
      <c r="CQ38" s="8" t="str">
        <f>'ENTRY DATA'!FE49</f>
        <v>-</v>
      </c>
      <c r="CR38" s="7" t="str">
        <f>'ENTRY DATA'!$FF$8</f>
        <v>Kimia</v>
      </c>
      <c r="CS38" s="7">
        <f t="shared" si="77"/>
        <v>75</v>
      </c>
      <c r="CT38" s="7">
        <f t="shared" si="78"/>
        <v>0</v>
      </c>
      <c r="CU38" s="7" t="str">
        <f>IFERROR(ROUND('ENTRY DATA'!FN49,0),"-")</f>
        <v>-</v>
      </c>
      <c r="CV38" s="7" t="str">
        <f>'ENTRY DATA'!FO49</f>
        <v>-</v>
      </c>
      <c r="CW38" s="7" t="str">
        <f>IFERROR(ROUND('ENTRY DATA'!FP49,0),"-")</f>
        <v>-</v>
      </c>
      <c r="CX38" s="7" t="str">
        <f>'ENTRY DATA'!FQ49</f>
        <v>-</v>
      </c>
      <c r="CY38" s="8" t="str">
        <f>'ENTRY DATA'!$FR$8</f>
        <v>-</v>
      </c>
      <c r="CZ38" s="8">
        <f t="shared" si="79"/>
        <v>75</v>
      </c>
      <c r="DA38" s="8">
        <f t="shared" si="80"/>
        <v>0</v>
      </c>
      <c r="DB38" s="8" t="str">
        <f>IFERROR(ROUND('ENTRY DATA'!FZ49,0),"-")</f>
        <v>-</v>
      </c>
      <c r="DC38" s="8" t="str">
        <f>'ENTRY DATA'!GA49</f>
        <v>-</v>
      </c>
      <c r="DD38" s="8" t="str">
        <f>IFERROR(ROUND('ENTRY DATA'!GB49,0),"-")</f>
        <v>-</v>
      </c>
      <c r="DE38" s="8" t="str">
        <f>'ENTRY DATA'!GC49</f>
        <v>-</v>
      </c>
      <c r="DF38" s="7" t="str">
        <f>'ENTRY DATA'!$GD$8</f>
        <v>-</v>
      </c>
      <c r="DG38" s="7">
        <f t="shared" si="81"/>
        <v>75</v>
      </c>
      <c r="DH38" s="7">
        <f t="shared" si="82"/>
        <v>0</v>
      </c>
      <c r="DI38" s="7" t="str">
        <f>IFERROR(ROUND('ENTRY DATA'!GL49,0),"-")</f>
        <v>-</v>
      </c>
      <c r="DJ38" s="7" t="str">
        <f>'ENTRY DATA'!GM49</f>
        <v>-</v>
      </c>
      <c r="DK38" s="7" t="str">
        <f>IFERROR(ROUND('ENTRY DATA'!GN49,0),"-")</f>
        <v>-</v>
      </c>
      <c r="DL38" s="7" t="str">
        <f>'ENTRY DATA'!GO49</f>
        <v>-</v>
      </c>
      <c r="DM38" s="16" t="str">
        <f>'ENTRY DATA'!HJ49</f>
        <v>-</v>
      </c>
      <c r="DN38" s="16" t="str">
        <f>'ENTRY DATA'!HK49</f>
        <v>-</v>
      </c>
      <c r="DO38" s="16" t="str">
        <f>'ENTRY DATA'!IF49</f>
        <v>-</v>
      </c>
      <c r="DP38" s="16" t="str">
        <f>'ENTRY DATA'!IG49</f>
        <v>-</v>
      </c>
      <c r="DQ38" s="2" t="str">
        <f>'ENTRY DATA'!IH49</f>
        <v>Pramuka</v>
      </c>
      <c r="DR38" s="2" t="str">
        <f>'ENTRY DATA'!II49</f>
        <v>B</v>
      </c>
      <c r="DS38" s="2" t="str">
        <f>'ENTRY DATA'!IJ49</f>
        <v>Aktif dalam mengikuti kegiatan</v>
      </c>
      <c r="DT38" s="2" t="str">
        <f>'ENTRY DATA'!IK49</f>
        <v>-</v>
      </c>
      <c r="DU38" s="2" t="str">
        <f>'ENTRY DATA'!IL49</f>
        <v>-</v>
      </c>
      <c r="DV38" s="2" t="str">
        <f>'ENTRY DATA'!IM49</f>
        <v>-</v>
      </c>
      <c r="DW38" s="2" t="str">
        <f>'ENTRY DATA'!IN49</f>
        <v>-</v>
      </c>
      <c r="DX38" s="2" t="str">
        <f>'ENTRY DATA'!IO49</f>
        <v>-</v>
      </c>
      <c r="DY38" s="2" t="str">
        <f>'ENTRY DATA'!IP49</f>
        <v>-</v>
      </c>
      <c r="DZ38" s="2" t="str">
        <f>'ENTRY DATA'!IQ49</f>
        <v>-</v>
      </c>
      <c r="EA38" s="2" t="str">
        <f>'ENTRY DATA'!IR49</f>
        <v>-</v>
      </c>
      <c r="EB38" s="2" t="str">
        <f>'ENTRY DATA'!IS49</f>
        <v>-</v>
      </c>
      <c r="EC38" s="2" t="str">
        <f>'ENTRY DATA'!IT49</f>
        <v>-</v>
      </c>
      <c r="ED38" s="2" t="str">
        <f>'ENTRY DATA'!IU49</f>
        <v>-</v>
      </c>
      <c r="EE38" s="2" t="str">
        <f>'ENTRY DATA'!IV49</f>
        <v>-</v>
      </c>
      <c r="EF38" s="2" t="str">
        <f>'ENTRY DATA'!IW49</f>
        <v>-</v>
      </c>
      <c r="EG38" s="2" t="str">
        <f>'ENTRY DATA'!IX49</f>
        <v>-</v>
      </c>
      <c r="EH38" s="2" t="str">
        <f>'ENTRY DATA'!IY49</f>
        <v>-</v>
      </c>
      <c r="EI38" s="2" t="str">
        <f>'ENTRY DATA'!IZ49</f>
        <v>-</v>
      </c>
      <c r="EJ38" s="2">
        <f>'ENTRY DATA'!JA49</f>
        <v>0</v>
      </c>
      <c r="EK38" s="2">
        <f>'ENTRY DATA'!JB49</f>
        <v>1</v>
      </c>
    </row>
    <row r="39" spans="1:141" x14ac:dyDescent="0.25">
      <c r="A39" s="2" t="str">
        <f t="shared" si="42"/>
        <v>MIPA</v>
      </c>
      <c r="B39" s="2" t="str">
        <f t="shared" si="43"/>
        <v>Bandung, 10 Oktober 2022</v>
      </c>
      <c r="C39" s="2" t="str">
        <f t="shared" si="44"/>
        <v>Drs. Ahmad Fathony</v>
      </c>
      <c r="D39" s="2" t="str">
        <f t="shared" si="45"/>
        <v>12345678 123456 1 123</v>
      </c>
      <c r="E39" s="2" t="str">
        <f t="shared" si="46"/>
        <v>H. Abdul Basith, M.Pd.</v>
      </c>
      <c r="F39" s="2" t="str">
        <f t="shared" si="47"/>
        <v>12341234 123123 1 234</v>
      </c>
      <c r="G39" s="74">
        <f>'ENTRY DATA'!B50</f>
        <v>0</v>
      </c>
      <c r="H39" s="74">
        <f>'ENTRY DATA'!C50</f>
        <v>0</v>
      </c>
      <c r="I39" s="74">
        <f>'ENTRY DATA'!D50</f>
        <v>0</v>
      </c>
      <c r="J39" s="74">
        <f>'ENTRY DATA'!E50</f>
        <v>0</v>
      </c>
      <c r="K39" s="7" t="str">
        <f t="shared" si="48"/>
        <v>X MIPA-1</v>
      </c>
      <c r="L39" s="7">
        <f t="shared" si="49"/>
        <v>1</v>
      </c>
      <c r="M39" s="7" t="str">
        <f t="shared" si="41"/>
        <v>Ganjil</v>
      </c>
      <c r="N39" s="7" t="str">
        <f t="shared" si="50"/>
        <v>2022/2023</v>
      </c>
      <c r="O39" s="8">
        <f t="shared" si="51"/>
        <v>75</v>
      </c>
      <c r="P39" s="8">
        <f t="shared" si="52"/>
        <v>0</v>
      </c>
      <c r="Q39" s="8" t="str">
        <f>IFERROR(ROUND('ENTRY DATA'!N50,0),"-")</f>
        <v>-</v>
      </c>
      <c r="R39" s="8" t="str">
        <f>'ENTRY DATA'!O50</f>
        <v>-</v>
      </c>
      <c r="S39" s="8" t="str">
        <f>IFERROR(ROUND('ENTRY DATA'!P50,0),"-")</f>
        <v>-</v>
      </c>
      <c r="T39" s="8" t="str">
        <f>'ENTRY DATA'!Q50</f>
        <v>-</v>
      </c>
      <c r="U39" s="7">
        <f t="shared" si="53"/>
        <v>75</v>
      </c>
      <c r="V39" s="7">
        <f t="shared" si="54"/>
        <v>0</v>
      </c>
      <c r="W39" s="7" t="str">
        <f>IFERROR(ROUND('ENTRY DATA'!Z50,0),"-")</f>
        <v>-</v>
      </c>
      <c r="X39" s="7" t="str">
        <f>'ENTRY DATA'!AA50</f>
        <v>-</v>
      </c>
      <c r="Y39" s="7" t="str">
        <f>IFERROR(ROUND('ENTRY DATA'!AB50,0),"-")</f>
        <v>-</v>
      </c>
      <c r="Z39" s="7" t="str">
        <f>'ENTRY DATA'!AC50</f>
        <v>-</v>
      </c>
      <c r="AA39" s="8">
        <f t="shared" si="55"/>
        <v>75</v>
      </c>
      <c r="AB39" s="8">
        <f t="shared" si="56"/>
        <v>0</v>
      </c>
      <c r="AC39" s="8" t="str">
        <f>IFERROR(ROUND('ENTRY DATA'!AL50,0),"-")</f>
        <v>-</v>
      </c>
      <c r="AD39" s="8" t="str">
        <f>'ENTRY DATA'!AM50</f>
        <v>-</v>
      </c>
      <c r="AE39" s="8" t="str">
        <f>IFERROR(ROUND('ENTRY DATA'!AN50,0),"-")</f>
        <v>-</v>
      </c>
      <c r="AF39" s="8" t="str">
        <f>'ENTRY DATA'!AO50</f>
        <v>-</v>
      </c>
      <c r="AG39" s="7">
        <f t="shared" si="57"/>
        <v>75</v>
      </c>
      <c r="AH39" s="7">
        <f t="shared" si="58"/>
        <v>0</v>
      </c>
      <c r="AI39" s="7" t="str">
        <f>IFERROR(ROUND('ENTRY DATA'!AX50,0),"-")</f>
        <v>-</v>
      </c>
      <c r="AJ39" s="7" t="str">
        <f>'ENTRY DATA'!AY50</f>
        <v>-</v>
      </c>
      <c r="AK39" s="7" t="str">
        <f>IFERROR(ROUND('ENTRY DATA'!AZ50,0),"-")</f>
        <v>-</v>
      </c>
      <c r="AL39" s="7" t="str">
        <f>'ENTRY DATA'!BA50</f>
        <v>-</v>
      </c>
      <c r="AM39" s="8">
        <f t="shared" si="59"/>
        <v>75</v>
      </c>
      <c r="AN39" s="8">
        <f t="shared" si="60"/>
        <v>0</v>
      </c>
      <c r="AO39" s="8" t="str">
        <f>IFERROR(ROUND('ENTRY DATA'!BJ50,0),"-")</f>
        <v>-</v>
      </c>
      <c r="AP39" s="8" t="str">
        <f>'ENTRY DATA'!BK50</f>
        <v>-</v>
      </c>
      <c r="AQ39" s="8" t="str">
        <f>IFERROR(ROUND('ENTRY DATA'!BL50,0),"-")</f>
        <v>-</v>
      </c>
      <c r="AR39" s="8" t="str">
        <f>'ENTRY DATA'!BM50</f>
        <v>-</v>
      </c>
      <c r="AS39" s="7">
        <f t="shared" si="61"/>
        <v>75</v>
      </c>
      <c r="AT39" s="7">
        <f t="shared" si="62"/>
        <v>0</v>
      </c>
      <c r="AU39" s="7" t="str">
        <f>IFERROR(ROUND('ENTRY DATA'!BV50,0),"-")</f>
        <v>-</v>
      </c>
      <c r="AV39" s="7" t="str">
        <f>'ENTRY DATA'!BW50</f>
        <v>-</v>
      </c>
      <c r="AW39" s="7" t="str">
        <f>IFERROR(ROUND('ENTRY DATA'!BX50,0),"-")</f>
        <v>-</v>
      </c>
      <c r="AX39" s="7" t="str">
        <f>'ENTRY DATA'!BY50</f>
        <v>-</v>
      </c>
      <c r="AY39" s="8">
        <f t="shared" si="63"/>
        <v>75</v>
      </c>
      <c r="AZ39" s="8">
        <f t="shared" si="64"/>
        <v>0</v>
      </c>
      <c r="BA39" s="8" t="str">
        <f>IFERROR(ROUND('ENTRY DATA'!CH50,0),"-")</f>
        <v>-</v>
      </c>
      <c r="BB39" s="8" t="str">
        <f>'ENTRY DATA'!CI50</f>
        <v>-</v>
      </c>
      <c r="BC39" s="8" t="str">
        <f>IFERROR(ROUND('ENTRY DATA'!CJ50,0),"-")</f>
        <v>-</v>
      </c>
      <c r="BD39" s="8" t="str">
        <f>'ENTRY DATA'!CK50</f>
        <v>-</v>
      </c>
      <c r="BE39" s="7">
        <f t="shared" si="65"/>
        <v>75</v>
      </c>
      <c r="BF39" s="7">
        <f t="shared" si="66"/>
        <v>0</v>
      </c>
      <c r="BG39" s="7" t="str">
        <f>IFERROR(ROUND('ENTRY DATA'!CT50,0),"-")</f>
        <v>-</v>
      </c>
      <c r="BH39" s="7" t="str">
        <f>'ENTRY DATA'!CU50</f>
        <v>-</v>
      </c>
      <c r="BI39" s="7" t="str">
        <f>IFERROR(ROUND('ENTRY DATA'!CV50,0),"-")</f>
        <v>-</v>
      </c>
      <c r="BJ39" s="7" t="str">
        <f>'ENTRY DATA'!CW50</f>
        <v>-</v>
      </c>
      <c r="BK39" s="8">
        <f t="shared" si="67"/>
        <v>75</v>
      </c>
      <c r="BL39" s="8">
        <f t="shared" si="68"/>
        <v>0</v>
      </c>
      <c r="BM39" s="8" t="str">
        <f>IFERROR(ROUND('ENTRY DATA'!DF50,0),"-")</f>
        <v>-</v>
      </c>
      <c r="BN39" s="8" t="str">
        <f>'ENTRY DATA'!DG50</f>
        <v>-</v>
      </c>
      <c r="BO39" s="8" t="str">
        <f>IFERROR(ROUND('ENTRY DATA'!DH50,0),"-")</f>
        <v>-</v>
      </c>
      <c r="BP39" s="8" t="str">
        <f>'ENTRY DATA'!DI50</f>
        <v>-</v>
      </c>
      <c r="BQ39" s="7">
        <f t="shared" si="69"/>
        <v>75</v>
      </c>
      <c r="BR39" s="7">
        <f t="shared" si="70"/>
        <v>0</v>
      </c>
      <c r="BS39" s="7" t="str">
        <f>IFERROR(ROUND('ENTRY DATA'!DR50,0),"-")</f>
        <v>-</v>
      </c>
      <c r="BT39" s="7" t="str">
        <f>'ENTRY DATA'!DS50</f>
        <v>-</v>
      </c>
      <c r="BU39" s="7" t="str">
        <f>IFERROR(ROUND('ENTRY DATA'!DT50,0),"-")</f>
        <v>-</v>
      </c>
      <c r="BV39" s="7" t="str">
        <f>'ENTRY DATA'!DU50</f>
        <v>-</v>
      </c>
      <c r="BW39" s="8" t="str">
        <f>'ENTRY DATA'!$DV$8</f>
        <v>Matematika</v>
      </c>
      <c r="BX39" s="8">
        <f t="shared" si="71"/>
        <v>75</v>
      </c>
      <c r="BY39" s="8">
        <f t="shared" si="72"/>
        <v>0</v>
      </c>
      <c r="BZ39" s="8" t="str">
        <f>IFERROR(ROUND('ENTRY DATA'!ED50,0),"-")</f>
        <v>-</v>
      </c>
      <c r="CA39" s="8" t="str">
        <f>'ENTRY DATA'!EE50</f>
        <v>-</v>
      </c>
      <c r="CB39" s="8" t="str">
        <f>IFERROR(ROUND('ENTRY DATA'!EF50,0),"-")</f>
        <v>-</v>
      </c>
      <c r="CC39" s="8" t="str">
        <f>'ENTRY DATA'!EG50</f>
        <v>-</v>
      </c>
      <c r="CD39" s="7" t="str">
        <f>'ENTRY DATA'!$EH$8</f>
        <v>Biologi</v>
      </c>
      <c r="CE39" s="7">
        <f t="shared" si="73"/>
        <v>75</v>
      </c>
      <c r="CF39" s="7">
        <f t="shared" si="74"/>
        <v>0</v>
      </c>
      <c r="CG39" s="7" t="str">
        <f>IFERROR(ROUND('ENTRY DATA'!EP50,0),"-")</f>
        <v>-</v>
      </c>
      <c r="CH39" s="7" t="str">
        <f>'ENTRY DATA'!EQ50</f>
        <v>-</v>
      </c>
      <c r="CI39" s="7" t="str">
        <f>IFERROR(ROUND('ENTRY DATA'!ER50,0),"-")</f>
        <v>-</v>
      </c>
      <c r="CJ39" s="7" t="str">
        <f>'ENTRY DATA'!ES50</f>
        <v>-</v>
      </c>
      <c r="CK39" s="8" t="str">
        <f>'ENTRY DATA'!$ET$8</f>
        <v>Fisika</v>
      </c>
      <c r="CL39" s="8">
        <f t="shared" si="75"/>
        <v>75</v>
      </c>
      <c r="CM39" s="8">
        <f t="shared" si="76"/>
        <v>0</v>
      </c>
      <c r="CN39" s="8" t="str">
        <f>IFERROR(ROUND('ENTRY DATA'!FB50,0),"-")</f>
        <v>-</v>
      </c>
      <c r="CO39" s="8" t="str">
        <f>'ENTRY DATA'!FC50</f>
        <v>-</v>
      </c>
      <c r="CP39" s="8" t="str">
        <f>IFERROR(ROUND('ENTRY DATA'!FD50,0),"-")</f>
        <v>-</v>
      </c>
      <c r="CQ39" s="8" t="str">
        <f>'ENTRY DATA'!FE50</f>
        <v>-</v>
      </c>
      <c r="CR39" s="7" t="str">
        <f>'ENTRY DATA'!$FF$8</f>
        <v>Kimia</v>
      </c>
      <c r="CS39" s="7">
        <f t="shared" si="77"/>
        <v>75</v>
      </c>
      <c r="CT39" s="7">
        <f t="shared" si="78"/>
        <v>0</v>
      </c>
      <c r="CU39" s="7" t="str">
        <f>IFERROR(ROUND('ENTRY DATA'!FN50,0),"-")</f>
        <v>-</v>
      </c>
      <c r="CV39" s="7" t="str">
        <f>'ENTRY DATA'!FO50</f>
        <v>-</v>
      </c>
      <c r="CW39" s="7" t="str">
        <f>IFERROR(ROUND('ENTRY DATA'!FP50,0),"-")</f>
        <v>-</v>
      </c>
      <c r="CX39" s="7" t="str">
        <f>'ENTRY DATA'!FQ50</f>
        <v>-</v>
      </c>
      <c r="CY39" s="8" t="str">
        <f>'ENTRY DATA'!$FR$8</f>
        <v>-</v>
      </c>
      <c r="CZ39" s="8">
        <f t="shared" si="79"/>
        <v>75</v>
      </c>
      <c r="DA39" s="8">
        <f t="shared" si="80"/>
        <v>0</v>
      </c>
      <c r="DB39" s="8" t="str">
        <f>IFERROR(ROUND('ENTRY DATA'!FZ50,0),"-")</f>
        <v>-</v>
      </c>
      <c r="DC39" s="8" t="str">
        <f>'ENTRY DATA'!GA50</f>
        <v>-</v>
      </c>
      <c r="DD39" s="8" t="str">
        <f>IFERROR(ROUND('ENTRY DATA'!GB50,0),"-")</f>
        <v>-</v>
      </c>
      <c r="DE39" s="8" t="str">
        <f>'ENTRY DATA'!GC50</f>
        <v>-</v>
      </c>
      <c r="DF39" s="7" t="str">
        <f>'ENTRY DATA'!$GD$8</f>
        <v>-</v>
      </c>
      <c r="DG39" s="7">
        <f t="shared" si="81"/>
        <v>75</v>
      </c>
      <c r="DH39" s="7">
        <f t="shared" si="82"/>
        <v>0</v>
      </c>
      <c r="DI39" s="7" t="str">
        <f>IFERROR(ROUND('ENTRY DATA'!GL50,0),"-")</f>
        <v>-</v>
      </c>
      <c r="DJ39" s="7" t="str">
        <f>'ENTRY DATA'!GM50</f>
        <v>-</v>
      </c>
      <c r="DK39" s="7" t="str">
        <f>IFERROR(ROUND('ENTRY DATA'!GN50,0),"-")</f>
        <v>-</v>
      </c>
      <c r="DL39" s="7" t="str">
        <f>'ENTRY DATA'!GO50</f>
        <v>-</v>
      </c>
      <c r="DM39" s="16" t="str">
        <f>'ENTRY DATA'!HJ50</f>
        <v>-</v>
      </c>
      <c r="DN39" s="16" t="str">
        <f>'ENTRY DATA'!HK50</f>
        <v>-</v>
      </c>
      <c r="DO39" s="16" t="str">
        <f>'ENTRY DATA'!IF50</f>
        <v>-</v>
      </c>
      <c r="DP39" s="16" t="str">
        <f>'ENTRY DATA'!IG50</f>
        <v>-</v>
      </c>
      <c r="DQ39" s="2" t="str">
        <f>'ENTRY DATA'!IH50</f>
        <v>Pramuka</v>
      </c>
      <c r="DR39" s="2" t="str">
        <f>'ENTRY DATA'!II50</f>
        <v>B</v>
      </c>
      <c r="DS39" s="2" t="str">
        <f>'ENTRY DATA'!IJ50</f>
        <v>Aktif dalam mengikuti kegiatan</v>
      </c>
      <c r="DT39" s="2" t="str">
        <f>'ENTRY DATA'!IK50</f>
        <v>-</v>
      </c>
      <c r="DU39" s="2" t="str">
        <f>'ENTRY DATA'!IL50</f>
        <v>-</v>
      </c>
      <c r="DV39" s="2" t="str">
        <f>'ENTRY DATA'!IM50</f>
        <v>-</v>
      </c>
      <c r="DW39" s="2" t="str">
        <f>'ENTRY DATA'!IN50</f>
        <v>-</v>
      </c>
      <c r="DX39" s="2" t="str">
        <f>'ENTRY DATA'!IO50</f>
        <v>-</v>
      </c>
      <c r="DY39" s="2" t="str">
        <f>'ENTRY DATA'!IP50</f>
        <v>-</v>
      </c>
      <c r="DZ39" s="2" t="str">
        <f>'ENTRY DATA'!IQ50</f>
        <v>-</v>
      </c>
      <c r="EA39" s="2" t="str">
        <f>'ENTRY DATA'!IR50</f>
        <v>-</v>
      </c>
      <c r="EB39" s="2" t="str">
        <f>'ENTRY DATA'!IS50</f>
        <v>-</v>
      </c>
      <c r="EC39" s="2" t="str">
        <f>'ENTRY DATA'!IT50</f>
        <v>-</v>
      </c>
      <c r="ED39" s="2" t="str">
        <f>'ENTRY DATA'!IU50</f>
        <v>-</v>
      </c>
      <c r="EE39" s="2" t="str">
        <f>'ENTRY DATA'!IV50</f>
        <v>-</v>
      </c>
      <c r="EF39" s="2" t="str">
        <f>'ENTRY DATA'!IW50</f>
        <v>-</v>
      </c>
      <c r="EG39" s="2" t="str">
        <f>'ENTRY DATA'!IX50</f>
        <v>-</v>
      </c>
      <c r="EH39" s="2" t="str">
        <f>'ENTRY DATA'!IY50</f>
        <v>-</v>
      </c>
      <c r="EI39" s="2" t="str">
        <f>'ENTRY DATA'!IZ50</f>
        <v>-</v>
      </c>
      <c r="EJ39" s="2">
        <f>'ENTRY DATA'!JA50</f>
        <v>0</v>
      </c>
      <c r="EK39" s="2">
        <f>'ENTRY DATA'!JB50</f>
        <v>1</v>
      </c>
    </row>
    <row r="40" spans="1:141" x14ac:dyDescent="0.25">
      <c r="A40" s="2" t="str">
        <f t="shared" si="42"/>
        <v>MIPA</v>
      </c>
      <c r="B40" s="2" t="str">
        <f t="shared" si="43"/>
        <v>Bandung, 10 Oktober 2022</v>
      </c>
      <c r="C40" s="2" t="str">
        <f t="shared" si="44"/>
        <v>Drs. Ahmad Fathony</v>
      </c>
      <c r="D40" s="2" t="str">
        <f t="shared" si="45"/>
        <v>12345678 123456 1 123</v>
      </c>
      <c r="E40" s="2" t="str">
        <f t="shared" si="46"/>
        <v>H. Abdul Basith, M.Pd.</v>
      </c>
      <c r="F40" s="2" t="str">
        <f t="shared" si="47"/>
        <v>12341234 123123 1 234</v>
      </c>
      <c r="G40" s="74">
        <f>'ENTRY DATA'!B51</f>
        <v>0</v>
      </c>
      <c r="H40" s="74">
        <f>'ENTRY DATA'!C51</f>
        <v>0</v>
      </c>
      <c r="I40" s="74">
        <f>'ENTRY DATA'!D51</f>
        <v>0</v>
      </c>
      <c r="J40" s="74">
        <f>'ENTRY DATA'!E51</f>
        <v>0</v>
      </c>
      <c r="K40" s="7" t="str">
        <f t="shared" si="48"/>
        <v>X MIPA-1</v>
      </c>
      <c r="L40" s="7">
        <f t="shared" si="49"/>
        <v>1</v>
      </c>
      <c r="M40" s="7" t="str">
        <f t="shared" si="41"/>
        <v>Ganjil</v>
      </c>
      <c r="N40" s="7" t="str">
        <f t="shared" si="50"/>
        <v>2022/2023</v>
      </c>
      <c r="O40" s="8">
        <f t="shared" si="51"/>
        <v>75</v>
      </c>
      <c r="P40" s="8">
        <f t="shared" si="52"/>
        <v>0</v>
      </c>
      <c r="Q40" s="8" t="str">
        <f>IFERROR(ROUND('ENTRY DATA'!N51,0),"-")</f>
        <v>-</v>
      </c>
      <c r="R40" s="8" t="str">
        <f>'ENTRY DATA'!O51</f>
        <v>-</v>
      </c>
      <c r="S40" s="8" t="str">
        <f>IFERROR(ROUND('ENTRY DATA'!P51,0),"-")</f>
        <v>-</v>
      </c>
      <c r="T40" s="8" t="str">
        <f>'ENTRY DATA'!Q51</f>
        <v>-</v>
      </c>
      <c r="U40" s="7">
        <f t="shared" si="53"/>
        <v>75</v>
      </c>
      <c r="V40" s="7">
        <f t="shared" si="54"/>
        <v>0</v>
      </c>
      <c r="W40" s="7" t="str">
        <f>IFERROR(ROUND('ENTRY DATA'!Z51,0),"-")</f>
        <v>-</v>
      </c>
      <c r="X40" s="7" t="str">
        <f>'ENTRY DATA'!AA51</f>
        <v>-</v>
      </c>
      <c r="Y40" s="7" t="str">
        <f>IFERROR(ROUND('ENTRY DATA'!AB51,0),"-")</f>
        <v>-</v>
      </c>
      <c r="Z40" s="7" t="str">
        <f>'ENTRY DATA'!AC51</f>
        <v>-</v>
      </c>
      <c r="AA40" s="8">
        <f t="shared" si="55"/>
        <v>75</v>
      </c>
      <c r="AB40" s="8">
        <f t="shared" si="56"/>
        <v>0</v>
      </c>
      <c r="AC40" s="8" t="str">
        <f>IFERROR(ROUND('ENTRY DATA'!AL51,0),"-")</f>
        <v>-</v>
      </c>
      <c r="AD40" s="8" t="str">
        <f>'ENTRY DATA'!AM51</f>
        <v>-</v>
      </c>
      <c r="AE40" s="8" t="str">
        <f>IFERROR(ROUND('ENTRY DATA'!AN51,0),"-")</f>
        <v>-</v>
      </c>
      <c r="AF40" s="8" t="str">
        <f>'ENTRY DATA'!AO51</f>
        <v>-</v>
      </c>
      <c r="AG40" s="7">
        <f t="shared" si="57"/>
        <v>75</v>
      </c>
      <c r="AH40" s="7">
        <f t="shared" si="58"/>
        <v>0</v>
      </c>
      <c r="AI40" s="7" t="str">
        <f>IFERROR(ROUND('ENTRY DATA'!AX51,0),"-")</f>
        <v>-</v>
      </c>
      <c r="AJ40" s="7" t="str">
        <f>'ENTRY DATA'!AY51</f>
        <v>-</v>
      </c>
      <c r="AK40" s="7" t="str">
        <f>IFERROR(ROUND('ENTRY DATA'!AZ51,0),"-")</f>
        <v>-</v>
      </c>
      <c r="AL40" s="7" t="str">
        <f>'ENTRY DATA'!BA51</f>
        <v>-</v>
      </c>
      <c r="AM40" s="8">
        <f t="shared" si="59"/>
        <v>75</v>
      </c>
      <c r="AN40" s="8">
        <f t="shared" si="60"/>
        <v>0</v>
      </c>
      <c r="AO40" s="8" t="str">
        <f>IFERROR(ROUND('ENTRY DATA'!BJ51,0),"-")</f>
        <v>-</v>
      </c>
      <c r="AP40" s="8" t="str">
        <f>'ENTRY DATA'!BK51</f>
        <v>-</v>
      </c>
      <c r="AQ40" s="8" t="str">
        <f>IFERROR(ROUND('ENTRY DATA'!BL51,0),"-")</f>
        <v>-</v>
      </c>
      <c r="AR40" s="8" t="str">
        <f>'ENTRY DATA'!BM51</f>
        <v>-</v>
      </c>
      <c r="AS40" s="7">
        <f t="shared" si="61"/>
        <v>75</v>
      </c>
      <c r="AT40" s="7">
        <f t="shared" si="62"/>
        <v>0</v>
      </c>
      <c r="AU40" s="7" t="str">
        <f>IFERROR(ROUND('ENTRY DATA'!BV51,0),"-")</f>
        <v>-</v>
      </c>
      <c r="AV40" s="7" t="str">
        <f>'ENTRY DATA'!BW51</f>
        <v>-</v>
      </c>
      <c r="AW40" s="7" t="str">
        <f>IFERROR(ROUND('ENTRY DATA'!BX51,0),"-")</f>
        <v>-</v>
      </c>
      <c r="AX40" s="7" t="str">
        <f>'ENTRY DATA'!BY51</f>
        <v>-</v>
      </c>
      <c r="AY40" s="8">
        <f t="shared" si="63"/>
        <v>75</v>
      </c>
      <c r="AZ40" s="8">
        <f t="shared" si="64"/>
        <v>0</v>
      </c>
      <c r="BA40" s="8" t="str">
        <f>IFERROR(ROUND('ENTRY DATA'!CH51,0),"-")</f>
        <v>-</v>
      </c>
      <c r="BB40" s="8" t="str">
        <f>'ENTRY DATA'!CI51</f>
        <v>-</v>
      </c>
      <c r="BC40" s="8" t="str">
        <f>IFERROR(ROUND('ENTRY DATA'!CJ51,0),"-")</f>
        <v>-</v>
      </c>
      <c r="BD40" s="8" t="str">
        <f>'ENTRY DATA'!CK51</f>
        <v>-</v>
      </c>
      <c r="BE40" s="7">
        <f t="shared" si="65"/>
        <v>75</v>
      </c>
      <c r="BF40" s="7">
        <f t="shared" si="66"/>
        <v>0</v>
      </c>
      <c r="BG40" s="7" t="str">
        <f>IFERROR(ROUND('ENTRY DATA'!CT51,0),"-")</f>
        <v>-</v>
      </c>
      <c r="BH40" s="7" t="str">
        <f>'ENTRY DATA'!CU51</f>
        <v>-</v>
      </c>
      <c r="BI40" s="7" t="str">
        <f>IFERROR(ROUND('ENTRY DATA'!CV51,0),"-")</f>
        <v>-</v>
      </c>
      <c r="BJ40" s="7" t="str">
        <f>'ENTRY DATA'!CW51</f>
        <v>-</v>
      </c>
      <c r="BK40" s="8">
        <f t="shared" si="67"/>
        <v>75</v>
      </c>
      <c r="BL40" s="8">
        <f t="shared" si="68"/>
        <v>0</v>
      </c>
      <c r="BM40" s="8" t="str">
        <f>IFERROR(ROUND('ENTRY DATA'!DF51,0),"-")</f>
        <v>-</v>
      </c>
      <c r="BN40" s="8" t="str">
        <f>'ENTRY DATA'!DG51</f>
        <v>-</v>
      </c>
      <c r="BO40" s="8" t="str">
        <f>IFERROR(ROUND('ENTRY DATA'!DH51,0),"-")</f>
        <v>-</v>
      </c>
      <c r="BP40" s="8" t="str">
        <f>'ENTRY DATA'!DI51</f>
        <v>-</v>
      </c>
      <c r="BQ40" s="7">
        <f t="shared" si="69"/>
        <v>75</v>
      </c>
      <c r="BR40" s="7">
        <f t="shared" si="70"/>
        <v>0</v>
      </c>
      <c r="BS40" s="7" t="str">
        <f>IFERROR(ROUND('ENTRY DATA'!DR51,0),"-")</f>
        <v>-</v>
      </c>
      <c r="BT40" s="7" t="str">
        <f>'ENTRY DATA'!DS51</f>
        <v>-</v>
      </c>
      <c r="BU40" s="7" t="str">
        <f>IFERROR(ROUND('ENTRY DATA'!DT51,0),"-")</f>
        <v>-</v>
      </c>
      <c r="BV40" s="7" t="str">
        <f>'ENTRY DATA'!DU51</f>
        <v>-</v>
      </c>
      <c r="BW40" s="8" t="str">
        <f>'ENTRY DATA'!$DV$8</f>
        <v>Matematika</v>
      </c>
      <c r="BX40" s="8">
        <f t="shared" si="71"/>
        <v>75</v>
      </c>
      <c r="BY40" s="8">
        <f t="shared" si="72"/>
        <v>0</v>
      </c>
      <c r="BZ40" s="8" t="str">
        <f>IFERROR(ROUND('ENTRY DATA'!ED51,0),"-")</f>
        <v>-</v>
      </c>
      <c r="CA40" s="8" t="str">
        <f>'ENTRY DATA'!EE51</f>
        <v>-</v>
      </c>
      <c r="CB40" s="8" t="str">
        <f>IFERROR(ROUND('ENTRY DATA'!EF51,0),"-")</f>
        <v>-</v>
      </c>
      <c r="CC40" s="8" t="str">
        <f>'ENTRY DATA'!EG51</f>
        <v>-</v>
      </c>
      <c r="CD40" s="7" t="str">
        <f>'ENTRY DATA'!$EH$8</f>
        <v>Biologi</v>
      </c>
      <c r="CE40" s="7">
        <f t="shared" si="73"/>
        <v>75</v>
      </c>
      <c r="CF40" s="7">
        <f t="shared" si="74"/>
        <v>0</v>
      </c>
      <c r="CG40" s="7" t="str">
        <f>IFERROR(ROUND('ENTRY DATA'!EP51,0),"-")</f>
        <v>-</v>
      </c>
      <c r="CH40" s="7" t="str">
        <f>'ENTRY DATA'!EQ51</f>
        <v>-</v>
      </c>
      <c r="CI40" s="7" t="str">
        <f>IFERROR(ROUND('ENTRY DATA'!ER51,0),"-")</f>
        <v>-</v>
      </c>
      <c r="CJ40" s="7" t="str">
        <f>'ENTRY DATA'!ES51</f>
        <v>-</v>
      </c>
      <c r="CK40" s="8" t="str">
        <f>'ENTRY DATA'!$ET$8</f>
        <v>Fisika</v>
      </c>
      <c r="CL40" s="8">
        <f t="shared" si="75"/>
        <v>75</v>
      </c>
      <c r="CM40" s="8">
        <f t="shared" si="76"/>
        <v>0</v>
      </c>
      <c r="CN40" s="8" t="str">
        <f>IFERROR(ROUND('ENTRY DATA'!FB51,0),"-")</f>
        <v>-</v>
      </c>
      <c r="CO40" s="8" t="str">
        <f>'ENTRY DATA'!FC51</f>
        <v>-</v>
      </c>
      <c r="CP40" s="8" t="str">
        <f>IFERROR(ROUND('ENTRY DATA'!FD51,0),"-")</f>
        <v>-</v>
      </c>
      <c r="CQ40" s="8" t="str">
        <f>'ENTRY DATA'!FE51</f>
        <v>-</v>
      </c>
      <c r="CR40" s="7" t="str">
        <f>'ENTRY DATA'!$FF$8</f>
        <v>Kimia</v>
      </c>
      <c r="CS40" s="7">
        <f t="shared" si="77"/>
        <v>75</v>
      </c>
      <c r="CT40" s="7">
        <f t="shared" si="78"/>
        <v>0</v>
      </c>
      <c r="CU40" s="7" t="str">
        <f>IFERROR(ROUND('ENTRY DATA'!FN51,0),"-")</f>
        <v>-</v>
      </c>
      <c r="CV40" s="7" t="str">
        <f>'ENTRY DATA'!FO51</f>
        <v>-</v>
      </c>
      <c r="CW40" s="7" t="str">
        <f>IFERROR(ROUND('ENTRY DATA'!FP51,0),"-")</f>
        <v>-</v>
      </c>
      <c r="CX40" s="7" t="str">
        <f>'ENTRY DATA'!FQ51</f>
        <v>-</v>
      </c>
      <c r="CY40" s="8" t="str">
        <f>'ENTRY DATA'!$FR$8</f>
        <v>-</v>
      </c>
      <c r="CZ40" s="8">
        <f t="shared" si="79"/>
        <v>75</v>
      </c>
      <c r="DA40" s="8">
        <f t="shared" si="80"/>
        <v>0</v>
      </c>
      <c r="DB40" s="8" t="str">
        <f>IFERROR(ROUND('ENTRY DATA'!FZ51,0),"-")</f>
        <v>-</v>
      </c>
      <c r="DC40" s="8" t="str">
        <f>'ENTRY DATA'!GA51</f>
        <v>-</v>
      </c>
      <c r="DD40" s="8" t="str">
        <f>IFERROR(ROUND('ENTRY DATA'!GB51,0),"-")</f>
        <v>-</v>
      </c>
      <c r="DE40" s="8" t="str">
        <f>'ENTRY DATA'!GC51</f>
        <v>-</v>
      </c>
      <c r="DF40" s="7" t="str">
        <f>'ENTRY DATA'!$GD$8</f>
        <v>-</v>
      </c>
      <c r="DG40" s="7">
        <f t="shared" si="81"/>
        <v>75</v>
      </c>
      <c r="DH40" s="7">
        <f t="shared" si="82"/>
        <v>0</v>
      </c>
      <c r="DI40" s="7" t="str">
        <f>IFERROR(ROUND('ENTRY DATA'!GL51,0),"-")</f>
        <v>-</v>
      </c>
      <c r="DJ40" s="7" t="str">
        <f>'ENTRY DATA'!GM51</f>
        <v>-</v>
      </c>
      <c r="DK40" s="7" t="str">
        <f>IFERROR(ROUND('ENTRY DATA'!GN51,0),"-")</f>
        <v>-</v>
      </c>
      <c r="DL40" s="7" t="str">
        <f>'ENTRY DATA'!GO51</f>
        <v>-</v>
      </c>
      <c r="DM40" s="16" t="str">
        <f>'ENTRY DATA'!HJ51</f>
        <v>-</v>
      </c>
      <c r="DN40" s="16" t="str">
        <f>'ENTRY DATA'!HK51</f>
        <v>-</v>
      </c>
      <c r="DO40" s="16" t="str">
        <f>'ENTRY DATA'!IF51</f>
        <v>-</v>
      </c>
      <c r="DP40" s="16" t="str">
        <f>'ENTRY DATA'!IG51</f>
        <v>-</v>
      </c>
      <c r="DQ40" s="2" t="str">
        <f>'ENTRY DATA'!IH51</f>
        <v>Pramuka</v>
      </c>
      <c r="DR40" s="2" t="str">
        <f>'ENTRY DATA'!II51</f>
        <v>B</v>
      </c>
      <c r="DS40" s="2" t="str">
        <f>'ENTRY DATA'!IJ51</f>
        <v>Aktif dalam mengikuti kegiatan</v>
      </c>
      <c r="DT40" s="2" t="str">
        <f>'ENTRY DATA'!IK51</f>
        <v>-</v>
      </c>
      <c r="DU40" s="2" t="str">
        <f>'ENTRY DATA'!IL51</f>
        <v>-</v>
      </c>
      <c r="DV40" s="2" t="str">
        <f>'ENTRY DATA'!IM51</f>
        <v>-</v>
      </c>
      <c r="DW40" s="2" t="str">
        <f>'ENTRY DATA'!IN51</f>
        <v>-</v>
      </c>
      <c r="DX40" s="2" t="str">
        <f>'ENTRY DATA'!IO51</f>
        <v>-</v>
      </c>
      <c r="DY40" s="2" t="str">
        <f>'ENTRY DATA'!IP51</f>
        <v>-</v>
      </c>
      <c r="DZ40" s="2" t="str">
        <f>'ENTRY DATA'!IQ51</f>
        <v>-</v>
      </c>
      <c r="EA40" s="2" t="str">
        <f>'ENTRY DATA'!IR51</f>
        <v>-</v>
      </c>
      <c r="EB40" s="2" t="str">
        <f>'ENTRY DATA'!IS51</f>
        <v>-</v>
      </c>
      <c r="EC40" s="2" t="str">
        <f>'ENTRY DATA'!IT51</f>
        <v>-</v>
      </c>
      <c r="ED40" s="2" t="str">
        <f>'ENTRY DATA'!IU51</f>
        <v>-</v>
      </c>
      <c r="EE40" s="2" t="str">
        <f>'ENTRY DATA'!IV51</f>
        <v>-</v>
      </c>
      <c r="EF40" s="2" t="str">
        <f>'ENTRY DATA'!IW51</f>
        <v>-</v>
      </c>
      <c r="EG40" s="2" t="str">
        <f>'ENTRY DATA'!IX51</f>
        <v>-</v>
      </c>
      <c r="EH40" s="2" t="str">
        <f>'ENTRY DATA'!IY51</f>
        <v>-</v>
      </c>
      <c r="EI40" s="2" t="str">
        <f>'ENTRY DATA'!IZ51</f>
        <v>-</v>
      </c>
      <c r="EJ40" s="2">
        <f>'ENTRY DATA'!JA51</f>
        <v>0</v>
      </c>
      <c r="EK40" s="2">
        <f>'ENTRY DATA'!JB51</f>
        <v>1</v>
      </c>
    </row>
    <row r="41" spans="1:141" x14ac:dyDescent="0.25">
      <c r="A41" s="2" t="str">
        <f t="shared" si="42"/>
        <v>MIPA</v>
      </c>
      <c r="B41" s="2" t="str">
        <f t="shared" si="43"/>
        <v>Bandung, 10 Oktober 2022</v>
      </c>
      <c r="C41" s="2" t="str">
        <f t="shared" si="44"/>
        <v>Drs. Ahmad Fathony</v>
      </c>
      <c r="D41" s="2" t="str">
        <f t="shared" si="45"/>
        <v>12345678 123456 1 123</v>
      </c>
      <c r="E41" s="2" t="str">
        <f t="shared" si="46"/>
        <v>H. Abdul Basith, M.Pd.</v>
      </c>
      <c r="F41" s="2" t="str">
        <f t="shared" si="47"/>
        <v>12341234 123123 1 234</v>
      </c>
      <c r="G41" s="74">
        <f>'ENTRY DATA'!B52</f>
        <v>0</v>
      </c>
      <c r="H41" s="74">
        <f>'ENTRY DATA'!C52</f>
        <v>0</v>
      </c>
      <c r="I41" s="74">
        <f>'ENTRY DATA'!D52</f>
        <v>0</v>
      </c>
      <c r="J41" s="74">
        <f>'ENTRY DATA'!E52</f>
        <v>0</v>
      </c>
      <c r="K41" s="7" t="str">
        <f t="shared" si="48"/>
        <v>X MIPA-1</v>
      </c>
      <c r="L41" s="7">
        <f t="shared" si="49"/>
        <v>1</v>
      </c>
      <c r="M41" s="7" t="str">
        <f t="shared" si="41"/>
        <v>Ganjil</v>
      </c>
      <c r="N41" s="7" t="str">
        <f t="shared" si="50"/>
        <v>2022/2023</v>
      </c>
      <c r="O41" s="8">
        <f t="shared" si="51"/>
        <v>75</v>
      </c>
      <c r="P41" s="8">
        <f t="shared" si="52"/>
        <v>0</v>
      </c>
      <c r="Q41" s="8" t="str">
        <f>IFERROR(ROUND('ENTRY DATA'!N52,0),"-")</f>
        <v>-</v>
      </c>
      <c r="R41" s="8" t="str">
        <f>'ENTRY DATA'!O52</f>
        <v>-</v>
      </c>
      <c r="S41" s="8" t="str">
        <f>IFERROR(ROUND('ENTRY DATA'!P52,0),"-")</f>
        <v>-</v>
      </c>
      <c r="T41" s="8" t="str">
        <f>'ENTRY DATA'!Q52</f>
        <v>-</v>
      </c>
      <c r="U41" s="7">
        <f t="shared" si="53"/>
        <v>75</v>
      </c>
      <c r="V41" s="7">
        <f t="shared" si="54"/>
        <v>0</v>
      </c>
      <c r="W41" s="7" t="str">
        <f>IFERROR(ROUND('ENTRY DATA'!Z52,0),"-")</f>
        <v>-</v>
      </c>
      <c r="X41" s="7" t="str">
        <f>'ENTRY DATA'!AA52</f>
        <v>-</v>
      </c>
      <c r="Y41" s="7" t="str">
        <f>IFERROR(ROUND('ENTRY DATA'!AB52,0),"-")</f>
        <v>-</v>
      </c>
      <c r="Z41" s="7" t="str">
        <f>'ENTRY DATA'!AC52</f>
        <v>-</v>
      </c>
      <c r="AA41" s="8">
        <f t="shared" si="55"/>
        <v>75</v>
      </c>
      <c r="AB41" s="8">
        <f t="shared" si="56"/>
        <v>0</v>
      </c>
      <c r="AC41" s="8" t="str">
        <f>IFERROR(ROUND('ENTRY DATA'!AL52,0),"-")</f>
        <v>-</v>
      </c>
      <c r="AD41" s="8" t="str">
        <f>'ENTRY DATA'!AM52</f>
        <v>-</v>
      </c>
      <c r="AE41" s="8" t="str">
        <f>IFERROR(ROUND('ENTRY DATA'!AN52,0),"-")</f>
        <v>-</v>
      </c>
      <c r="AF41" s="8" t="str">
        <f>'ENTRY DATA'!AO52</f>
        <v>-</v>
      </c>
      <c r="AG41" s="7">
        <f t="shared" si="57"/>
        <v>75</v>
      </c>
      <c r="AH41" s="7">
        <f t="shared" si="58"/>
        <v>0</v>
      </c>
      <c r="AI41" s="7" t="str">
        <f>IFERROR(ROUND('ENTRY DATA'!AX52,0),"-")</f>
        <v>-</v>
      </c>
      <c r="AJ41" s="7" t="str">
        <f>'ENTRY DATA'!AY52</f>
        <v>-</v>
      </c>
      <c r="AK41" s="7" t="str">
        <f>IFERROR(ROUND('ENTRY DATA'!AZ52,0),"-")</f>
        <v>-</v>
      </c>
      <c r="AL41" s="7" t="str">
        <f>'ENTRY DATA'!BA52</f>
        <v>-</v>
      </c>
      <c r="AM41" s="8">
        <f t="shared" si="59"/>
        <v>75</v>
      </c>
      <c r="AN41" s="8">
        <f t="shared" si="60"/>
        <v>0</v>
      </c>
      <c r="AO41" s="8" t="str">
        <f>IFERROR(ROUND('ENTRY DATA'!BJ52,0),"-")</f>
        <v>-</v>
      </c>
      <c r="AP41" s="8" t="str">
        <f>'ENTRY DATA'!BK52</f>
        <v>-</v>
      </c>
      <c r="AQ41" s="8" t="str">
        <f>IFERROR(ROUND('ENTRY DATA'!BL52,0),"-")</f>
        <v>-</v>
      </c>
      <c r="AR41" s="8" t="str">
        <f>'ENTRY DATA'!BM52</f>
        <v>-</v>
      </c>
      <c r="AS41" s="7">
        <f t="shared" si="61"/>
        <v>75</v>
      </c>
      <c r="AT41" s="7">
        <f t="shared" si="62"/>
        <v>0</v>
      </c>
      <c r="AU41" s="7" t="str">
        <f>IFERROR(ROUND('ENTRY DATA'!BV52,0),"-")</f>
        <v>-</v>
      </c>
      <c r="AV41" s="7" t="str">
        <f>'ENTRY DATA'!BW52</f>
        <v>-</v>
      </c>
      <c r="AW41" s="7" t="str">
        <f>IFERROR(ROUND('ENTRY DATA'!BX52,0),"-")</f>
        <v>-</v>
      </c>
      <c r="AX41" s="7" t="str">
        <f>'ENTRY DATA'!BY52</f>
        <v>-</v>
      </c>
      <c r="AY41" s="8">
        <f t="shared" si="63"/>
        <v>75</v>
      </c>
      <c r="AZ41" s="8">
        <f t="shared" si="64"/>
        <v>0</v>
      </c>
      <c r="BA41" s="8" t="str">
        <f>IFERROR(ROUND('ENTRY DATA'!CH52,0),"-")</f>
        <v>-</v>
      </c>
      <c r="BB41" s="8" t="str">
        <f>'ENTRY DATA'!CI52</f>
        <v>-</v>
      </c>
      <c r="BC41" s="8" t="str">
        <f>IFERROR(ROUND('ENTRY DATA'!CJ52,0),"-")</f>
        <v>-</v>
      </c>
      <c r="BD41" s="8" t="str">
        <f>'ENTRY DATA'!CK52</f>
        <v>-</v>
      </c>
      <c r="BE41" s="7">
        <f t="shared" si="65"/>
        <v>75</v>
      </c>
      <c r="BF41" s="7">
        <f t="shared" si="66"/>
        <v>0</v>
      </c>
      <c r="BG41" s="7" t="str">
        <f>IFERROR(ROUND('ENTRY DATA'!CT52,0),"-")</f>
        <v>-</v>
      </c>
      <c r="BH41" s="7" t="str">
        <f>'ENTRY DATA'!CU52</f>
        <v>-</v>
      </c>
      <c r="BI41" s="7" t="str">
        <f>IFERROR(ROUND('ENTRY DATA'!CV52,0),"-")</f>
        <v>-</v>
      </c>
      <c r="BJ41" s="7" t="str">
        <f>'ENTRY DATA'!CW52</f>
        <v>-</v>
      </c>
      <c r="BK41" s="8">
        <f t="shared" si="67"/>
        <v>75</v>
      </c>
      <c r="BL41" s="8">
        <f t="shared" si="68"/>
        <v>0</v>
      </c>
      <c r="BM41" s="8" t="str">
        <f>IFERROR(ROUND('ENTRY DATA'!DF52,0),"-")</f>
        <v>-</v>
      </c>
      <c r="BN41" s="8" t="str">
        <f>'ENTRY DATA'!DG52</f>
        <v>-</v>
      </c>
      <c r="BO41" s="8" t="str">
        <f>IFERROR(ROUND('ENTRY DATA'!DH52,0),"-")</f>
        <v>-</v>
      </c>
      <c r="BP41" s="8" t="str">
        <f>'ENTRY DATA'!DI52</f>
        <v>-</v>
      </c>
      <c r="BQ41" s="7">
        <f t="shared" si="69"/>
        <v>75</v>
      </c>
      <c r="BR41" s="7">
        <f t="shared" si="70"/>
        <v>0</v>
      </c>
      <c r="BS41" s="7" t="str">
        <f>IFERROR(ROUND('ENTRY DATA'!DR52,0),"-")</f>
        <v>-</v>
      </c>
      <c r="BT41" s="7" t="str">
        <f>'ENTRY DATA'!DS52</f>
        <v>-</v>
      </c>
      <c r="BU41" s="7" t="str">
        <f>IFERROR(ROUND('ENTRY DATA'!DT52,0),"-")</f>
        <v>-</v>
      </c>
      <c r="BV41" s="7" t="str">
        <f>'ENTRY DATA'!DU52</f>
        <v>-</v>
      </c>
      <c r="BW41" s="8" t="str">
        <f>'ENTRY DATA'!$DV$8</f>
        <v>Matematika</v>
      </c>
      <c r="BX41" s="8">
        <f t="shared" si="71"/>
        <v>75</v>
      </c>
      <c r="BY41" s="8">
        <f t="shared" si="72"/>
        <v>0</v>
      </c>
      <c r="BZ41" s="8" t="str">
        <f>IFERROR(ROUND('ENTRY DATA'!ED52,0),"-")</f>
        <v>-</v>
      </c>
      <c r="CA41" s="8" t="str">
        <f>'ENTRY DATA'!EE52</f>
        <v>-</v>
      </c>
      <c r="CB41" s="8" t="str">
        <f>IFERROR(ROUND('ENTRY DATA'!EF52,0),"-")</f>
        <v>-</v>
      </c>
      <c r="CC41" s="8" t="str">
        <f>'ENTRY DATA'!EG52</f>
        <v>-</v>
      </c>
      <c r="CD41" s="7" t="str">
        <f>'ENTRY DATA'!$EH$8</f>
        <v>Biologi</v>
      </c>
      <c r="CE41" s="7">
        <f t="shared" si="73"/>
        <v>75</v>
      </c>
      <c r="CF41" s="7">
        <f t="shared" si="74"/>
        <v>0</v>
      </c>
      <c r="CG41" s="7" t="str">
        <f>IFERROR(ROUND('ENTRY DATA'!EP52,0),"-")</f>
        <v>-</v>
      </c>
      <c r="CH41" s="7" t="str">
        <f>'ENTRY DATA'!EQ52</f>
        <v>-</v>
      </c>
      <c r="CI41" s="7" t="str">
        <f>IFERROR(ROUND('ENTRY DATA'!ER52,0),"-")</f>
        <v>-</v>
      </c>
      <c r="CJ41" s="7" t="str">
        <f>'ENTRY DATA'!ES52</f>
        <v>-</v>
      </c>
      <c r="CK41" s="8" t="str">
        <f>'ENTRY DATA'!$ET$8</f>
        <v>Fisika</v>
      </c>
      <c r="CL41" s="8">
        <f t="shared" si="75"/>
        <v>75</v>
      </c>
      <c r="CM41" s="8">
        <f t="shared" si="76"/>
        <v>0</v>
      </c>
      <c r="CN41" s="8" t="str">
        <f>IFERROR(ROUND('ENTRY DATA'!FB52,0),"-")</f>
        <v>-</v>
      </c>
      <c r="CO41" s="8" t="str">
        <f>'ENTRY DATA'!FC52</f>
        <v>-</v>
      </c>
      <c r="CP41" s="8" t="str">
        <f>IFERROR(ROUND('ENTRY DATA'!FD52,0),"-")</f>
        <v>-</v>
      </c>
      <c r="CQ41" s="8" t="str">
        <f>'ENTRY DATA'!FE52</f>
        <v>-</v>
      </c>
      <c r="CR41" s="7" t="str">
        <f>'ENTRY DATA'!$FF$8</f>
        <v>Kimia</v>
      </c>
      <c r="CS41" s="7">
        <f t="shared" si="77"/>
        <v>75</v>
      </c>
      <c r="CT41" s="7">
        <f t="shared" si="78"/>
        <v>0</v>
      </c>
      <c r="CU41" s="7" t="str">
        <f>IFERROR(ROUND('ENTRY DATA'!FN52,0),"-")</f>
        <v>-</v>
      </c>
      <c r="CV41" s="7" t="str">
        <f>'ENTRY DATA'!FO52</f>
        <v>-</v>
      </c>
      <c r="CW41" s="7" t="str">
        <f>IFERROR(ROUND('ENTRY DATA'!FP52,0),"-")</f>
        <v>-</v>
      </c>
      <c r="CX41" s="7" t="str">
        <f>'ENTRY DATA'!FQ52</f>
        <v>-</v>
      </c>
      <c r="CY41" s="8" t="str">
        <f>'ENTRY DATA'!$FR$8</f>
        <v>-</v>
      </c>
      <c r="CZ41" s="8">
        <f t="shared" si="79"/>
        <v>75</v>
      </c>
      <c r="DA41" s="8">
        <f t="shared" si="80"/>
        <v>0</v>
      </c>
      <c r="DB41" s="8" t="str">
        <f>IFERROR(ROUND('ENTRY DATA'!FZ52,0),"-")</f>
        <v>-</v>
      </c>
      <c r="DC41" s="8" t="str">
        <f>'ENTRY DATA'!GA52</f>
        <v>-</v>
      </c>
      <c r="DD41" s="8" t="str">
        <f>IFERROR(ROUND('ENTRY DATA'!GB52,0),"-")</f>
        <v>-</v>
      </c>
      <c r="DE41" s="8" t="str">
        <f>'ENTRY DATA'!GC52</f>
        <v>-</v>
      </c>
      <c r="DF41" s="7" t="str">
        <f>'ENTRY DATA'!$GD$8</f>
        <v>-</v>
      </c>
      <c r="DG41" s="7">
        <f t="shared" si="81"/>
        <v>75</v>
      </c>
      <c r="DH41" s="7">
        <f t="shared" si="82"/>
        <v>0</v>
      </c>
      <c r="DI41" s="7" t="str">
        <f>IFERROR(ROUND('ENTRY DATA'!GL52,0),"-")</f>
        <v>-</v>
      </c>
      <c r="DJ41" s="7" t="str">
        <f>'ENTRY DATA'!GM52</f>
        <v>-</v>
      </c>
      <c r="DK41" s="7" t="str">
        <f>IFERROR(ROUND('ENTRY DATA'!GN52,0),"-")</f>
        <v>-</v>
      </c>
      <c r="DL41" s="7" t="str">
        <f>'ENTRY DATA'!GO52</f>
        <v>-</v>
      </c>
      <c r="DM41" s="16" t="str">
        <f>'ENTRY DATA'!HJ52</f>
        <v>-</v>
      </c>
      <c r="DN41" s="16" t="str">
        <f>'ENTRY DATA'!HK52</f>
        <v>-</v>
      </c>
      <c r="DO41" s="16" t="str">
        <f>'ENTRY DATA'!IF52</f>
        <v>-</v>
      </c>
      <c r="DP41" s="16" t="str">
        <f>'ENTRY DATA'!IG52</f>
        <v>-</v>
      </c>
      <c r="DQ41" s="2" t="str">
        <f>'ENTRY DATA'!IH52</f>
        <v>Pramuka</v>
      </c>
      <c r="DR41" s="2" t="str">
        <f>'ENTRY DATA'!II52</f>
        <v>B</v>
      </c>
      <c r="DS41" s="2" t="str">
        <f>'ENTRY DATA'!IJ52</f>
        <v>Aktif dalam mengikuti kegiatan</v>
      </c>
      <c r="DT41" s="2" t="str">
        <f>'ENTRY DATA'!IK52</f>
        <v>-</v>
      </c>
      <c r="DU41" s="2" t="str">
        <f>'ENTRY DATA'!IL52</f>
        <v>-</v>
      </c>
      <c r="DV41" s="2" t="str">
        <f>'ENTRY DATA'!IM52</f>
        <v>-</v>
      </c>
      <c r="DW41" s="2" t="str">
        <f>'ENTRY DATA'!IN52</f>
        <v>-</v>
      </c>
      <c r="DX41" s="2" t="str">
        <f>'ENTRY DATA'!IO52</f>
        <v>-</v>
      </c>
      <c r="DY41" s="2" t="str">
        <f>'ENTRY DATA'!IP52</f>
        <v>-</v>
      </c>
      <c r="DZ41" s="2" t="str">
        <f>'ENTRY DATA'!IQ52</f>
        <v>-</v>
      </c>
      <c r="EA41" s="2" t="str">
        <f>'ENTRY DATA'!IR52</f>
        <v>-</v>
      </c>
      <c r="EB41" s="2" t="str">
        <f>'ENTRY DATA'!IS52</f>
        <v>-</v>
      </c>
      <c r="EC41" s="2" t="str">
        <f>'ENTRY DATA'!IT52</f>
        <v>-</v>
      </c>
      <c r="ED41" s="2" t="str">
        <f>'ENTRY DATA'!IU52</f>
        <v>-</v>
      </c>
      <c r="EE41" s="2" t="str">
        <f>'ENTRY DATA'!IV52</f>
        <v>-</v>
      </c>
      <c r="EF41" s="2" t="str">
        <f>'ENTRY DATA'!IW52</f>
        <v>-</v>
      </c>
      <c r="EG41" s="2" t="str">
        <f>'ENTRY DATA'!IX52</f>
        <v>-</v>
      </c>
      <c r="EH41" s="2" t="str">
        <f>'ENTRY DATA'!IY52</f>
        <v>-</v>
      </c>
      <c r="EI41" s="2" t="str">
        <f>'ENTRY DATA'!IZ52</f>
        <v>-</v>
      </c>
      <c r="EJ41" s="2">
        <f>'ENTRY DATA'!JA52</f>
        <v>0</v>
      </c>
      <c r="EK41" s="2">
        <f>'ENTRY DATA'!JB52</f>
        <v>1</v>
      </c>
    </row>
    <row r="42" spans="1:141" x14ac:dyDescent="0.25">
      <c r="A42" s="2" t="str">
        <f t="shared" si="42"/>
        <v>MIPA</v>
      </c>
      <c r="B42" s="2" t="str">
        <f t="shared" si="43"/>
        <v>Bandung, 10 Oktober 2022</v>
      </c>
      <c r="C42" s="2" t="str">
        <f t="shared" si="44"/>
        <v>Drs. Ahmad Fathony</v>
      </c>
      <c r="D42" s="2" t="str">
        <f t="shared" si="45"/>
        <v>12345678 123456 1 123</v>
      </c>
      <c r="E42" s="2" t="str">
        <f t="shared" si="46"/>
        <v>H. Abdul Basith, M.Pd.</v>
      </c>
      <c r="F42" s="2" t="str">
        <f t="shared" si="47"/>
        <v>12341234 123123 1 234</v>
      </c>
      <c r="G42" s="74">
        <f>'ENTRY DATA'!B53</f>
        <v>0</v>
      </c>
      <c r="H42" s="74">
        <f>'ENTRY DATA'!C53</f>
        <v>0</v>
      </c>
      <c r="I42" s="74">
        <f>'ENTRY DATA'!D53</f>
        <v>0</v>
      </c>
      <c r="J42" s="74">
        <f>'ENTRY DATA'!E53</f>
        <v>0</v>
      </c>
      <c r="K42" s="7" t="str">
        <f t="shared" si="48"/>
        <v>X MIPA-1</v>
      </c>
      <c r="L42" s="7">
        <f t="shared" si="49"/>
        <v>1</v>
      </c>
      <c r="M42" s="7" t="str">
        <f t="shared" si="41"/>
        <v>Ganjil</v>
      </c>
      <c r="N42" s="7" t="str">
        <f t="shared" si="50"/>
        <v>2022/2023</v>
      </c>
      <c r="O42" s="8">
        <f t="shared" si="51"/>
        <v>75</v>
      </c>
      <c r="P42" s="8">
        <f t="shared" si="52"/>
        <v>0</v>
      </c>
      <c r="Q42" s="8" t="str">
        <f>IFERROR(ROUND('ENTRY DATA'!N53,0),"-")</f>
        <v>-</v>
      </c>
      <c r="R42" s="8" t="str">
        <f>'ENTRY DATA'!O53</f>
        <v>-</v>
      </c>
      <c r="S42" s="8" t="str">
        <f>IFERROR(ROUND('ENTRY DATA'!P53,0),"-")</f>
        <v>-</v>
      </c>
      <c r="T42" s="8" t="str">
        <f>'ENTRY DATA'!Q53</f>
        <v>-</v>
      </c>
      <c r="U42" s="7">
        <f t="shared" si="53"/>
        <v>75</v>
      </c>
      <c r="V42" s="7">
        <f t="shared" si="54"/>
        <v>0</v>
      </c>
      <c r="W42" s="7" t="str">
        <f>IFERROR(ROUND('ENTRY DATA'!Z53,0),"-")</f>
        <v>-</v>
      </c>
      <c r="X42" s="7" t="str">
        <f>'ENTRY DATA'!AA53</f>
        <v>-</v>
      </c>
      <c r="Y42" s="7" t="str">
        <f>IFERROR(ROUND('ENTRY DATA'!AB53,0),"-")</f>
        <v>-</v>
      </c>
      <c r="Z42" s="7" t="str">
        <f>'ENTRY DATA'!AC53</f>
        <v>-</v>
      </c>
      <c r="AA42" s="8">
        <f t="shared" si="55"/>
        <v>75</v>
      </c>
      <c r="AB42" s="8">
        <f t="shared" si="56"/>
        <v>0</v>
      </c>
      <c r="AC42" s="8" t="str">
        <f>IFERROR(ROUND('ENTRY DATA'!AL53,0),"-")</f>
        <v>-</v>
      </c>
      <c r="AD42" s="8" t="str">
        <f>'ENTRY DATA'!AM53</f>
        <v>-</v>
      </c>
      <c r="AE42" s="8" t="str">
        <f>IFERROR(ROUND('ENTRY DATA'!AN53,0),"-")</f>
        <v>-</v>
      </c>
      <c r="AF42" s="8" t="str">
        <f>'ENTRY DATA'!AO53</f>
        <v>-</v>
      </c>
      <c r="AG42" s="7">
        <f t="shared" si="57"/>
        <v>75</v>
      </c>
      <c r="AH42" s="7">
        <f t="shared" si="58"/>
        <v>0</v>
      </c>
      <c r="AI42" s="7" t="str">
        <f>IFERROR(ROUND('ENTRY DATA'!AX53,0),"-")</f>
        <v>-</v>
      </c>
      <c r="AJ42" s="7" t="str">
        <f>'ENTRY DATA'!AY53</f>
        <v>-</v>
      </c>
      <c r="AK42" s="7" t="str">
        <f>IFERROR(ROUND('ENTRY DATA'!AZ53,0),"-")</f>
        <v>-</v>
      </c>
      <c r="AL42" s="7" t="str">
        <f>'ENTRY DATA'!BA53</f>
        <v>-</v>
      </c>
      <c r="AM42" s="8">
        <f t="shared" si="59"/>
        <v>75</v>
      </c>
      <c r="AN42" s="8">
        <f t="shared" si="60"/>
        <v>0</v>
      </c>
      <c r="AO42" s="8" t="str">
        <f>IFERROR(ROUND('ENTRY DATA'!BJ53,0),"-")</f>
        <v>-</v>
      </c>
      <c r="AP42" s="8" t="str">
        <f>'ENTRY DATA'!BK53</f>
        <v>-</v>
      </c>
      <c r="AQ42" s="8" t="str">
        <f>IFERROR(ROUND('ENTRY DATA'!BL53,0),"-")</f>
        <v>-</v>
      </c>
      <c r="AR42" s="8" t="str">
        <f>'ENTRY DATA'!BM53</f>
        <v>-</v>
      </c>
      <c r="AS42" s="7">
        <f t="shared" si="61"/>
        <v>75</v>
      </c>
      <c r="AT42" s="7">
        <f t="shared" si="62"/>
        <v>0</v>
      </c>
      <c r="AU42" s="7" t="str">
        <f>IFERROR(ROUND('ENTRY DATA'!BV53,0),"-")</f>
        <v>-</v>
      </c>
      <c r="AV42" s="7" t="str">
        <f>'ENTRY DATA'!BW53</f>
        <v>-</v>
      </c>
      <c r="AW42" s="7" t="str">
        <f>IFERROR(ROUND('ENTRY DATA'!BX53,0),"-")</f>
        <v>-</v>
      </c>
      <c r="AX42" s="7" t="str">
        <f>'ENTRY DATA'!BY53</f>
        <v>-</v>
      </c>
      <c r="AY42" s="8">
        <f t="shared" si="63"/>
        <v>75</v>
      </c>
      <c r="AZ42" s="8">
        <f t="shared" si="64"/>
        <v>0</v>
      </c>
      <c r="BA42" s="8" t="str">
        <f>IFERROR(ROUND('ENTRY DATA'!CH53,0),"-")</f>
        <v>-</v>
      </c>
      <c r="BB42" s="8" t="str">
        <f>'ENTRY DATA'!CI53</f>
        <v>-</v>
      </c>
      <c r="BC42" s="8" t="str">
        <f>IFERROR(ROUND('ENTRY DATA'!CJ53,0),"-")</f>
        <v>-</v>
      </c>
      <c r="BD42" s="8" t="str">
        <f>'ENTRY DATA'!CK53</f>
        <v>-</v>
      </c>
      <c r="BE42" s="7">
        <f t="shared" si="65"/>
        <v>75</v>
      </c>
      <c r="BF42" s="7">
        <f t="shared" si="66"/>
        <v>0</v>
      </c>
      <c r="BG42" s="7" t="str">
        <f>IFERROR(ROUND('ENTRY DATA'!CT53,0),"-")</f>
        <v>-</v>
      </c>
      <c r="BH42" s="7" t="str">
        <f>'ENTRY DATA'!CU53</f>
        <v>-</v>
      </c>
      <c r="BI42" s="7" t="str">
        <f>IFERROR(ROUND('ENTRY DATA'!CV53,0),"-")</f>
        <v>-</v>
      </c>
      <c r="BJ42" s="7" t="str">
        <f>'ENTRY DATA'!CW53</f>
        <v>-</v>
      </c>
      <c r="BK42" s="8">
        <f t="shared" si="67"/>
        <v>75</v>
      </c>
      <c r="BL42" s="8">
        <f t="shared" si="68"/>
        <v>0</v>
      </c>
      <c r="BM42" s="8" t="str">
        <f>IFERROR(ROUND('ENTRY DATA'!DF53,0),"-")</f>
        <v>-</v>
      </c>
      <c r="BN42" s="8" t="str">
        <f>'ENTRY DATA'!DG53</f>
        <v>-</v>
      </c>
      <c r="BO42" s="8" t="str">
        <f>IFERROR(ROUND('ENTRY DATA'!DH53,0),"-")</f>
        <v>-</v>
      </c>
      <c r="BP42" s="8" t="str">
        <f>'ENTRY DATA'!DI53</f>
        <v>-</v>
      </c>
      <c r="BQ42" s="7">
        <f t="shared" si="69"/>
        <v>75</v>
      </c>
      <c r="BR42" s="7">
        <f t="shared" si="70"/>
        <v>0</v>
      </c>
      <c r="BS42" s="7" t="str">
        <f>IFERROR(ROUND('ENTRY DATA'!DR53,0),"-")</f>
        <v>-</v>
      </c>
      <c r="BT42" s="7" t="str">
        <f>'ENTRY DATA'!DS53</f>
        <v>-</v>
      </c>
      <c r="BU42" s="7" t="str">
        <f>IFERROR(ROUND('ENTRY DATA'!DT53,0),"-")</f>
        <v>-</v>
      </c>
      <c r="BV42" s="7" t="str">
        <f>'ENTRY DATA'!DU53</f>
        <v>-</v>
      </c>
      <c r="BW42" s="8" t="str">
        <f>'ENTRY DATA'!$DV$8</f>
        <v>Matematika</v>
      </c>
      <c r="BX42" s="8">
        <f t="shared" si="71"/>
        <v>75</v>
      </c>
      <c r="BY42" s="8">
        <f t="shared" si="72"/>
        <v>0</v>
      </c>
      <c r="BZ42" s="8" t="str">
        <f>IFERROR(ROUND('ENTRY DATA'!ED53,0),"-")</f>
        <v>-</v>
      </c>
      <c r="CA42" s="8" t="str">
        <f>'ENTRY DATA'!EE53</f>
        <v>-</v>
      </c>
      <c r="CB42" s="8" t="str">
        <f>IFERROR(ROUND('ENTRY DATA'!EF53,0),"-")</f>
        <v>-</v>
      </c>
      <c r="CC42" s="8" t="str">
        <f>'ENTRY DATA'!EG53</f>
        <v>-</v>
      </c>
      <c r="CD42" s="7" t="str">
        <f>'ENTRY DATA'!$EH$8</f>
        <v>Biologi</v>
      </c>
      <c r="CE42" s="7">
        <f t="shared" si="73"/>
        <v>75</v>
      </c>
      <c r="CF42" s="7">
        <f t="shared" si="74"/>
        <v>0</v>
      </c>
      <c r="CG42" s="7" t="str">
        <f>IFERROR(ROUND('ENTRY DATA'!EP53,0),"-")</f>
        <v>-</v>
      </c>
      <c r="CH42" s="7" t="str">
        <f>'ENTRY DATA'!EQ53</f>
        <v>-</v>
      </c>
      <c r="CI42" s="7" t="str">
        <f>IFERROR(ROUND('ENTRY DATA'!ER53,0),"-")</f>
        <v>-</v>
      </c>
      <c r="CJ42" s="7" t="str">
        <f>'ENTRY DATA'!ES53</f>
        <v>-</v>
      </c>
      <c r="CK42" s="8" t="str">
        <f>'ENTRY DATA'!$ET$8</f>
        <v>Fisika</v>
      </c>
      <c r="CL42" s="8">
        <f t="shared" si="75"/>
        <v>75</v>
      </c>
      <c r="CM42" s="8">
        <f t="shared" si="76"/>
        <v>0</v>
      </c>
      <c r="CN42" s="8" t="str">
        <f>IFERROR(ROUND('ENTRY DATA'!FB53,0),"-")</f>
        <v>-</v>
      </c>
      <c r="CO42" s="8" t="str">
        <f>'ENTRY DATA'!FC53</f>
        <v>-</v>
      </c>
      <c r="CP42" s="8" t="str">
        <f>IFERROR(ROUND('ENTRY DATA'!FD53,0),"-")</f>
        <v>-</v>
      </c>
      <c r="CQ42" s="8" t="str">
        <f>'ENTRY DATA'!FE53</f>
        <v>-</v>
      </c>
      <c r="CR42" s="7" t="str">
        <f>'ENTRY DATA'!$FF$8</f>
        <v>Kimia</v>
      </c>
      <c r="CS42" s="7">
        <f t="shared" si="77"/>
        <v>75</v>
      </c>
      <c r="CT42" s="7">
        <f t="shared" si="78"/>
        <v>0</v>
      </c>
      <c r="CU42" s="7" t="str">
        <f>IFERROR(ROUND('ENTRY DATA'!FN53,0),"-")</f>
        <v>-</v>
      </c>
      <c r="CV42" s="7" t="str">
        <f>'ENTRY DATA'!FO53</f>
        <v>-</v>
      </c>
      <c r="CW42" s="7" t="str">
        <f>IFERROR(ROUND('ENTRY DATA'!FP53,0),"-")</f>
        <v>-</v>
      </c>
      <c r="CX42" s="7" t="str">
        <f>'ENTRY DATA'!FQ53</f>
        <v>-</v>
      </c>
      <c r="CY42" s="8" t="str">
        <f>'ENTRY DATA'!$FR$8</f>
        <v>-</v>
      </c>
      <c r="CZ42" s="8">
        <f t="shared" si="79"/>
        <v>75</v>
      </c>
      <c r="DA42" s="8">
        <f t="shared" si="80"/>
        <v>0</v>
      </c>
      <c r="DB42" s="8" t="str">
        <f>IFERROR(ROUND('ENTRY DATA'!FZ53,0),"-")</f>
        <v>-</v>
      </c>
      <c r="DC42" s="8" t="str">
        <f>'ENTRY DATA'!GA53</f>
        <v>-</v>
      </c>
      <c r="DD42" s="8" t="str">
        <f>IFERROR(ROUND('ENTRY DATA'!GB53,0),"-")</f>
        <v>-</v>
      </c>
      <c r="DE42" s="8" t="str">
        <f>'ENTRY DATA'!GC53</f>
        <v>-</v>
      </c>
      <c r="DF42" s="7" t="str">
        <f>'ENTRY DATA'!$GD$8</f>
        <v>-</v>
      </c>
      <c r="DG42" s="7">
        <f t="shared" si="81"/>
        <v>75</v>
      </c>
      <c r="DH42" s="7">
        <f t="shared" si="82"/>
        <v>0</v>
      </c>
      <c r="DI42" s="7" t="str">
        <f>IFERROR(ROUND('ENTRY DATA'!GL53,0),"-")</f>
        <v>-</v>
      </c>
      <c r="DJ42" s="7" t="str">
        <f>'ENTRY DATA'!GM53</f>
        <v>-</v>
      </c>
      <c r="DK42" s="7" t="str">
        <f>IFERROR(ROUND('ENTRY DATA'!GN53,0),"-")</f>
        <v>-</v>
      </c>
      <c r="DL42" s="7" t="str">
        <f>'ENTRY DATA'!GO53</f>
        <v>-</v>
      </c>
      <c r="DM42" s="16" t="str">
        <f>'ENTRY DATA'!HJ53</f>
        <v>-</v>
      </c>
      <c r="DN42" s="16" t="str">
        <f>'ENTRY DATA'!HK53</f>
        <v>-</v>
      </c>
      <c r="DO42" s="16" t="str">
        <f>'ENTRY DATA'!IF53</f>
        <v>-</v>
      </c>
      <c r="DP42" s="16" t="str">
        <f>'ENTRY DATA'!IG53</f>
        <v>-</v>
      </c>
      <c r="DQ42" s="2" t="str">
        <f>'ENTRY DATA'!IH53</f>
        <v>Pramuka</v>
      </c>
      <c r="DR42" s="2" t="str">
        <f>'ENTRY DATA'!II53</f>
        <v>B</v>
      </c>
      <c r="DS42" s="2" t="str">
        <f>'ENTRY DATA'!IJ53</f>
        <v>Aktif dalam mengikuti kegiatan</v>
      </c>
      <c r="DT42" s="2" t="str">
        <f>'ENTRY DATA'!IK53</f>
        <v>-</v>
      </c>
      <c r="DU42" s="2" t="str">
        <f>'ENTRY DATA'!IL53</f>
        <v>-</v>
      </c>
      <c r="DV42" s="2" t="str">
        <f>'ENTRY DATA'!IM53</f>
        <v>-</v>
      </c>
      <c r="DW42" s="2" t="str">
        <f>'ENTRY DATA'!IN53</f>
        <v>-</v>
      </c>
      <c r="DX42" s="2" t="str">
        <f>'ENTRY DATA'!IO53</f>
        <v>-</v>
      </c>
      <c r="DY42" s="2" t="str">
        <f>'ENTRY DATA'!IP53</f>
        <v>-</v>
      </c>
      <c r="DZ42" s="2" t="str">
        <f>'ENTRY DATA'!IQ53</f>
        <v>-</v>
      </c>
      <c r="EA42" s="2" t="str">
        <f>'ENTRY DATA'!IR53</f>
        <v>-</v>
      </c>
      <c r="EB42" s="2" t="str">
        <f>'ENTRY DATA'!IS53</f>
        <v>-</v>
      </c>
      <c r="EC42" s="2" t="str">
        <f>'ENTRY DATA'!IT53</f>
        <v>-</v>
      </c>
      <c r="ED42" s="2" t="str">
        <f>'ENTRY DATA'!IU53</f>
        <v>-</v>
      </c>
      <c r="EE42" s="2" t="str">
        <f>'ENTRY DATA'!IV53</f>
        <v>-</v>
      </c>
      <c r="EF42" s="2" t="str">
        <f>'ENTRY DATA'!IW53</f>
        <v>-</v>
      </c>
      <c r="EG42" s="2" t="str">
        <f>'ENTRY DATA'!IX53</f>
        <v>-</v>
      </c>
      <c r="EH42" s="2" t="str">
        <f>'ENTRY DATA'!IY53</f>
        <v>-</v>
      </c>
      <c r="EI42" s="2" t="str">
        <f>'ENTRY DATA'!IZ53</f>
        <v>-</v>
      </c>
      <c r="EJ42" s="2">
        <f>'ENTRY DATA'!JA53</f>
        <v>0</v>
      </c>
      <c r="EK42" s="2">
        <f>'ENTRY DATA'!JB53</f>
        <v>1</v>
      </c>
    </row>
    <row r="43" spans="1:141" x14ac:dyDescent="0.25">
      <c r="A43" s="2" t="str">
        <f t="shared" si="42"/>
        <v>MIPA</v>
      </c>
      <c r="B43" s="2" t="str">
        <f t="shared" si="43"/>
        <v>Bandung, 10 Oktober 2022</v>
      </c>
      <c r="C43" s="2" t="str">
        <f t="shared" si="44"/>
        <v>Drs. Ahmad Fathony</v>
      </c>
      <c r="D43" s="2" t="str">
        <f t="shared" si="45"/>
        <v>12345678 123456 1 123</v>
      </c>
      <c r="E43" s="2" t="str">
        <f t="shared" si="46"/>
        <v>H. Abdul Basith, M.Pd.</v>
      </c>
      <c r="F43" s="2" t="str">
        <f t="shared" si="47"/>
        <v>12341234 123123 1 234</v>
      </c>
      <c r="G43" s="74">
        <f>'ENTRY DATA'!B54</f>
        <v>0</v>
      </c>
      <c r="H43" s="74">
        <f>'ENTRY DATA'!C54</f>
        <v>0</v>
      </c>
      <c r="I43" s="74">
        <f>'ENTRY DATA'!D54</f>
        <v>0</v>
      </c>
      <c r="J43" s="74">
        <f>'ENTRY DATA'!E54</f>
        <v>0</v>
      </c>
      <c r="K43" s="7" t="str">
        <f t="shared" si="48"/>
        <v>X MIPA-1</v>
      </c>
      <c r="L43" s="7">
        <f t="shared" si="49"/>
        <v>1</v>
      </c>
      <c r="M43" s="7" t="str">
        <f t="shared" si="41"/>
        <v>Ganjil</v>
      </c>
      <c r="N43" s="7" t="str">
        <f t="shared" si="50"/>
        <v>2022/2023</v>
      </c>
      <c r="O43" s="8">
        <f t="shared" si="51"/>
        <v>75</v>
      </c>
      <c r="P43" s="8">
        <f t="shared" si="52"/>
        <v>0</v>
      </c>
      <c r="Q43" s="8" t="str">
        <f>IFERROR(ROUND('ENTRY DATA'!N54,0),"-")</f>
        <v>-</v>
      </c>
      <c r="R43" s="8" t="str">
        <f>'ENTRY DATA'!O54</f>
        <v>-</v>
      </c>
      <c r="S43" s="8" t="str">
        <f>IFERROR(ROUND('ENTRY DATA'!P54,0),"-")</f>
        <v>-</v>
      </c>
      <c r="T43" s="8" t="str">
        <f>'ENTRY DATA'!Q54</f>
        <v>-</v>
      </c>
      <c r="U43" s="7">
        <f t="shared" si="53"/>
        <v>75</v>
      </c>
      <c r="V43" s="7">
        <f t="shared" si="54"/>
        <v>0</v>
      </c>
      <c r="W43" s="7" t="str">
        <f>IFERROR(ROUND('ENTRY DATA'!Z54,0),"-")</f>
        <v>-</v>
      </c>
      <c r="X43" s="7" t="str">
        <f>'ENTRY DATA'!AA54</f>
        <v>-</v>
      </c>
      <c r="Y43" s="7" t="str">
        <f>IFERROR(ROUND('ENTRY DATA'!AB54,0),"-")</f>
        <v>-</v>
      </c>
      <c r="Z43" s="7" t="str">
        <f>'ENTRY DATA'!AC54</f>
        <v>-</v>
      </c>
      <c r="AA43" s="8">
        <f t="shared" si="55"/>
        <v>75</v>
      </c>
      <c r="AB43" s="8">
        <f t="shared" si="56"/>
        <v>0</v>
      </c>
      <c r="AC43" s="8" t="str">
        <f>IFERROR(ROUND('ENTRY DATA'!AL54,0),"-")</f>
        <v>-</v>
      </c>
      <c r="AD43" s="8" t="str">
        <f>'ENTRY DATA'!AM54</f>
        <v>-</v>
      </c>
      <c r="AE43" s="8" t="str">
        <f>IFERROR(ROUND('ENTRY DATA'!AN54,0),"-")</f>
        <v>-</v>
      </c>
      <c r="AF43" s="8" t="str">
        <f>'ENTRY DATA'!AO54</f>
        <v>-</v>
      </c>
      <c r="AG43" s="7">
        <f t="shared" si="57"/>
        <v>75</v>
      </c>
      <c r="AH43" s="7">
        <f t="shared" si="58"/>
        <v>0</v>
      </c>
      <c r="AI43" s="7" t="str">
        <f>IFERROR(ROUND('ENTRY DATA'!AX54,0),"-")</f>
        <v>-</v>
      </c>
      <c r="AJ43" s="7" t="str">
        <f>'ENTRY DATA'!AY54</f>
        <v>-</v>
      </c>
      <c r="AK43" s="7" t="str">
        <f>IFERROR(ROUND('ENTRY DATA'!AZ54,0),"-")</f>
        <v>-</v>
      </c>
      <c r="AL43" s="7" t="str">
        <f>'ENTRY DATA'!BA54</f>
        <v>-</v>
      </c>
      <c r="AM43" s="8">
        <f t="shared" si="59"/>
        <v>75</v>
      </c>
      <c r="AN43" s="8">
        <f t="shared" si="60"/>
        <v>0</v>
      </c>
      <c r="AO43" s="8" t="str">
        <f>IFERROR(ROUND('ENTRY DATA'!BJ54,0),"-")</f>
        <v>-</v>
      </c>
      <c r="AP43" s="8" t="str">
        <f>'ENTRY DATA'!BK54</f>
        <v>-</v>
      </c>
      <c r="AQ43" s="8" t="str">
        <f>IFERROR(ROUND('ENTRY DATA'!BL54,0),"-")</f>
        <v>-</v>
      </c>
      <c r="AR43" s="8" t="str">
        <f>'ENTRY DATA'!BM54</f>
        <v>-</v>
      </c>
      <c r="AS43" s="7">
        <f t="shared" si="61"/>
        <v>75</v>
      </c>
      <c r="AT43" s="7">
        <f t="shared" si="62"/>
        <v>0</v>
      </c>
      <c r="AU43" s="7" t="str">
        <f>IFERROR(ROUND('ENTRY DATA'!BV54,0),"-")</f>
        <v>-</v>
      </c>
      <c r="AV43" s="7" t="str">
        <f>'ENTRY DATA'!BW54</f>
        <v>-</v>
      </c>
      <c r="AW43" s="7" t="str">
        <f>IFERROR(ROUND('ENTRY DATA'!BX54,0),"-")</f>
        <v>-</v>
      </c>
      <c r="AX43" s="7" t="str">
        <f>'ENTRY DATA'!BY54</f>
        <v>-</v>
      </c>
      <c r="AY43" s="8">
        <f t="shared" si="63"/>
        <v>75</v>
      </c>
      <c r="AZ43" s="8">
        <f t="shared" si="64"/>
        <v>0</v>
      </c>
      <c r="BA43" s="8" t="str">
        <f>IFERROR(ROUND('ENTRY DATA'!CH54,0),"-")</f>
        <v>-</v>
      </c>
      <c r="BB43" s="8" t="str">
        <f>'ENTRY DATA'!CI54</f>
        <v>-</v>
      </c>
      <c r="BC43" s="8" t="str">
        <f>IFERROR(ROUND('ENTRY DATA'!CJ54,0),"-")</f>
        <v>-</v>
      </c>
      <c r="BD43" s="8" t="str">
        <f>'ENTRY DATA'!CK54</f>
        <v>-</v>
      </c>
      <c r="BE43" s="7">
        <f t="shared" si="65"/>
        <v>75</v>
      </c>
      <c r="BF43" s="7">
        <f t="shared" si="66"/>
        <v>0</v>
      </c>
      <c r="BG43" s="7" t="str">
        <f>IFERROR(ROUND('ENTRY DATA'!CT54,0),"-")</f>
        <v>-</v>
      </c>
      <c r="BH43" s="7" t="str">
        <f>'ENTRY DATA'!CU54</f>
        <v>-</v>
      </c>
      <c r="BI43" s="7" t="str">
        <f>IFERROR(ROUND('ENTRY DATA'!CV54,0),"-")</f>
        <v>-</v>
      </c>
      <c r="BJ43" s="7" t="str">
        <f>'ENTRY DATA'!CW54</f>
        <v>-</v>
      </c>
      <c r="BK43" s="8">
        <f t="shared" si="67"/>
        <v>75</v>
      </c>
      <c r="BL43" s="8">
        <f t="shared" si="68"/>
        <v>0</v>
      </c>
      <c r="BM43" s="8" t="str">
        <f>IFERROR(ROUND('ENTRY DATA'!DF54,0),"-")</f>
        <v>-</v>
      </c>
      <c r="BN43" s="8" t="str">
        <f>'ENTRY DATA'!DG54</f>
        <v>-</v>
      </c>
      <c r="BO43" s="8" t="str">
        <f>IFERROR(ROUND('ENTRY DATA'!DH54,0),"-")</f>
        <v>-</v>
      </c>
      <c r="BP43" s="8" t="str">
        <f>'ENTRY DATA'!DI54</f>
        <v>-</v>
      </c>
      <c r="BQ43" s="7">
        <f t="shared" si="69"/>
        <v>75</v>
      </c>
      <c r="BR43" s="7">
        <f t="shared" si="70"/>
        <v>0</v>
      </c>
      <c r="BS43" s="7" t="str">
        <f>IFERROR(ROUND('ENTRY DATA'!DR54,0),"-")</f>
        <v>-</v>
      </c>
      <c r="BT43" s="7" t="str">
        <f>'ENTRY DATA'!DS54</f>
        <v>-</v>
      </c>
      <c r="BU43" s="7" t="str">
        <f>IFERROR(ROUND('ENTRY DATA'!DT54,0),"-")</f>
        <v>-</v>
      </c>
      <c r="BV43" s="7" t="str">
        <f>'ENTRY DATA'!DU54</f>
        <v>-</v>
      </c>
      <c r="BW43" s="8" t="str">
        <f>'ENTRY DATA'!$DV$8</f>
        <v>Matematika</v>
      </c>
      <c r="BX43" s="8">
        <f t="shared" si="71"/>
        <v>75</v>
      </c>
      <c r="BY43" s="8">
        <f t="shared" si="72"/>
        <v>0</v>
      </c>
      <c r="BZ43" s="8" t="str">
        <f>IFERROR(ROUND('ENTRY DATA'!ED54,0),"-")</f>
        <v>-</v>
      </c>
      <c r="CA43" s="8" t="str">
        <f>'ENTRY DATA'!EE54</f>
        <v>-</v>
      </c>
      <c r="CB43" s="8" t="str">
        <f>IFERROR(ROUND('ENTRY DATA'!EF54,0),"-")</f>
        <v>-</v>
      </c>
      <c r="CC43" s="8" t="str">
        <f>'ENTRY DATA'!EG54</f>
        <v>-</v>
      </c>
      <c r="CD43" s="7" t="str">
        <f>'ENTRY DATA'!$EH$8</f>
        <v>Biologi</v>
      </c>
      <c r="CE43" s="7">
        <f t="shared" si="73"/>
        <v>75</v>
      </c>
      <c r="CF43" s="7">
        <f t="shared" si="74"/>
        <v>0</v>
      </c>
      <c r="CG43" s="7" t="str">
        <f>IFERROR(ROUND('ENTRY DATA'!EP54,0),"-")</f>
        <v>-</v>
      </c>
      <c r="CH43" s="7" t="str">
        <f>'ENTRY DATA'!EQ54</f>
        <v>-</v>
      </c>
      <c r="CI43" s="7" t="str">
        <f>IFERROR(ROUND('ENTRY DATA'!ER54,0),"-")</f>
        <v>-</v>
      </c>
      <c r="CJ43" s="7" t="str">
        <f>'ENTRY DATA'!ES54</f>
        <v>-</v>
      </c>
      <c r="CK43" s="8" t="str">
        <f>'ENTRY DATA'!$ET$8</f>
        <v>Fisika</v>
      </c>
      <c r="CL43" s="8">
        <f t="shared" si="75"/>
        <v>75</v>
      </c>
      <c r="CM43" s="8">
        <f t="shared" si="76"/>
        <v>0</v>
      </c>
      <c r="CN43" s="8" t="str">
        <f>IFERROR(ROUND('ENTRY DATA'!FB54,0),"-")</f>
        <v>-</v>
      </c>
      <c r="CO43" s="8" t="str">
        <f>'ENTRY DATA'!FC54</f>
        <v>-</v>
      </c>
      <c r="CP43" s="8" t="str">
        <f>IFERROR(ROUND('ENTRY DATA'!FD54,0),"-")</f>
        <v>-</v>
      </c>
      <c r="CQ43" s="8" t="str">
        <f>'ENTRY DATA'!FE54</f>
        <v>-</v>
      </c>
      <c r="CR43" s="7" t="str">
        <f>'ENTRY DATA'!$FF$8</f>
        <v>Kimia</v>
      </c>
      <c r="CS43" s="7">
        <f t="shared" si="77"/>
        <v>75</v>
      </c>
      <c r="CT43" s="7">
        <f t="shared" si="78"/>
        <v>0</v>
      </c>
      <c r="CU43" s="7" t="str">
        <f>IFERROR(ROUND('ENTRY DATA'!FN54,0),"-")</f>
        <v>-</v>
      </c>
      <c r="CV43" s="7" t="str">
        <f>'ENTRY DATA'!FO54</f>
        <v>-</v>
      </c>
      <c r="CW43" s="7" t="str">
        <f>IFERROR(ROUND('ENTRY DATA'!FP54,0),"-")</f>
        <v>-</v>
      </c>
      <c r="CX43" s="7" t="str">
        <f>'ENTRY DATA'!FQ54</f>
        <v>-</v>
      </c>
      <c r="CY43" s="8" t="str">
        <f>'ENTRY DATA'!$FR$8</f>
        <v>-</v>
      </c>
      <c r="CZ43" s="8">
        <f t="shared" si="79"/>
        <v>75</v>
      </c>
      <c r="DA43" s="8">
        <f t="shared" si="80"/>
        <v>0</v>
      </c>
      <c r="DB43" s="8" t="str">
        <f>IFERROR(ROUND('ENTRY DATA'!FZ54,0),"-")</f>
        <v>-</v>
      </c>
      <c r="DC43" s="8" t="str">
        <f>'ENTRY DATA'!GA54</f>
        <v>-</v>
      </c>
      <c r="DD43" s="8" t="str">
        <f>IFERROR(ROUND('ENTRY DATA'!GB54,0),"-")</f>
        <v>-</v>
      </c>
      <c r="DE43" s="8" t="str">
        <f>'ENTRY DATA'!GC54</f>
        <v>-</v>
      </c>
      <c r="DF43" s="7" t="str">
        <f>'ENTRY DATA'!$GD$8</f>
        <v>-</v>
      </c>
      <c r="DG43" s="7">
        <f t="shared" si="81"/>
        <v>75</v>
      </c>
      <c r="DH43" s="7">
        <f t="shared" si="82"/>
        <v>0</v>
      </c>
      <c r="DI43" s="7" t="str">
        <f>IFERROR(ROUND('ENTRY DATA'!GL54,0),"-")</f>
        <v>-</v>
      </c>
      <c r="DJ43" s="7" t="str">
        <f>'ENTRY DATA'!GM54</f>
        <v>-</v>
      </c>
      <c r="DK43" s="7" t="str">
        <f>IFERROR(ROUND('ENTRY DATA'!GN54,0),"-")</f>
        <v>-</v>
      </c>
      <c r="DL43" s="7" t="str">
        <f>'ENTRY DATA'!GO54</f>
        <v>-</v>
      </c>
      <c r="DM43" s="16" t="str">
        <f>'ENTRY DATA'!HJ54</f>
        <v>-</v>
      </c>
      <c r="DN43" s="16" t="str">
        <f>'ENTRY DATA'!HK54</f>
        <v>-</v>
      </c>
      <c r="DO43" s="16" t="str">
        <f>'ENTRY DATA'!IF54</f>
        <v>-</v>
      </c>
      <c r="DP43" s="16" t="str">
        <f>'ENTRY DATA'!IG54</f>
        <v>-</v>
      </c>
      <c r="DQ43" s="2" t="str">
        <f>'ENTRY DATA'!IH54</f>
        <v>Pramuka</v>
      </c>
      <c r="DR43" s="2" t="str">
        <f>'ENTRY DATA'!II54</f>
        <v>B</v>
      </c>
      <c r="DS43" s="2" t="str">
        <f>'ENTRY DATA'!IJ54</f>
        <v>Aktif dalam mengikuti kegiatan</v>
      </c>
      <c r="DT43" s="2" t="str">
        <f>'ENTRY DATA'!IK54</f>
        <v>-</v>
      </c>
      <c r="DU43" s="2" t="str">
        <f>'ENTRY DATA'!IL54</f>
        <v>-</v>
      </c>
      <c r="DV43" s="2" t="str">
        <f>'ENTRY DATA'!IM54</f>
        <v>-</v>
      </c>
      <c r="DW43" s="2" t="str">
        <f>'ENTRY DATA'!IN54</f>
        <v>-</v>
      </c>
      <c r="DX43" s="2" t="str">
        <f>'ENTRY DATA'!IO54</f>
        <v>-</v>
      </c>
      <c r="DY43" s="2" t="str">
        <f>'ENTRY DATA'!IP54</f>
        <v>-</v>
      </c>
      <c r="DZ43" s="2" t="str">
        <f>'ENTRY DATA'!IQ54</f>
        <v>-</v>
      </c>
      <c r="EA43" s="2" t="str">
        <f>'ENTRY DATA'!IR54</f>
        <v>-</v>
      </c>
      <c r="EB43" s="2" t="str">
        <f>'ENTRY DATA'!IS54</f>
        <v>-</v>
      </c>
      <c r="EC43" s="2" t="str">
        <f>'ENTRY DATA'!IT54</f>
        <v>-</v>
      </c>
      <c r="ED43" s="2" t="str">
        <f>'ENTRY DATA'!IU54</f>
        <v>-</v>
      </c>
      <c r="EE43" s="2" t="str">
        <f>'ENTRY DATA'!IV54</f>
        <v>-</v>
      </c>
      <c r="EF43" s="2" t="str">
        <f>'ENTRY DATA'!IW54</f>
        <v>-</v>
      </c>
      <c r="EG43" s="2" t="str">
        <f>'ENTRY DATA'!IX54</f>
        <v>-</v>
      </c>
      <c r="EH43" s="2" t="str">
        <f>'ENTRY DATA'!IY54</f>
        <v>-</v>
      </c>
      <c r="EI43" s="2" t="str">
        <f>'ENTRY DATA'!IZ54</f>
        <v>-</v>
      </c>
      <c r="EJ43" s="2">
        <f>'ENTRY DATA'!JA54</f>
        <v>0</v>
      </c>
      <c r="EK43" s="2">
        <f>'ENTRY DATA'!JB54</f>
        <v>1</v>
      </c>
    </row>
    <row r="44" spans="1:141" x14ac:dyDescent="0.25">
      <c r="A44" s="2" t="str">
        <f t="shared" si="42"/>
        <v>MIPA</v>
      </c>
      <c r="B44" s="2" t="str">
        <f t="shared" si="43"/>
        <v>Bandung, 10 Oktober 2022</v>
      </c>
      <c r="C44" s="2" t="str">
        <f t="shared" si="44"/>
        <v>Drs. Ahmad Fathony</v>
      </c>
      <c r="D44" s="2" t="str">
        <f t="shared" si="45"/>
        <v>12345678 123456 1 123</v>
      </c>
      <c r="E44" s="2" t="str">
        <f t="shared" si="46"/>
        <v>H. Abdul Basith, M.Pd.</v>
      </c>
      <c r="F44" s="2" t="str">
        <f t="shared" si="47"/>
        <v>12341234 123123 1 234</v>
      </c>
      <c r="G44" s="74">
        <f>'ENTRY DATA'!B55</f>
        <v>0</v>
      </c>
      <c r="H44" s="74">
        <f>'ENTRY DATA'!C55</f>
        <v>0</v>
      </c>
      <c r="I44" s="74">
        <f>'ENTRY DATA'!D55</f>
        <v>0</v>
      </c>
      <c r="J44" s="74">
        <f>'ENTRY DATA'!E55</f>
        <v>0</v>
      </c>
      <c r="K44" s="7" t="str">
        <f t="shared" si="48"/>
        <v>X MIPA-1</v>
      </c>
      <c r="L44" s="7">
        <f t="shared" si="49"/>
        <v>1</v>
      </c>
      <c r="M44" s="7" t="str">
        <f t="shared" si="41"/>
        <v>Ganjil</v>
      </c>
      <c r="N44" s="7" t="str">
        <f t="shared" si="50"/>
        <v>2022/2023</v>
      </c>
      <c r="O44" s="8">
        <f t="shared" si="51"/>
        <v>75</v>
      </c>
      <c r="P44" s="8">
        <f t="shared" si="52"/>
        <v>0</v>
      </c>
      <c r="Q44" s="8" t="str">
        <f>IFERROR(ROUND('ENTRY DATA'!N55,0),"-")</f>
        <v>-</v>
      </c>
      <c r="R44" s="8" t="str">
        <f>'ENTRY DATA'!O55</f>
        <v>-</v>
      </c>
      <c r="S44" s="8" t="str">
        <f>IFERROR(ROUND('ENTRY DATA'!P55,0),"-")</f>
        <v>-</v>
      </c>
      <c r="T44" s="8" t="str">
        <f>'ENTRY DATA'!Q55</f>
        <v>-</v>
      </c>
      <c r="U44" s="7">
        <f t="shared" si="53"/>
        <v>75</v>
      </c>
      <c r="V44" s="7">
        <f t="shared" si="54"/>
        <v>0</v>
      </c>
      <c r="W44" s="7" t="str">
        <f>IFERROR(ROUND('ENTRY DATA'!Z55,0),"-")</f>
        <v>-</v>
      </c>
      <c r="X44" s="7" t="str">
        <f>'ENTRY DATA'!AA55</f>
        <v>-</v>
      </c>
      <c r="Y44" s="7" t="str">
        <f>IFERROR(ROUND('ENTRY DATA'!AB55,0),"-")</f>
        <v>-</v>
      </c>
      <c r="Z44" s="7" t="str">
        <f>'ENTRY DATA'!AC55</f>
        <v>-</v>
      </c>
      <c r="AA44" s="8">
        <f t="shared" si="55"/>
        <v>75</v>
      </c>
      <c r="AB44" s="8">
        <f t="shared" si="56"/>
        <v>0</v>
      </c>
      <c r="AC44" s="8" t="str">
        <f>IFERROR(ROUND('ENTRY DATA'!AL55,0),"-")</f>
        <v>-</v>
      </c>
      <c r="AD44" s="8" t="str">
        <f>'ENTRY DATA'!AM55</f>
        <v>-</v>
      </c>
      <c r="AE44" s="8" t="str">
        <f>IFERROR(ROUND('ENTRY DATA'!AN55,0),"-")</f>
        <v>-</v>
      </c>
      <c r="AF44" s="8" t="str">
        <f>'ENTRY DATA'!AO55</f>
        <v>-</v>
      </c>
      <c r="AG44" s="7">
        <f t="shared" si="57"/>
        <v>75</v>
      </c>
      <c r="AH44" s="7">
        <f t="shared" si="58"/>
        <v>0</v>
      </c>
      <c r="AI44" s="7" t="str">
        <f>IFERROR(ROUND('ENTRY DATA'!AX55,0),"-")</f>
        <v>-</v>
      </c>
      <c r="AJ44" s="7" t="str">
        <f>'ENTRY DATA'!AY55</f>
        <v>-</v>
      </c>
      <c r="AK44" s="7" t="str">
        <f>IFERROR(ROUND('ENTRY DATA'!AZ55,0),"-")</f>
        <v>-</v>
      </c>
      <c r="AL44" s="7" t="str">
        <f>'ENTRY DATA'!BA55</f>
        <v>-</v>
      </c>
      <c r="AM44" s="8">
        <f t="shared" si="59"/>
        <v>75</v>
      </c>
      <c r="AN44" s="8">
        <f t="shared" si="60"/>
        <v>0</v>
      </c>
      <c r="AO44" s="8" t="str">
        <f>IFERROR(ROUND('ENTRY DATA'!BJ55,0),"-")</f>
        <v>-</v>
      </c>
      <c r="AP44" s="8" t="str">
        <f>'ENTRY DATA'!BK55</f>
        <v>-</v>
      </c>
      <c r="AQ44" s="8" t="str">
        <f>IFERROR(ROUND('ENTRY DATA'!BL55,0),"-")</f>
        <v>-</v>
      </c>
      <c r="AR44" s="8" t="str">
        <f>'ENTRY DATA'!BM55</f>
        <v>-</v>
      </c>
      <c r="AS44" s="7">
        <f t="shared" si="61"/>
        <v>75</v>
      </c>
      <c r="AT44" s="7">
        <f t="shared" si="62"/>
        <v>0</v>
      </c>
      <c r="AU44" s="7" t="str">
        <f>IFERROR(ROUND('ENTRY DATA'!BV55,0),"-")</f>
        <v>-</v>
      </c>
      <c r="AV44" s="7" t="str">
        <f>'ENTRY DATA'!BW55</f>
        <v>-</v>
      </c>
      <c r="AW44" s="7" t="str">
        <f>IFERROR(ROUND('ENTRY DATA'!BX55,0),"-")</f>
        <v>-</v>
      </c>
      <c r="AX44" s="7" t="str">
        <f>'ENTRY DATA'!BY55</f>
        <v>-</v>
      </c>
      <c r="AY44" s="8">
        <f t="shared" si="63"/>
        <v>75</v>
      </c>
      <c r="AZ44" s="8">
        <f t="shared" si="64"/>
        <v>0</v>
      </c>
      <c r="BA44" s="8" t="str">
        <f>IFERROR(ROUND('ENTRY DATA'!CH55,0),"-")</f>
        <v>-</v>
      </c>
      <c r="BB44" s="8" t="str">
        <f>'ENTRY DATA'!CI55</f>
        <v>-</v>
      </c>
      <c r="BC44" s="8" t="str">
        <f>IFERROR(ROUND('ENTRY DATA'!CJ55,0),"-")</f>
        <v>-</v>
      </c>
      <c r="BD44" s="8" t="str">
        <f>'ENTRY DATA'!CK55</f>
        <v>-</v>
      </c>
      <c r="BE44" s="7">
        <f t="shared" si="65"/>
        <v>75</v>
      </c>
      <c r="BF44" s="7">
        <f t="shared" si="66"/>
        <v>0</v>
      </c>
      <c r="BG44" s="7" t="str">
        <f>IFERROR(ROUND('ENTRY DATA'!CT55,0),"-")</f>
        <v>-</v>
      </c>
      <c r="BH44" s="7" t="str">
        <f>'ENTRY DATA'!CU55</f>
        <v>-</v>
      </c>
      <c r="BI44" s="7" t="str">
        <f>IFERROR(ROUND('ENTRY DATA'!CV55,0),"-")</f>
        <v>-</v>
      </c>
      <c r="BJ44" s="7" t="str">
        <f>'ENTRY DATA'!CW55</f>
        <v>-</v>
      </c>
      <c r="BK44" s="8">
        <f t="shared" si="67"/>
        <v>75</v>
      </c>
      <c r="BL44" s="8">
        <f t="shared" si="68"/>
        <v>0</v>
      </c>
      <c r="BM44" s="8" t="str">
        <f>IFERROR(ROUND('ENTRY DATA'!DF55,0),"-")</f>
        <v>-</v>
      </c>
      <c r="BN44" s="8" t="str">
        <f>'ENTRY DATA'!DG55</f>
        <v>-</v>
      </c>
      <c r="BO44" s="8" t="str">
        <f>IFERROR(ROUND('ENTRY DATA'!DH55,0),"-")</f>
        <v>-</v>
      </c>
      <c r="BP44" s="8" t="str">
        <f>'ENTRY DATA'!DI55</f>
        <v>-</v>
      </c>
      <c r="BQ44" s="7">
        <f t="shared" si="69"/>
        <v>75</v>
      </c>
      <c r="BR44" s="7">
        <f t="shared" si="70"/>
        <v>0</v>
      </c>
      <c r="BS44" s="7" t="str">
        <f>IFERROR(ROUND('ENTRY DATA'!DR55,0),"-")</f>
        <v>-</v>
      </c>
      <c r="BT44" s="7" t="str">
        <f>'ENTRY DATA'!DS55</f>
        <v>-</v>
      </c>
      <c r="BU44" s="7" t="str">
        <f>IFERROR(ROUND('ENTRY DATA'!DT55,0),"-")</f>
        <v>-</v>
      </c>
      <c r="BV44" s="7" t="str">
        <f>'ENTRY DATA'!DU55</f>
        <v>-</v>
      </c>
      <c r="BW44" s="8" t="str">
        <f>'ENTRY DATA'!$DV$8</f>
        <v>Matematika</v>
      </c>
      <c r="BX44" s="8">
        <f t="shared" si="71"/>
        <v>75</v>
      </c>
      <c r="BY44" s="8">
        <f t="shared" si="72"/>
        <v>0</v>
      </c>
      <c r="BZ44" s="8" t="str">
        <f>IFERROR(ROUND('ENTRY DATA'!ED55,0),"-")</f>
        <v>-</v>
      </c>
      <c r="CA44" s="8" t="str">
        <f>'ENTRY DATA'!EE55</f>
        <v>-</v>
      </c>
      <c r="CB44" s="8" t="str">
        <f>IFERROR(ROUND('ENTRY DATA'!EF55,0),"-")</f>
        <v>-</v>
      </c>
      <c r="CC44" s="8" t="str">
        <f>'ENTRY DATA'!EG55</f>
        <v>-</v>
      </c>
      <c r="CD44" s="7" t="str">
        <f>'ENTRY DATA'!$EH$8</f>
        <v>Biologi</v>
      </c>
      <c r="CE44" s="7">
        <f t="shared" si="73"/>
        <v>75</v>
      </c>
      <c r="CF44" s="7">
        <f t="shared" si="74"/>
        <v>0</v>
      </c>
      <c r="CG44" s="7" t="str">
        <f>IFERROR(ROUND('ENTRY DATA'!EP55,0),"-")</f>
        <v>-</v>
      </c>
      <c r="CH44" s="7" t="str">
        <f>'ENTRY DATA'!EQ55</f>
        <v>-</v>
      </c>
      <c r="CI44" s="7" t="str">
        <f>IFERROR(ROUND('ENTRY DATA'!ER55,0),"-")</f>
        <v>-</v>
      </c>
      <c r="CJ44" s="7" t="str">
        <f>'ENTRY DATA'!ES55</f>
        <v>-</v>
      </c>
      <c r="CK44" s="8" t="str">
        <f>'ENTRY DATA'!$ET$8</f>
        <v>Fisika</v>
      </c>
      <c r="CL44" s="8">
        <f t="shared" si="75"/>
        <v>75</v>
      </c>
      <c r="CM44" s="8">
        <f t="shared" si="76"/>
        <v>0</v>
      </c>
      <c r="CN44" s="8" t="str">
        <f>IFERROR(ROUND('ENTRY DATA'!FB55,0),"-")</f>
        <v>-</v>
      </c>
      <c r="CO44" s="8" t="str">
        <f>'ENTRY DATA'!FC55</f>
        <v>-</v>
      </c>
      <c r="CP44" s="8" t="str">
        <f>IFERROR(ROUND('ENTRY DATA'!FD55,0),"-")</f>
        <v>-</v>
      </c>
      <c r="CQ44" s="8" t="str">
        <f>'ENTRY DATA'!FE55</f>
        <v>-</v>
      </c>
      <c r="CR44" s="7" t="str">
        <f>'ENTRY DATA'!$FF$8</f>
        <v>Kimia</v>
      </c>
      <c r="CS44" s="7">
        <f t="shared" si="77"/>
        <v>75</v>
      </c>
      <c r="CT44" s="7">
        <f t="shared" si="78"/>
        <v>0</v>
      </c>
      <c r="CU44" s="7" t="str">
        <f>IFERROR(ROUND('ENTRY DATA'!FN55,0),"-")</f>
        <v>-</v>
      </c>
      <c r="CV44" s="7" t="str">
        <f>'ENTRY DATA'!FO55</f>
        <v>-</v>
      </c>
      <c r="CW44" s="7" t="str">
        <f>IFERROR(ROUND('ENTRY DATA'!FP55,0),"-")</f>
        <v>-</v>
      </c>
      <c r="CX44" s="7" t="str">
        <f>'ENTRY DATA'!FQ55</f>
        <v>-</v>
      </c>
      <c r="CY44" s="8" t="str">
        <f>'ENTRY DATA'!$FR$8</f>
        <v>-</v>
      </c>
      <c r="CZ44" s="8">
        <f t="shared" si="79"/>
        <v>75</v>
      </c>
      <c r="DA44" s="8">
        <f t="shared" si="80"/>
        <v>0</v>
      </c>
      <c r="DB44" s="8" t="str">
        <f>IFERROR(ROUND('ENTRY DATA'!FZ55,0),"-")</f>
        <v>-</v>
      </c>
      <c r="DC44" s="8" t="str">
        <f>'ENTRY DATA'!GA55</f>
        <v>-</v>
      </c>
      <c r="DD44" s="8" t="str">
        <f>IFERROR(ROUND('ENTRY DATA'!GB55,0),"-")</f>
        <v>-</v>
      </c>
      <c r="DE44" s="8" t="str">
        <f>'ENTRY DATA'!GC55</f>
        <v>-</v>
      </c>
      <c r="DF44" s="7" t="str">
        <f>'ENTRY DATA'!$GD$8</f>
        <v>-</v>
      </c>
      <c r="DG44" s="7">
        <f t="shared" si="81"/>
        <v>75</v>
      </c>
      <c r="DH44" s="7">
        <f t="shared" si="82"/>
        <v>0</v>
      </c>
      <c r="DI44" s="7" t="str">
        <f>IFERROR(ROUND('ENTRY DATA'!GL55,0),"-")</f>
        <v>-</v>
      </c>
      <c r="DJ44" s="7" t="str">
        <f>'ENTRY DATA'!GM55</f>
        <v>-</v>
      </c>
      <c r="DK44" s="7" t="str">
        <f>IFERROR(ROUND('ENTRY DATA'!GN55,0),"-")</f>
        <v>-</v>
      </c>
      <c r="DL44" s="7" t="str">
        <f>'ENTRY DATA'!GO55</f>
        <v>-</v>
      </c>
      <c r="DM44" s="16" t="str">
        <f>'ENTRY DATA'!HJ55</f>
        <v>-</v>
      </c>
      <c r="DN44" s="16" t="str">
        <f>'ENTRY DATA'!HK55</f>
        <v>-</v>
      </c>
      <c r="DO44" s="16" t="str">
        <f>'ENTRY DATA'!IF55</f>
        <v>-</v>
      </c>
      <c r="DP44" s="16" t="str">
        <f>'ENTRY DATA'!IG55</f>
        <v>-</v>
      </c>
      <c r="DQ44" s="2" t="str">
        <f>'ENTRY DATA'!IH55</f>
        <v>Pramuka</v>
      </c>
      <c r="DR44" s="2" t="str">
        <f>'ENTRY DATA'!II55</f>
        <v>B</v>
      </c>
      <c r="DS44" s="2" t="str">
        <f>'ENTRY DATA'!IJ55</f>
        <v>Aktif dalam mengikuti kegiatan</v>
      </c>
      <c r="DT44" s="2" t="str">
        <f>'ENTRY DATA'!IK55</f>
        <v>-</v>
      </c>
      <c r="DU44" s="2" t="str">
        <f>'ENTRY DATA'!IL55</f>
        <v>-</v>
      </c>
      <c r="DV44" s="2" t="str">
        <f>'ENTRY DATA'!IM55</f>
        <v>-</v>
      </c>
      <c r="DW44" s="2" t="str">
        <f>'ENTRY DATA'!IN55</f>
        <v>-</v>
      </c>
      <c r="DX44" s="2" t="str">
        <f>'ENTRY DATA'!IO55</f>
        <v>-</v>
      </c>
      <c r="DY44" s="2" t="str">
        <f>'ENTRY DATA'!IP55</f>
        <v>-</v>
      </c>
      <c r="DZ44" s="2" t="str">
        <f>'ENTRY DATA'!IQ55</f>
        <v>-</v>
      </c>
      <c r="EA44" s="2" t="str">
        <f>'ENTRY DATA'!IR55</f>
        <v>-</v>
      </c>
      <c r="EB44" s="2" t="str">
        <f>'ENTRY DATA'!IS55</f>
        <v>-</v>
      </c>
      <c r="EC44" s="2" t="str">
        <f>'ENTRY DATA'!IT55</f>
        <v>-</v>
      </c>
      <c r="ED44" s="2" t="str">
        <f>'ENTRY DATA'!IU55</f>
        <v>-</v>
      </c>
      <c r="EE44" s="2" t="str">
        <f>'ENTRY DATA'!IV55</f>
        <v>-</v>
      </c>
      <c r="EF44" s="2" t="str">
        <f>'ENTRY DATA'!IW55</f>
        <v>-</v>
      </c>
      <c r="EG44" s="2" t="str">
        <f>'ENTRY DATA'!IX55</f>
        <v>-</v>
      </c>
      <c r="EH44" s="2" t="str">
        <f>'ENTRY DATA'!IY55</f>
        <v>-</v>
      </c>
      <c r="EI44" s="2" t="str">
        <f>'ENTRY DATA'!IZ55</f>
        <v>-</v>
      </c>
      <c r="EJ44" s="2">
        <f>'ENTRY DATA'!JA55</f>
        <v>0</v>
      </c>
      <c r="EK44" s="2">
        <f>'ENTRY DATA'!JB55</f>
        <v>1</v>
      </c>
    </row>
    <row r="45" spans="1:141" x14ac:dyDescent="0.25">
      <c r="A45" s="2" t="str">
        <f t="shared" si="42"/>
        <v>MIPA</v>
      </c>
      <c r="B45" s="2" t="str">
        <f t="shared" si="43"/>
        <v>Bandung, 10 Oktober 2022</v>
      </c>
      <c r="C45" s="2" t="str">
        <f t="shared" si="44"/>
        <v>Drs. Ahmad Fathony</v>
      </c>
      <c r="D45" s="2" t="str">
        <f t="shared" si="45"/>
        <v>12345678 123456 1 123</v>
      </c>
      <c r="E45" s="2" t="str">
        <f t="shared" si="46"/>
        <v>H. Abdul Basith, M.Pd.</v>
      </c>
      <c r="F45" s="2" t="str">
        <f t="shared" si="47"/>
        <v>12341234 123123 1 234</v>
      </c>
      <c r="G45" s="74">
        <f>'ENTRY DATA'!B56</f>
        <v>0</v>
      </c>
      <c r="H45" s="74">
        <f>'ENTRY DATA'!C56</f>
        <v>0</v>
      </c>
      <c r="I45" s="74">
        <f>'ENTRY DATA'!D56</f>
        <v>0</v>
      </c>
      <c r="J45" s="74">
        <f>'ENTRY DATA'!E56</f>
        <v>0</v>
      </c>
      <c r="K45" s="7" t="str">
        <f t="shared" si="48"/>
        <v>X MIPA-1</v>
      </c>
      <c r="L45" s="7">
        <f t="shared" si="49"/>
        <v>1</v>
      </c>
      <c r="M45" s="7" t="str">
        <f t="shared" si="41"/>
        <v>Ganjil</v>
      </c>
      <c r="N45" s="7" t="str">
        <f t="shared" si="50"/>
        <v>2022/2023</v>
      </c>
      <c r="O45" s="8">
        <f t="shared" si="51"/>
        <v>75</v>
      </c>
      <c r="P45" s="8">
        <f t="shared" si="52"/>
        <v>0</v>
      </c>
      <c r="Q45" s="8" t="str">
        <f>IFERROR(ROUND('ENTRY DATA'!N56,0),"-")</f>
        <v>-</v>
      </c>
      <c r="R45" s="8" t="str">
        <f>'ENTRY DATA'!O56</f>
        <v>-</v>
      </c>
      <c r="S45" s="8" t="str">
        <f>IFERROR(ROUND('ENTRY DATA'!P56,0),"-")</f>
        <v>-</v>
      </c>
      <c r="T45" s="8" t="str">
        <f>'ENTRY DATA'!Q56</f>
        <v>-</v>
      </c>
      <c r="U45" s="7">
        <f t="shared" si="53"/>
        <v>75</v>
      </c>
      <c r="V45" s="7">
        <f t="shared" si="54"/>
        <v>0</v>
      </c>
      <c r="W45" s="7" t="str">
        <f>IFERROR(ROUND('ENTRY DATA'!Z56,0),"-")</f>
        <v>-</v>
      </c>
      <c r="X45" s="7" t="str">
        <f>'ENTRY DATA'!AA56</f>
        <v>-</v>
      </c>
      <c r="Y45" s="7" t="str">
        <f>IFERROR(ROUND('ENTRY DATA'!AB56,0),"-")</f>
        <v>-</v>
      </c>
      <c r="Z45" s="7" t="str">
        <f>'ENTRY DATA'!AC56</f>
        <v>-</v>
      </c>
      <c r="AA45" s="8">
        <f t="shared" si="55"/>
        <v>75</v>
      </c>
      <c r="AB45" s="8">
        <f t="shared" si="56"/>
        <v>0</v>
      </c>
      <c r="AC45" s="8" t="str">
        <f>IFERROR(ROUND('ENTRY DATA'!AL56,0),"-")</f>
        <v>-</v>
      </c>
      <c r="AD45" s="8" t="str">
        <f>'ENTRY DATA'!AM56</f>
        <v>-</v>
      </c>
      <c r="AE45" s="8" t="str">
        <f>IFERROR(ROUND('ENTRY DATA'!AN56,0),"-")</f>
        <v>-</v>
      </c>
      <c r="AF45" s="8" t="str">
        <f>'ENTRY DATA'!AO56</f>
        <v>-</v>
      </c>
      <c r="AG45" s="7">
        <f t="shared" si="57"/>
        <v>75</v>
      </c>
      <c r="AH45" s="7">
        <f t="shared" si="58"/>
        <v>0</v>
      </c>
      <c r="AI45" s="7" t="str">
        <f>IFERROR(ROUND('ENTRY DATA'!AX56,0),"-")</f>
        <v>-</v>
      </c>
      <c r="AJ45" s="7" t="str">
        <f>'ENTRY DATA'!AY56</f>
        <v>-</v>
      </c>
      <c r="AK45" s="7" t="str">
        <f>IFERROR(ROUND('ENTRY DATA'!AZ56,0),"-")</f>
        <v>-</v>
      </c>
      <c r="AL45" s="7" t="str">
        <f>'ENTRY DATA'!BA56</f>
        <v>-</v>
      </c>
      <c r="AM45" s="8">
        <f t="shared" si="59"/>
        <v>75</v>
      </c>
      <c r="AN45" s="8">
        <f t="shared" si="60"/>
        <v>0</v>
      </c>
      <c r="AO45" s="8" t="str">
        <f>IFERROR(ROUND('ENTRY DATA'!BJ56,0),"-")</f>
        <v>-</v>
      </c>
      <c r="AP45" s="8" t="str">
        <f>'ENTRY DATA'!BK56</f>
        <v>-</v>
      </c>
      <c r="AQ45" s="8" t="str">
        <f>IFERROR(ROUND('ENTRY DATA'!BL56,0),"-")</f>
        <v>-</v>
      </c>
      <c r="AR45" s="8" t="str">
        <f>'ENTRY DATA'!BM56</f>
        <v>-</v>
      </c>
      <c r="AS45" s="7">
        <f t="shared" si="61"/>
        <v>75</v>
      </c>
      <c r="AT45" s="7">
        <f t="shared" si="62"/>
        <v>0</v>
      </c>
      <c r="AU45" s="7" t="str">
        <f>IFERROR(ROUND('ENTRY DATA'!BV56,0),"-")</f>
        <v>-</v>
      </c>
      <c r="AV45" s="7" t="str">
        <f>'ENTRY DATA'!BW56</f>
        <v>-</v>
      </c>
      <c r="AW45" s="7" t="str">
        <f>IFERROR(ROUND('ENTRY DATA'!BX56,0),"-")</f>
        <v>-</v>
      </c>
      <c r="AX45" s="7" t="str">
        <f>'ENTRY DATA'!BY56</f>
        <v>-</v>
      </c>
      <c r="AY45" s="8">
        <f t="shared" si="63"/>
        <v>75</v>
      </c>
      <c r="AZ45" s="8">
        <f t="shared" si="64"/>
        <v>0</v>
      </c>
      <c r="BA45" s="8" t="str">
        <f>IFERROR(ROUND('ENTRY DATA'!CH56,0),"-")</f>
        <v>-</v>
      </c>
      <c r="BB45" s="8" t="str">
        <f>'ENTRY DATA'!CI56</f>
        <v>-</v>
      </c>
      <c r="BC45" s="8" t="str">
        <f>IFERROR(ROUND('ENTRY DATA'!CJ56,0),"-")</f>
        <v>-</v>
      </c>
      <c r="BD45" s="8" t="str">
        <f>'ENTRY DATA'!CK56</f>
        <v>-</v>
      </c>
      <c r="BE45" s="7">
        <f t="shared" si="65"/>
        <v>75</v>
      </c>
      <c r="BF45" s="7">
        <f t="shared" si="66"/>
        <v>0</v>
      </c>
      <c r="BG45" s="7" t="str">
        <f>IFERROR(ROUND('ENTRY DATA'!CT56,0),"-")</f>
        <v>-</v>
      </c>
      <c r="BH45" s="7" t="str">
        <f>'ENTRY DATA'!CU56</f>
        <v>-</v>
      </c>
      <c r="BI45" s="7" t="str">
        <f>IFERROR(ROUND('ENTRY DATA'!CV56,0),"-")</f>
        <v>-</v>
      </c>
      <c r="BJ45" s="7" t="str">
        <f>'ENTRY DATA'!CW56</f>
        <v>-</v>
      </c>
      <c r="BK45" s="8">
        <f t="shared" si="67"/>
        <v>75</v>
      </c>
      <c r="BL45" s="8">
        <f t="shared" si="68"/>
        <v>0</v>
      </c>
      <c r="BM45" s="8" t="str">
        <f>IFERROR(ROUND('ENTRY DATA'!DF56,0),"-")</f>
        <v>-</v>
      </c>
      <c r="BN45" s="8" t="str">
        <f>'ENTRY DATA'!DG56</f>
        <v>-</v>
      </c>
      <c r="BO45" s="8" t="str">
        <f>IFERROR(ROUND('ENTRY DATA'!DH56,0),"-")</f>
        <v>-</v>
      </c>
      <c r="BP45" s="8" t="str">
        <f>'ENTRY DATA'!DI56</f>
        <v>-</v>
      </c>
      <c r="BQ45" s="7">
        <f t="shared" si="69"/>
        <v>75</v>
      </c>
      <c r="BR45" s="7">
        <f t="shared" si="70"/>
        <v>0</v>
      </c>
      <c r="BS45" s="7" t="str">
        <f>IFERROR(ROUND('ENTRY DATA'!DR56,0),"-")</f>
        <v>-</v>
      </c>
      <c r="BT45" s="7" t="str">
        <f>'ENTRY DATA'!DS56</f>
        <v>-</v>
      </c>
      <c r="BU45" s="7" t="str">
        <f>IFERROR(ROUND('ENTRY DATA'!DT56,0),"-")</f>
        <v>-</v>
      </c>
      <c r="BV45" s="7" t="str">
        <f>'ENTRY DATA'!DU56</f>
        <v>-</v>
      </c>
      <c r="BW45" s="8" t="str">
        <f>'ENTRY DATA'!$DV$8</f>
        <v>Matematika</v>
      </c>
      <c r="BX45" s="8">
        <f t="shared" si="71"/>
        <v>75</v>
      </c>
      <c r="BY45" s="8">
        <f t="shared" si="72"/>
        <v>0</v>
      </c>
      <c r="BZ45" s="8" t="str">
        <f>IFERROR(ROUND('ENTRY DATA'!ED56,0),"-")</f>
        <v>-</v>
      </c>
      <c r="CA45" s="8" t="str">
        <f>'ENTRY DATA'!EE56</f>
        <v>-</v>
      </c>
      <c r="CB45" s="8" t="str">
        <f>IFERROR(ROUND('ENTRY DATA'!EF56,0),"-")</f>
        <v>-</v>
      </c>
      <c r="CC45" s="8" t="str">
        <f>'ENTRY DATA'!EG56</f>
        <v>-</v>
      </c>
      <c r="CD45" s="7" t="str">
        <f>'ENTRY DATA'!$EH$8</f>
        <v>Biologi</v>
      </c>
      <c r="CE45" s="7">
        <f t="shared" si="73"/>
        <v>75</v>
      </c>
      <c r="CF45" s="7">
        <f t="shared" si="74"/>
        <v>0</v>
      </c>
      <c r="CG45" s="7" t="str">
        <f>IFERROR(ROUND('ENTRY DATA'!EP56,0),"-")</f>
        <v>-</v>
      </c>
      <c r="CH45" s="7" t="str">
        <f>'ENTRY DATA'!EQ56</f>
        <v>-</v>
      </c>
      <c r="CI45" s="7" t="str">
        <f>IFERROR(ROUND('ENTRY DATA'!ER56,0),"-")</f>
        <v>-</v>
      </c>
      <c r="CJ45" s="7" t="str">
        <f>'ENTRY DATA'!ES56</f>
        <v>-</v>
      </c>
      <c r="CK45" s="8" t="str">
        <f>'ENTRY DATA'!$ET$8</f>
        <v>Fisika</v>
      </c>
      <c r="CL45" s="8">
        <f t="shared" si="75"/>
        <v>75</v>
      </c>
      <c r="CM45" s="8">
        <f t="shared" si="76"/>
        <v>0</v>
      </c>
      <c r="CN45" s="8" t="str">
        <f>IFERROR(ROUND('ENTRY DATA'!FB56,0),"-")</f>
        <v>-</v>
      </c>
      <c r="CO45" s="8" t="str">
        <f>'ENTRY DATA'!FC56</f>
        <v>-</v>
      </c>
      <c r="CP45" s="8" t="str">
        <f>IFERROR(ROUND('ENTRY DATA'!FD56,0),"-")</f>
        <v>-</v>
      </c>
      <c r="CQ45" s="8" t="str">
        <f>'ENTRY DATA'!FE56</f>
        <v>-</v>
      </c>
      <c r="CR45" s="7" t="str">
        <f>'ENTRY DATA'!$FF$8</f>
        <v>Kimia</v>
      </c>
      <c r="CS45" s="7">
        <f t="shared" si="77"/>
        <v>75</v>
      </c>
      <c r="CT45" s="7">
        <f t="shared" si="78"/>
        <v>0</v>
      </c>
      <c r="CU45" s="7" t="str">
        <f>IFERROR(ROUND('ENTRY DATA'!FN56,0),"-")</f>
        <v>-</v>
      </c>
      <c r="CV45" s="7" t="str">
        <f>'ENTRY DATA'!FO56</f>
        <v>-</v>
      </c>
      <c r="CW45" s="7" t="str">
        <f>IFERROR(ROUND('ENTRY DATA'!FP56,0),"-")</f>
        <v>-</v>
      </c>
      <c r="CX45" s="7" t="str">
        <f>'ENTRY DATA'!FQ56</f>
        <v>-</v>
      </c>
      <c r="CY45" s="8" t="str">
        <f>'ENTRY DATA'!$FR$8</f>
        <v>-</v>
      </c>
      <c r="CZ45" s="8">
        <f t="shared" si="79"/>
        <v>75</v>
      </c>
      <c r="DA45" s="8">
        <f t="shared" si="80"/>
        <v>0</v>
      </c>
      <c r="DB45" s="8" t="str">
        <f>IFERROR(ROUND('ENTRY DATA'!FZ56,0),"-")</f>
        <v>-</v>
      </c>
      <c r="DC45" s="8" t="str">
        <f>'ENTRY DATA'!GA56</f>
        <v>-</v>
      </c>
      <c r="DD45" s="8" t="str">
        <f>IFERROR(ROUND('ENTRY DATA'!GB56,0),"-")</f>
        <v>-</v>
      </c>
      <c r="DE45" s="8" t="str">
        <f>'ENTRY DATA'!GC56</f>
        <v>-</v>
      </c>
      <c r="DF45" s="7" t="str">
        <f>'ENTRY DATA'!$GD$8</f>
        <v>-</v>
      </c>
      <c r="DG45" s="7">
        <f t="shared" si="81"/>
        <v>75</v>
      </c>
      <c r="DH45" s="7">
        <f t="shared" si="82"/>
        <v>0</v>
      </c>
      <c r="DI45" s="7" t="str">
        <f>IFERROR(ROUND('ENTRY DATA'!GL56,0),"-")</f>
        <v>-</v>
      </c>
      <c r="DJ45" s="7" t="str">
        <f>'ENTRY DATA'!GM56</f>
        <v>-</v>
      </c>
      <c r="DK45" s="7" t="str">
        <f>IFERROR(ROUND('ENTRY DATA'!GN56,0),"-")</f>
        <v>-</v>
      </c>
      <c r="DL45" s="7" t="str">
        <f>'ENTRY DATA'!GO56</f>
        <v>-</v>
      </c>
      <c r="DM45" s="16" t="str">
        <f>'ENTRY DATA'!HJ56</f>
        <v>-</v>
      </c>
      <c r="DN45" s="16" t="str">
        <f>'ENTRY DATA'!HK56</f>
        <v>-</v>
      </c>
      <c r="DO45" s="16" t="str">
        <f>'ENTRY DATA'!IF56</f>
        <v>-</v>
      </c>
      <c r="DP45" s="16" t="str">
        <f>'ENTRY DATA'!IG56</f>
        <v>-</v>
      </c>
      <c r="DQ45" s="2" t="str">
        <f>'ENTRY DATA'!IH56</f>
        <v>Pramuka</v>
      </c>
      <c r="DR45" s="2" t="str">
        <f>'ENTRY DATA'!II56</f>
        <v>B</v>
      </c>
      <c r="DS45" s="2" t="str">
        <f>'ENTRY DATA'!IJ56</f>
        <v>Aktif dalam mengikuti kegiatan</v>
      </c>
      <c r="DT45" s="2" t="str">
        <f>'ENTRY DATA'!IK56</f>
        <v>-</v>
      </c>
      <c r="DU45" s="2" t="str">
        <f>'ENTRY DATA'!IL56</f>
        <v>-</v>
      </c>
      <c r="DV45" s="2" t="str">
        <f>'ENTRY DATA'!IM56</f>
        <v>-</v>
      </c>
      <c r="DW45" s="2" t="str">
        <f>'ENTRY DATA'!IN56</f>
        <v>-</v>
      </c>
      <c r="DX45" s="2" t="str">
        <f>'ENTRY DATA'!IO56</f>
        <v>-</v>
      </c>
      <c r="DY45" s="2" t="str">
        <f>'ENTRY DATA'!IP56</f>
        <v>-</v>
      </c>
      <c r="DZ45" s="2" t="str">
        <f>'ENTRY DATA'!IQ56</f>
        <v>-</v>
      </c>
      <c r="EA45" s="2" t="str">
        <f>'ENTRY DATA'!IR56</f>
        <v>-</v>
      </c>
      <c r="EB45" s="2" t="str">
        <f>'ENTRY DATA'!IS56</f>
        <v>-</v>
      </c>
      <c r="EC45" s="2" t="str">
        <f>'ENTRY DATA'!IT56</f>
        <v>-</v>
      </c>
      <c r="ED45" s="2" t="str">
        <f>'ENTRY DATA'!IU56</f>
        <v>-</v>
      </c>
      <c r="EE45" s="2" t="str">
        <f>'ENTRY DATA'!IV56</f>
        <v>-</v>
      </c>
      <c r="EF45" s="2" t="str">
        <f>'ENTRY DATA'!IW56</f>
        <v>-</v>
      </c>
      <c r="EG45" s="2" t="str">
        <f>'ENTRY DATA'!IX56</f>
        <v>-</v>
      </c>
      <c r="EH45" s="2" t="str">
        <f>'ENTRY DATA'!IY56</f>
        <v>-</v>
      </c>
      <c r="EI45" s="2" t="str">
        <f>'ENTRY DATA'!IZ56</f>
        <v>-</v>
      </c>
      <c r="EJ45" s="2">
        <f>'ENTRY DATA'!JA56</f>
        <v>0</v>
      </c>
      <c r="EK45" s="2">
        <f>'ENTRY DATA'!JB56</f>
        <v>1</v>
      </c>
    </row>
    <row r="46" spans="1:141" x14ac:dyDescent="0.25">
      <c r="A46" s="2" t="str">
        <f t="shared" si="42"/>
        <v>MIPA</v>
      </c>
      <c r="B46" s="2" t="str">
        <f t="shared" si="43"/>
        <v>Bandung, 10 Oktober 2022</v>
      </c>
      <c r="C46" s="2" t="str">
        <f t="shared" si="44"/>
        <v>Drs. Ahmad Fathony</v>
      </c>
      <c r="D46" s="2" t="str">
        <f t="shared" si="45"/>
        <v>12345678 123456 1 123</v>
      </c>
      <c r="E46" s="2" t="str">
        <f t="shared" si="46"/>
        <v>H. Abdul Basith, M.Pd.</v>
      </c>
      <c r="F46" s="2" t="str">
        <f t="shared" si="47"/>
        <v>12341234 123123 1 234</v>
      </c>
      <c r="G46" s="74">
        <f>'ENTRY DATA'!B57</f>
        <v>0</v>
      </c>
      <c r="H46" s="74">
        <f>'ENTRY DATA'!C57</f>
        <v>0</v>
      </c>
      <c r="I46" s="74">
        <f>'ENTRY DATA'!D57</f>
        <v>0</v>
      </c>
      <c r="J46" s="74">
        <f>'ENTRY DATA'!E57</f>
        <v>0</v>
      </c>
      <c r="K46" s="7" t="str">
        <f t="shared" si="48"/>
        <v>X MIPA-1</v>
      </c>
      <c r="L46" s="7">
        <f t="shared" si="49"/>
        <v>1</v>
      </c>
      <c r="M46" s="7" t="str">
        <f t="shared" si="41"/>
        <v>Ganjil</v>
      </c>
      <c r="N46" s="7" t="str">
        <f t="shared" si="50"/>
        <v>2022/2023</v>
      </c>
      <c r="O46" s="8">
        <f t="shared" si="51"/>
        <v>75</v>
      </c>
      <c r="P46" s="8">
        <f t="shared" si="52"/>
        <v>0</v>
      </c>
      <c r="Q46" s="8" t="str">
        <f>IFERROR(ROUND('ENTRY DATA'!N57,0),"-")</f>
        <v>-</v>
      </c>
      <c r="R46" s="8" t="str">
        <f>'ENTRY DATA'!O57</f>
        <v>-</v>
      </c>
      <c r="S46" s="8" t="str">
        <f>IFERROR(ROUND('ENTRY DATA'!P57,0),"-")</f>
        <v>-</v>
      </c>
      <c r="T46" s="8" t="str">
        <f>'ENTRY DATA'!Q57</f>
        <v>-</v>
      </c>
      <c r="U46" s="7">
        <f t="shared" si="53"/>
        <v>75</v>
      </c>
      <c r="V46" s="7">
        <f t="shared" si="54"/>
        <v>0</v>
      </c>
      <c r="W46" s="7" t="str">
        <f>IFERROR(ROUND('ENTRY DATA'!Z57,0),"-")</f>
        <v>-</v>
      </c>
      <c r="X46" s="7" t="str">
        <f>'ENTRY DATA'!AA57</f>
        <v>-</v>
      </c>
      <c r="Y46" s="7" t="str">
        <f>IFERROR(ROUND('ENTRY DATA'!AB57,0),"-")</f>
        <v>-</v>
      </c>
      <c r="Z46" s="7" t="str">
        <f>'ENTRY DATA'!AC57</f>
        <v>-</v>
      </c>
      <c r="AA46" s="8">
        <f t="shared" si="55"/>
        <v>75</v>
      </c>
      <c r="AB46" s="8">
        <f t="shared" si="56"/>
        <v>0</v>
      </c>
      <c r="AC46" s="8" t="str">
        <f>IFERROR(ROUND('ENTRY DATA'!AL57,0),"-")</f>
        <v>-</v>
      </c>
      <c r="AD46" s="8" t="str">
        <f>'ENTRY DATA'!AM57</f>
        <v>-</v>
      </c>
      <c r="AE46" s="8" t="str">
        <f>IFERROR(ROUND('ENTRY DATA'!AN57,0),"-")</f>
        <v>-</v>
      </c>
      <c r="AF46" s="8" t="str">
        <f>'ENTRY DATA'!AO57</f>
        <v>-</v>
      </c>
      <c r="AG46" s="7">
        <f t="shared" si="57"/>
        <v>75</v>
      </c>
      <c r="AH46" s="7">
        <f t="shared" si="58"/>
        <v>0</v>
      </c>
      <c r="AI46" s="7" t="str">
        <f>IFERROR(ROUND('ENTRY DATA'!AX57,0),"-")</f>
        <v>-</v>
      </c>
      <c r="AJ46" s="7" t="str">
        <f>'ENTRY DATA'!AY57</f>
        <v>-</v>
      </c>
      <c r="AK46" s="7" t="str">
        <f>IFERROR(ROUND('ENTRY DATA'!AZ57,0),"-")</f>
        <v>-</v>
      </c>
      <c r="AL46" s="7" t="str">
        <f>'ENTRY DATA'!BA57</f>
        <v>-</v>
      </c>
      <c r="AM46" s="8">
        <f t="shared" si="59"/>
        <v>75</v>
      </c>
      <c r="AN46" s="8">
        <f t="shared" si="60"/>
        <v>0</v>
      </c>
      <c r="AO46" s="8" t="str">
        <f>IFERROR(ROUND('ENTRY DATA'!BJ57,0),"-")</f>
        <v>-</v>
      </c>
      <c r="AP46" s="8" t="str">
        <f>'ENTRY DATA'!BK57</f>
        <v>-</v>
      </c>
      <c r="AQ46" s="8" t="str">
        <f>IFERROR(ROUND('ENTRY DATA'!BL57,0),"-")</f>
        <v>-</v>
      </c>
      <c r="AR46" s="8" t="str">
        <f>'ENTRY DATA'!BM57</f>
        <v>-</v>
      </c>
      <c r="AS46" s="7">
        <f t="shared" si="61"/>
        <v>75</v>
      </c>
      <c r="AT46" s="7">
        <f t="shared" si="62"/>
        <v>0</v>
      </c>
      <c r="AU46" s="7" t="str">
        <f>IFERROR(ROUND('ENTRY DATA'!BV57,0),"-")</f>
        <v>-</v>
      </c>
      <c r="AV46" s="7" t="str">
        <f>'ENTRY DATA'!BW57</f>
        <v>-</v>
      </c>
      <c r="AW46" s="7" t="str">
        <f>IFERROR(ROUND('ENTRY DATA'!BX57,0),"-")</f>
        <v>-</v>
      </c>
      <c r="AX46" s="7" t="str">
        <f>'ENTRY DATA'!BY57</f>
        <v>-</v>
      </c>
      <c r="AY46" s="8">
        <f t="shared" si="63"/>
        <v>75</v>
      </c>
      <c r="AZ46" s="8">
        <f t="shared" si="64"/>
        <v>0</v>
      </c>
      <c r="BA46" s="8" t="str">
        <f>IFERROR(ROUND('ENTRY DATA'!CH57,0),"-")</f>
        <v>-</v>
      </c>
      <c r="BB46" s="8" t="str">
        <f>'ENTRY DATA'!CI57</f>
        <v>-</v>
      </c>
      <c r="BC46" s="8" t="str">
        <f>IFERROR(ROUND('ENTRY DATA'!CJ57,0),"-")</f>
        <v>-</v>
      </c>
      <c r="BD46" s="8" t="str">
        <f>'ENTRY DATA'!CK57</f>
        <v>-</v>
      </c>
      <c r="BE46" s="7">
        <f t="shared" si="65"/>
        <v>75</v>
      </c>
      <c r="BF46" s="7">
        <f t="shared" si="66"/>
        <v>0</v>
      </c>
      <c r="BG46" s="7" t="str">
        <f>IFERROR(ROUND('ENTRY DATA'!CT57,0),"-")</f>
        <v>-</v>
      </c>
      <c r="BH46" s="7" t="str">
        <f>'ENTRY DATA'!CU57</f>
        <v>-</v>
      </c>
      <c r="BI46" s="7" t="str">
        <f>IFERROR(ROUND('ENTRY DATA'!CV57,0),"-")</f>
        <v>-</v>
      </c>
      <c r="BJ46" s="7" t="str">
        <f>'ENTRY DATA'!CW57</f>
        <v>-</v>
      </c>
      <c r="BK46" s="8">
        <f t="shared" si="67"/>
        <v>75</v>
      </c>
      <c r="BL46" s="8">
        <f t="shared" si="68"/>
        <v>0</v>
      </c>
      <c r="BM46" s="8" t="str">
        <f>IFERROR(ROUND('ENTRY DATA'!DF57,0),"-")</f>
        <v>-</v>
      </c>
      <c r="BN46" s="8" t="str">
        <f>'ENTRY DATA'!DG57</f>
        <v>-</v>
      </c>
      <c r="BO46" s="8" t="str">
        <f>IFERROR(ROUND('ENTRY DATA'!DH57,0),"-")</f>
        <v>-</v>
      </c>
      <c r="BP46" s="8" t="str">
        <f>'ENTRY DATA'!DI57</f>
        <v>-</v>
      </c>
      <c r="BQ46" s="7">
        <f t="shared" si="69"/>
        <v>75</v>
      </c>
      <c r="BR46" s="7">
        <f t="shared" si="70"/>
        <v>0</v>
      </c>
      <c r="BS46" s="7" t="str">
        <f>IFERROR(ROUND('ENTRY DATA'!DR57,0),"-")</f>
        <v>-</v>
      </c>
      <c r="BT46" s="7" t="str">
        <f>'ENTRY DATA'!DS57</f>
        <v>-</v>
      </c>
      <c r="BU46" s="7" t="str">
        <f>IFERROR(ROUND('ENTRY DATA'!DT57,0),"-")</f>
        <v>-</v>
      </c>
      <c r="BV46" s="7" t="str">
        <f>'ENTRY DATA'!DU57</f>
        <v>-</v>
      </c>
      <c r="BW46" s="8" t="str">
        <f>'ENTRY DATA'!$DV$8</f>
        <v>Matematika</v>
      </c>
      <c r="BX46" s="8">
        <f t="shared" si="71"/>
        <v>75</v>
      </c>
      <c r="BY46" s="8">
        <f t="shared" si="72"/>
        <v>0</v>
      </c>
      <c r="BZ46" s="8" t="str">
        <f>IFERROR(ROUND('ENTRY DATA'!ED57,0),"-")</f>
        <v>-</v>
      </c>
      <c r="CA46" s="8" t="str">
        <f>'ENTRY DATA'!EE57</f>
        <v>-</v>
      </c>
      <c r="CB46" s="8" t="str">
        <f>IFERROR(ROUND('ENTRY DATA'!EF57,0),"-")</f>
        <v>-</v>
      </c>
      <c r="CC46" s="8" t="str">
        <f>'ENTRY DATA'!EG57</f>
        <v>-</v>
      </c>
      <c r="CD46" s="7" t="str">
        <f>'ENTRY DATA'!$EH$8</f>
        <v>Biologi</v>
      </c>
      <c r="CE46" s="7">
        <f t="shared" si="73"/>
        <v>75</v>
      </c>
      <c r="CF46" s="7">
        <f t="shared" si="74"/>
        <v>0</v>
      </c>
      <c r="CG46" s="7" t="str">
        <f>IFERROR(ROUND('ENTRY DATA'!EP57,0),"-")</f>
        <v>-</v>
      </c>
      <c r="CH46" s="7" t="str">
        <f>'ENTRY DATA'!EQ57</f>
        <v>-</v>
      </c>
      <c r="CI46" s="7" t="str">
        <f>IFERROR(ROUND('ENTRY DATA'!ER57,0),"-")</f>
        <v>-</v>
      </c>
      <c r="CJ46" s="7" t="str">
        <f>'ENTRY DATA'!ES57</f>
        <v>-</v>
      </c>
      <c r="CK46" s="8" t="str">
        <f>'ENTRY DATA'!$ET$8</f>
        <v>Fisika</v>
      </c>
      <c r="CL46" s="8">
        <f t="shared" si="75"/>
        <v>75</v>
      </c>
      <c r="CM46" s="8">
        <f t="shared" si="76"/>
        <v>0</v>
      </c>
      <c r="CN46" s="8" t="str">
        <f>IFERROR(ROUND('ENTRY DATA'!FB57,0),"-")</f>
        <v>-</v>
      </c>
      <c r="CO46" s="8" t="str">
        <f>'ENTRY DATA'!FC57</f>
        <v>-</v>
      </c>
      <c r="CP46" s="8" t="str">
        <f>IFERROR(ROUND('ENTRY DATA'!FD57,0),"-")</f>
        <v>-</v>
      </c>
      <c r="CQ46" s="8" t="str">
        <f>'ENTRY DATA'!FE57</f>
        <v>-</v>
      </c>
      <c r="CR46" s="7" t="str">
        <f>'ENTRY DATA'!$FF$8</f>
        <v>Kimia</v>
      </c>
      <c r="CS46" s="7">
        <f t="shared" si="77"/>
        <v>75</v>
      </c>
      <c r="CT46" s="7">
        <f t="shared" si="78"/>
        <v>0</v>
      </c>
      <c r="CU46" s="7" t="str">
        <f>IFERROR(ROUND('ENTRY DATA'!FN57,0),"-")</f>
        <v>-</v>
      </c>
      <c r="CV46" s="7" t="str">
        <f>'ENTRY DATA'!FO57</f>
        <v>-</v>
      </c>
      <c r="CW46" s="7" t="str">
        <f>IFERROR(ROUND('ENTRY DATA'!FP57,0),"-")</f>
        <v>-</v>
      </c>
      <c r="CX46" s="7" t="str">
        <f>'ENTRY DATA'!FQ57</f>
        <v>-</v>
      </c>
      <c r="CY46" s="8" t="str">
        <f>'ENTRY DATA'!$FR$8</f>
        <v>-</v>
      </c>
      <c r="CZ46" s="8">
        <f t="shared" si="79"/>
        <v>75</v>
      </c>
      <c r="DA46" s="8">
        <f t="shared" si="80"/>
        <v>0</v>
      </c>
      <c r="DB46" s="8" t="str">
        <f>IFERROR(ROUND('ENTRY DATA'!FZ57,0),"-")</f>
        <v>-</v>
      </c>
      <c r="DC46" s="8" t="str">
        <f>'ENTRY DATA'!GA57</f>
        <v>-</v>
      </c>
      <c r="DD46" s="8" t="str">
        <f>IFERROR(ROUND('ENTRY DATA'!GB57,0),"-")</f>
        <v>-</v>
      </c>
      <c r="DE46" s="8" t="str">
        <f>'ENTRY DATA'!GC57</f>
        <v>-</v>
      </c>
      <c r="DF46" s="7" t="str">
        <f>'ENTRY DATA'!$GD$8</f>
        <v>-</v>
      </c>
      <c r="DG46" s="7">
        <f t="shared" si="81"/>
        <v>75</v>
      </c>
      <c r="DH46" s="7">
        <f t="shared" si="82"/>
        <v>0</v>
      </c>
      <c r="DI46" s="7" t="str">
        <f>IFERROR(ROUND('ENTRY DATA'!GL57,0),"-")</f>
        <v>-</v>
      </c>
      <c r="DJ46" s="7" t="str">
        <f>'ENTRY DATA'!GM57</f>
        <v>-</v>
      </c>
      <c r="DK46" s="7" t="str">
        <f>IFERROR(ROUND('ENTRY DATA'!GN57,0),"-")</f>
        <v>-</v>
      </c>
      <c r="DL46" s="7" t="str">
        <f>'ENTRY DATA'!GO57</f>
        <v>-</v>
      </c>
      <c r="DM46" s="16" t="str">
        <f>'ENTRY DATA'!HJ57</f>
        <v>-</v>
      </c>
      <c r="DN46" s="16" t="str">
        <f>'ENTRY DATA'!HK57</f>
        <v>-</v>
      </c>
      <c r="DO46" s="16" t="str">
        <f>'ENTRY DATA'!IF57</f>
        <v>-</v>
      </c>
      <c r="DP46" s="16" t="str">
        <f>'ENTRY DATA'!IG57</f>
        <v>-</v>
      </c>
      <c r="DQ46" s="2" t="str">
        <f>'ENTRY DATA'!IH57</f>
        <v>Pramuka</v>
      </c>
      <c r="DR46" s="2" t="str">
        <f>'ENTRY DATA'!II57</f>
        <v>B</v>
      </c>
      <c r="DS46" s="2" t="str">
        <f>'ENTRY DATA'!IJ57</f>
        <v>Aktif dalam mengikuti kegiatan</v>
      </c>
      <c r="DT46" s="2" t="str">
        <f>'ENTRY DATA'!IK57</f>
        <v>-</v>
      </c>
      <c r="DU46" s="2" t="str">
        <f>'ENTRY DATA'!IL57</f>
        <v>-</v>
      </c>
      <c r="DV46" s="2" t="str">
        <f>'ENTRY DATA'!IM57</f>
        <v>-</v>
      </c>
      <c r="DW46" s="2" t="str">
        <f>'ENTRY DATA'!IN57</f>
        <v>-</v>
      </c>
      <c r="DX46" s="2" t="str">
        <f>'ENTRY DATA'!IO57</f>
        <v>-</v>
      </c>
      <c r="DY46" s="2" t="str">
        <f>'ENTRY DATA'!IP57</f>
        <v>-</v>
      </c>
      <c r="DZ46" s="2" t="str">
        <f>'ENTRY DATA'!IQ57</f>
        <v>-</v>
      </c>
      <c r="EA46" s="2" t="str">
        <f>'ENTRY DATA'!IR57</f>
        <v>-</v>
      </c>
      <c r="EB46" s="2" t="str">
        <f>'ENTRY DATA'!IS57</f>
        <v>-</v>
      </c>
      <c r="EC46" s="2" t="str">
        <f>'ENTRY DATA'!IT57</f>
        <v>-</v>
      </c>
      <c r="ED46" s="2" t="str">
        <f>'ENTRY DATA'!IU57</f>
        <v>-</v>
      </c>
      <c r="EE46" s="2" t="str">
        <f>'ENTRY DATA'!IV57</f>
        <v>-</v>
      </c>
      <c r="EF46" s="2" t="str">
        <f>'ENTRY DATA'!IW57</f>
        <v>-</v>
      </c>
      <c r="EG46" s="2" t="str">
        <f>'ENTRY DATA'!IX57</f>
        <v>-</v>
      </c>
      <c r="EH46" s="2" t="str">
        <f>'ENTRY DATA'!IY57</f>
        <v>-</v>
      </c>
      <c r="EI46" s="2" t="str">
        <f>'ENTRY DATA'!IZ57</f>
        <v>-</v>
      </c>
      <c r="EJ46" s="2">
        <f>'ENTRY DATA'!JA57</f>
        <v>0</v>
      </c>
      <c r="EK46" s="2">
        <f>'ENTRY DATA'!JB57</f>
        <v>1</v>
      </c>
    </row>
    <row r="47" spans="1:141" x14ac:dyDescent="0.25">
      <c r="A47" s="2" t="str">
        <f t="shared" si="42"/>
        <v>MIPA</v>
      </c>
      <c r="B47" s="2" t="str">
        <f t="shared" si="43"/>
        <v>Bandung, 10 Oktober 2022</v>
      </c>
      <c r="C47" s="2" t="str">
        <f t="shared" si="44"/>
        <v>Drs. Ahmad Fathony</v>
      </c>
      <c r="D47" s="2" t="str">
        <f t="shared" si="45"/>
        <v>12345678 123456 1 123</v>
      </c>
      <c r="E47" s="2" t="str">
        <f t="shared" si="46"/>
        <v>H. Abdul Basith, M.Pd.</v>
      </c>
      <c r="F47" s="2" t="str">
        <f t="shared" si="47"/>
        <v>12341234 123123 1 234</v>
      </c>
      <c r="G47" s="74">
        <f>'ENTRY DATA'!B58</f>
        <v>0</v>
      </c>
      <c r="H47" s="74">
        <f>'ENTRY DATA'!C58</f>
        <v>0</v>
      </c>
      <c r="I47" s="74">
        <f>'ENTRY DATA'!D58</f>
        <v>0</v>
      </c>
      <c r="J47" s="74">
        <f>'ENTRY DATA'!E58</f>
        <v>0</v>
      </c>
      <c r="K47" s="7" t="str">
        <f t="shared" si="48"/>
        <v>X MIPA-1</v>
      </c>
      <c r="L47" s="7">
        <f t="shared" si="49"/>
        <v>1</v>
      </c>
      <c r="M47" s="7" t="str">
        <f t="shared" si="41"/>
        <v>Ganjil</v>
      </c>
      <c r="N47" s="7" t="str">
        <f t="shared" si="50"/>
        <v>2022/2023</v>
      </c>
      <c r="O47" s="8">
        <f t="shared" si="51"/>
        <v>75</v>
      </c>
      <c r="P47" s="8">
        <f t="shared" si="52"/>
        <v>0</v>
      </c>
      <c r="Q47" s="8" t="str">
        <f>IFERROR(ROUND('ENTRY DATA'!N58,0),"-")</f>
        <v>-</v>
      </c>
      <c r="R47" s="8" t="str">
        <f>'ENTRY DATA'!O58</f>
        <v>-</v>
      </c>
      <c r="S47" s="8" t="str">
        <f>IFERROR(ROUND('ENTRY DATA'!P58,0),"-")</f>
        <v>-</v>
      </c>
      <c r="T47" s="8" t="str">
        <f>'ENTRY DATA'!Q58</f>
        <v>-</v>
      </c>
      <c r="U47" s="7">
        <f t="shared" si="53"/>
        <v>75</v>
      </c>
      <c r="V47" s="7">
        <f t="shared" si="54"/>
        <v>0</v>
      </c>
      <c r="W47" s="7" t="str">
        <f>IFERROR(ROUND('ENTRY DATA'!Z58,0),"-")</f>
        <v>-</v>
      </c>
      <c r="X47" s="7" t="str">
        <f>'ENTRY DATA'!AA58</f>
        <v>-</v>
      </c>
      <c r="Y47" s="7" t="str">
        <f>IFERROR(ROUND('ENTRY DATA'!AB58,0),"-")</f>
        <v>-</v>
      </c>
      <c r="Z47" s="7" t="str">
        <f>'ENTRY DATA'!AC58</f>
        <v>-</v>
      </c>
      <c r="AA47" s="8">
        <f t="shared" si="55"/>
        <v>75</v>
      </c>
      <c r="AB47" s="8">
        <f t="shared" si="56"/>
        <v>0</v>
      </c>
      <c r="AC47" s="8" t="str">
        <f>IFERROR(ROUND('ENTRY DATA'!AL58,0),"-")</f>
        <v>-</v>
      </c>
      <c r="AD47" s="8" t="str">
        <f>'ENTRY DATA'!AM58</f>
        <v>-</v>
      </c>
      <c r="AE47" s="8" t="str">
        <f>IFERROR(ROUND('ENTRY DATA'!AN58,0),"-")</f>
        <v>-</v>
      </c>
      <c r="AF47" s="8" t="str">
        <f>'ENTRY DATA'!AO58</f>
        <v>-</v>
      </c>
      <c r="AG47" s="7">
        <f t="shared" si="57"/>
        <v>75</v>
      </c>
      <c r="AH47" s="7">
        <f t="shared" si="58"/>
        <v>0</v>
      </c>
      <c r="AI47" s="7" t="str">
        <f>IFERROR(ROUND('ENTRY DATA'!AX58,0),"-")</f>
        <v>-</v>
      </c>
      <c r="AJ47" s="7" t="str">
        <f>'ENTRY DATA'!AY58</f>
        <v>-</v>
      </c>
      <c r="AK47" s="7" t="str">
        <f>IFERROR(ROUND('ENTRY DATA'!AZ58,0),"-")</f>
        <v>-</v>
      </c>
      <c r="AL47" s="7" t="str">
        <f>'ENTRY DATA'!BA58</f>
        <v>-</v>
      </c>
      <c r="AM47" s="8">
        <f t="shared" si="59"/>
        <v>75</v>
      </c>
      <c r="AN47" s="8">
        <f t="shared" si="60"/>
        <v>0</v>
      </c>
      <c r="AO47" s="8" t="str">
        <f>IFERROR(ROUND('ENTRY DATA'!BJ58,0),"-")</f>
        <v>-</v>
      </c>
      <c r="AP47" s="8" t="str">
        <f>'ENTRY DATA'!BK58</f>
        <v>-</v>
      </c>
      <c r="AQ47" s="8" t="str">
        <f>IFERROR(ROUND('ENTRY DATA'!BL58,0),"-")</f>
        <v>-</v>
      </c>
      <c r="AR47" s="8" t="str">
        <f>'ENTRY DATA'!BM58</f>
        <v>-</v>
      </c>
      <c r="AS47" s="7">
        <f t="shared" si="61"/>
        <v>75</v>
      </c>
      <c r="AT47" s="7">
        <f t="shared" si="62"/>
        <v>0</v>
      </c>
      <c r="AU47" s="7" t="str">
        <f>IFERROR(ROUND('ENTRY DATA'!BV58,0),"-")</f>
        <v>-</v>
      </c>
      <c r="AV47" s="7" t="str">
        <f>'ENTRY DATA'!BW58</f>
        <v>-</v>
      </c>
      <c r="AW47" s="7" t="str">
        <f>IFERROR(ROUND('ENTRY DATA'!BX58,0),"-")</f>
        <v>-</v>
      </c>
      <c r="AX47" s="7" t="str">
        <f>'ENTRY DATA'!BY58</f>
        <v>-</v>
      </c>
      <c r="AY47" s="8">
        <f t="shared" si="63"/>
        <v>75</v>
      </c>
      <c r="AZ47" s="8">
        <f t="shared" si="64"/>
        <v>0</v>
      </c>
      <c r="BA47" s="8" t="str">
        <f>IFERROR(ROUND('ENTRY DATA'!CH58,0),"-")</f>
        <v>-</v>
      </c>
      <c r="BB47" s="8" t="str">
        <f>'ENTRY DATA'!CI58</f>
        <v>-</v>
      </c>
      <c r="BC47" s="8" t="str">
        <f>IFERROR(ROUND('ENTRY DATA'!CJ58,0),"-")</f>
        <v>-</v>
      </c>
      <c r="BD47" s="8" t="str">
        <f>'ENTRY DATA'!CK58</f>
        <v>-</v>
      </c>
      <c r="BE47" s="7">
        <f t="shared" si="65"/>
        <v>75</v>
      </c>
      <c r="BF47" s="7">
        <f t="shared" si="66"/>
        <v>0</v>
      </c>
      <c r="BG47" s="7" t="str">
        <f>IFERROR(ROUND('ENTRY DATA'!CT58,0),"-")</f>
        <v>-</v>
      </c>
      <c r="BH47" s="7" t="str">
        <f>'ENTRY DATA'!CU58</f>
        <v>-</v>
      </c>
      <c r="BI47" s="7" t="str">
        <f>IFERROR(ROUND('ENTRY DATA'!CV58,0),"-")</f>
        <v>-</v>
      </c>
      <c r="BJ47" s="7" t="str">
        <f>'ENTRY DATA'!CW58</f>
        <v>-</v>
      </c>
      <c r="BK47" s="8">
        <f t="shared" si="67"/>
        <v>75</v>
      </c>
      <c r="BL47" s="8">
        <f t="shared" si="68"/>
        <v>0</v>
      </c>
      <c r="BM47" s="8" t="str">
        <f>IFERROR(ROUND('ENTRY DATA'!DF58,0),"-")</f>
        <v>-</v>
      </c>
      <c r="BN47" s="8" t="str">
        <f>'ENTRY DATA'!DG58</f>
        <v>-</v>
      </c>
      <c r="BO47" s="8" t="str">
        <f>IFERROR(ROUND('ENTRY DATA'!DH58,0),"-")</f>
        <v>-</v>
      </c>
      <c r="BP47" s="8" t="str">
        <f>'ENTRY DATA'!DI58</f>
        <v>-</v>
      </c>
      <c r="BQ47" s="7">
        <f t="shared" si="69"/>
        <v>75</v>
      </c>
      <c r="BR47" s="7">
        <f t="shared" si="70"/>
        <v>0</v>
      </c>
      <c r="BS47" s="7" t="str">
        <f>IFERROR(ROUND('ENTRY DATA'!DR58,0),"-")</f>
        <v>-</v>
      </c>
      <c r="BT47" s="7" t="str">
        <f>'ENTRY DATA'!DS58</f>
        <v>-</v>
      </c>
      <c r="BU47" s="7" t="str">
        <f>IFERROR(ROUND('ENTRY DATA'!DT58,0),"-")</f>
        <v>-</v>
      </c>
      <c r="BV47" s="7" t="str">
        <f>'ENTRY DATA'!DU58</f>
        <v>-</v>
      </c>
      <c r="BW47" s="8" t="str">
        <f>'ENTRY DATA'!$DV$8</f>
        <v>Matematika</v>
      </c>
      <c r="BX47" s="8">
        <f t="shared" si="71"/>
        <v>75</v>
      </c>
      <c r="BY47" s="8">
        <f t="shared" si="72"/>
        <v>0</v>
      </c>
      <c r="BZ47" s="8" t="str">
        <f>IFERROR(ROUND('ENTRY DATA'!ED58,0),"-")</f>
        <v>-</v>
      </c>
      <c r="CA47" s="8" t="str">
        <f>'ENTRY DATA'!EE58</f>
        <v>-</v>
      </c>
      <c r="CB47" s="8" t="str">
        <f>IFERROR(ROUND('ENTRY DATA'!EF58,0),"-")</f>
        <v>-</v>
      </c>
      <c r="CC47" s="8" t="str">
        <f>'ENTRY DATA'!EG58</f>
        <v>-</v>
      </c>
      <c r="CD47" s="7" t="str">
        <f>'ENTRY DATA'!$EH$8</f>
        <v>Biologi</v>
      </c>
      <c r="CE47" s="7">
        <f t="shared" si="73"/>
        <v>75</v>
      </c>
      <c r="CF47" s="7">
        <f t="shared" si="74"/>
        <v>0</v>
      </c>
      <c r="CG47" s="7" t="str">
        <f>IFERROR(ROUND('ENTRY DATA'!EP58,0),"-")</f>
        <v>-</v>
      </c>
      <c r="CH47" s="7" t="str">
        <f>'ENTRY DATA'!EQ58</f>
        <v>-</v>
      </c>
      <c r="CI47" s="7" t="str">
        <f>IFERROR(ROUND('ENTRY DATA'!ER58,0),"-")</f>
        <v>-</v>
      </c>
      <c r="CJ47" s="7" t="str">
        <f>'ENTRY DATA'!ES58</f>
        <v>-</v>
      </c>
      <c r="CK47" s="8" t="str">
        <f>'ENTRY DATA'!$ET$8</f>
        <v>Fisika</v>
      </c>
      <c r="CL47" s="8">
        <f t="shared" si="75"/>
        <v>75</v>
      </c>
      <c r="CM47" s="8">
        <f t="shared" si="76"/>
        <v>0</v>
      </c>
      <c r="CN47" s="8" t="str">
        <f>IFERROR(ROUND('ENTRY DATA'!FB58,0),"-")</f>
        <v>-</v>
      </c>
      <c r="CO47" s="8" t="str">
        <f>'ENTRY DATA'!FC58</f>
        <v>-</v>
      </c>
      <c r="CP47" s="8" t="str">
        <f>IFERROR(ROUND('ENTRY DATA'!FD58,0),"-")</f>
        <v>-</v>
      </c>
      <c r="CQ47" s="8" t="str">
        <f>'ENTRY DATA'!FE58</f>
        <v>-</v>
      </c>
      <c r="CR47" s="7" t="str">
        <f>'ENTRY DATA'!$FF$8</f>
        <v>Kimia</v>
      </c>
      <c r="CS47" s="7">
        <f t="shared" si="77"/>
        <v>75</v>
      </c>
      <c r="CT47" s="7">
        <f t="shared" si="78"/>
        <v>0</v>
      </c>
      <c r="CU47" s="7" t="str">
        <f>IFERROR(ROUND('ENTRY DATA'!FN58,0),"-")</f>
        <v>-</v>
      </c>
      <c r="CV47" s="7" t="str">
        <f>'ENTRY DATA'!FO58</f>
        <v>-</v>
      </c>
      <c r="CW47" s="7" t="str">
        <f>IFERROR(ROUND('ENTRY DATA'!FP58,0),"-")</f>
        <v>-</v>
      </c>
      <c r="CX47" s="7" t="str">
        <f>'ENTRY DATA'!FQ58</f>
        <v>-</v>
      </c>
      <c r="CY47" s="8" t="str">
        <f>'ENTRY DATA'!$FR$8</f>
        <v>-</v>
      </c>
      <c r="CZ47" s="8">
        <f t="shared" si="79"/>
        <v>75</v>
      </c>
      <c r="DA47" s="8">
        <f t="shared" si="80"/>
        <v>0</v>
      </c>
      <c r="DB47" s="8" t="str">
        <f>IFERROR(ROUND('ENTRY DATA'!FZ58,0),"-")</f>
        <v>-</v>
      </c>
      <c r="DC47" s="8" t="str">
        <f>'ENTRY DATA'!GA58</f>
        <v>-</v>
      </c>
      <c r="DD47" s="8" t="str">
        <f>IFERROR(ROUND('ENTRY DATA'!GB58,0),"-")</f>
        <v>-</v>
      </c>
      <c r="DE47" s="8" t="str">
        <f>'ENTRY DATA'!GC58</f>
        <v>-</v>
      </c>
      <c r="DF47" s="7" t="str">
        <f>'ENTRY DATA'!$GD$8</f>
        <v>-</v>
      </c>
      <c r="DG47" s="7">
        <f t="shared" si="81"/>
        <v>75</v>
      </c>
      <c r="DH47" s="7">
        <f t="shared" si="82"/>
        <v>0</v>
      </c>
      <c r="DI47" s="7" t="str">
        <f>IFERROR(ROUND('ENTRY DATA'!GL58,0),"-")</f>
        <v>-</v>
      </c>
      <c r="DJ47" s="7" t="str">
        <f>'ENTRY DATA'!GM58</f>
        <v>-</v>
      </c>
      <c r="DK47" s="7" t="str">
        <f>IFERROR(ROUND('ENTRY DATA'!GN58,0),"-")</f>
        <v>-</v>
      </c>
      <c r="DL47" s="7" t="str">
        <f>'ENTRY DATA'!GO58</f>
        <v>-</v>
      </c>
      <c r="DM47" s="16" t="str">
        <f>'ENTRY DATA'!HJ58</f>
        <v>-</v>
      </c>
      <c r="DN47" s="16" t="str">
        <f>'ENTRY DATA'!HK58</f>
        <v>-</v>
      </c>
      <c r="DO47" s="16" t="str">
        <f>'ENTRY DATA'!IF58</f>
        <v>-</v>
      </c>
      <c r="DP47" s="16" t="str">
        <f>'ENTRY DATA'!IG58</f>
        <v>-</v>
      </c>
      <c r="DQ47" s="2" t="str">
        <f>'ENTRY DATA'!IH58</f>
        <v>Pramuka</v>
      </c>
      <c r="DR47" s="2" t="str">
        <f>'ENTRY DATA'!II58</f>
        <v>B</v>
      </c>
      <c r="DS47" s="2" t="str">
        <f>'ENTRY DATA'!IJ58</f>
        <v>Aktif dalam mengikuti kegiatan</v>
      </c>
      <c r="DT47" s="2" t="str">
        <f>'ENTRY DATA'!IK58</f>
        <v>-</v>
      </c>
      <c r="DU47" s="2" t="str">
        <f>'ENTRY DATA'!IL58</f>
        <v>-</v>
      </c>
      <c r="DV47" s="2" t="str">
        <f>'ENTRY DATA'!IM58</f>
        <v>-</v>
      </c>
      <c r="DW47" s="2" t="str">
        <f>'ENTRY DATA'!IN58</f>
        <v>-</v>
      </c>
      <c r="DX47" s="2" t="str">
        <f>'ENTRY DATA'!IO58</f>
        <v>-</v>
      </c>
      <c r="DY47" s="2" t="str">
        <f>'ENTRY DATA'!IP58</f>
        <v>-</v>
      </c>
      <c r="DZ47" s="2" t="str">
        <f>'ENTRY DATA'!IQ58</f>
        <v>-</v>
      </c>
      <c r="EA47" s="2" t="str">
        <f>'ENTRY DATA'!IR58</f>
        <v>-</v>
      </c>
      <c r="EB47" s="2" t="str">
        <f>'ENTRY DATA'!IS58</f>
        <v>-</v>
      </c>
      <c r="EC47" s="2" t="str">
        <f>'ENTRY DATA'!IT58</f>
        <v>-</v>
      </c>
      <c r="ED47" s="2" t="str">
        <f>'ENTRY DATA'!IU58</f>
        <v>-</v>
      </c>
      <c r="EE47" s="2" t="str">
        <f>'ENTRY DATA'!IV58</f>
        <v>-</v>
      </c>
      <c r="EF47" s="2" t="str">
        <f>'ENTRY DATA'!IW58</f>
        <v>-</v>
      </c>
      <c r="EG47" s="2" t="str">
        <f>'ENTRY DATA'!IX58</f>
        <v>-</v>
      </c>
      <c r="EH47" s="2" t="str">
        <f>'ENTRY DATA'!IY58</f>
        <v>-</v>
      </c>
      <c r="EI47" s="2" t="str">
        <f>'ENTRY DATA'!IZ58</f>
        <v>-</v>
      </c>
      <c r="EJ47" s="2">
        <f>'ENTRY DATA'!JA58</f>
        <v>0</v>
      </c>
      <c r="EK47" s="2">
        <f>'ENTRY DATA'!JB58</f>
        <v>1</v>
      </c>
    </row>
    <row r="48" spans="1:141" x14ac:dyDescent="0.25">
      <c r="A48" s="2" t="str">
        <f t="shared" si="42"/>
        <v>MIPA</v>
      </c>
      <c r="B48" s="2" t="str">
        <f t="shared" si="43"/>
        <v>Bandung, 10 Oktober 2022</v>
      </c>
      <c r="C48" s="2" t="str">
        <f t="shared" si="44"/>
        <v>Drs. Ahmad Fathony</v>
      </c>
      <c r="D48" s="2" t="str">
        <f t="shared" si="45"/>
        <v>12345678 123456 1 123</v>
      </c>
      <c r="E48" s="2" t="str">
        <f t="shared" si="46"/>
        <v>H. Abdul Basith, M.Pd.</v>
      </c>
      <c r="F48" s="2" t="str">
        <f t="shared" si="47"/>
        <v>12341234 123123 1 234</v>
      </c>
      <c r="G48" s="74">
        <f>'ENTRY DATA'!B59</f>
        <v>0</v>
      </c>
      <c r="H48" s="74">
        <f>'ENTRY DATA'!C59</f>
        <v>0</v>
      </c>
      <c r="I48" s="74">
        <f>'ENTRY DATA'!D59</f>
        <v>0</v>
      </c>
      <c r="J48" s="74">
        <f>'ENTRY DATA'!E59</f>
        <v>0</v>
      </c>
      <c r="K48" s="7" t="str">
        <f t="shared" si="48"/>
        <v>X MIPA-1</v>
      </c>
      <c r="L48" s="7">
        <f t="shared" si="49"/>
        <v>1</v>
      </c>
      <c r="M48" s="7" t="str">
        <f t="shared" si="41"/>
        <v>Ganjil</v>
      </c>
      <c r="N48" s="7" t="str">
        <f t="shared" si="50"/>
        <v>2022/2023</v>
      </c>
      <c r="O48" s="8">
        <f t="shared" si="51"/>
        <v>75</v>
      </c>
      <c r="P48" s="8">
        <f t="shared" si="52"/>
        <v>0</v>
      </c>
      <c r="Q48" s="8" t="str">
        <f>IFERROR(ROUND('ENTRY DATA'!N59,0),"-")</f>
        <v>-</v>
      </c>
      <c r="R48" s="8" t="str">
        <f>'ENTRY DATA'!O59</f>
        <v>-</v>
      </c>
      <c r="S48" s="8" t="str">
        <f>IFERROR(ROUND('ENTRY DATA'!P59,0),"-")</f>
        <v>-</v>
      </c>
      <c r="T48" s="8" t="str">
        <f>'ENTRY DATA'!Q59</f>
        <v>-</v>
      </c>
      <c r="U48" s="7">
        <f t="shared" si="53"/>
        <v>75</v>
      </c>
      <c r="V48" s="7">
        <f t="shared" si="54"/>
        <v>0</v>
      </c>
      <c r="W48" s="7" t="str">
        <f>IFERROR(ROUND('ENTRY DATA'!Z59,0),"-")</f>
        <v>-</v>
      </c>
      <c r="X48" s="7" t="str">
        <f>'ENTRY DATA'!AA59</f>
        <v>-</v>
      </c>
      <c r="Y48" s="7" t="str">
        <f>IFERROR(ROUND('ENTRY DATA'!AB59,0),"-")</f>
        <v>-</v>
      </c>
      <c r="Z48" s="7" t="str">
        <f>'ENTRY DATA'!AC59</f>
        <v>-</v>
      </c>
      <c r="AA48" s="8">
        <f t="shared" si="55"/>
        <v>75</v>
      </c>
      <c r="AB48" s="8">
        <f t="shared" si="56"/>
        <v>0</v>
      </c>
      <c r="AC48" s="8" t="str">
        <f>IFERROR(ROUND('ENTRY DATA'!AL59,0),"-")</f>
        <v>-</v>
      </c>
      <c r="AD48" s="8" t="str">
        <f>'ENTRY DATA'!AM59</f>
        <v>-</v>
      </c>
      <c r="AE48" s="8" t="str">
        <f>IFERROR(ROUND('ENTRY DATA'!AN59,0),"-")</f>
        <v>-</v>
      </c>
      <c r="AF48" s="8" t="str">
        <f>'ENTRY DATA'!AO59</f>
        <v>-</v>
      </c>
      <c r="AG48" s="7">
        <f t="shared" si="57"/>
        <v>75</v>
      </c>
      <c r="AH48" s="7">
        <f t="shared" si="58"/>
        <v>0</v>
      </c>
      <c r="AI48" s="7" t="str">
        <f>IFERROR(ROUND('ENTRY DATA'!AX59,0),"-")</f>
        <v>-</v>
      </c>
      <c r="AJ48" s="7" t="str">
        <f>'ENTRY DATA'!AY59</f>
        <v>-</v>
      </c>
      <c r="AK48" s="7" t="str">
        <f>IFERROR(ROUND('ENTRY DATA'!AZ59,0),"-")</f>
        <v>-</v>
      </c>
      <c r="AL48" s="7" t="str">
        <f>'ENTRY DATA'!BA59</f>
        <v>-</v>
      </c>
      <c r="AM48" s="8">
        <f t="shared" si="59"/>
        <v>75</v>
      </c>
      <c r="AN48" s="8">
        <f t="shared" si="60"/>
        <v>0</v>
      </c>
      <c r="AO48" s="8" t="str">
        <f>IFERROR(ROUND('ENTRY DATA'!BJ59,0),"-")</f>
        <v>-</v>
      </c>
      <c r="AP48" s="8" t="str">
        <f>'ENTRY DATA'!BK59</f>
        <v>-</v>
      </c>
      <c r="AQ48" s="8" t="str">
        <f>IFERROR(ROUND('ENTRY DATA'!BL59,0),"-")</f>
        <v>-</v>
      </c>
      <c r="AR48" s="8" t="str">
        <f>'ENTRY DATA'!BM59</f>
        <v>-</v>
      </c>
      <c r="AS48" s="7">
        <f t="shared" si="61"/>
        <v>75</v>
      </c>
      <c r="AT48" s="7">
        <f t="shared" si="62"/>
        <v>0</v>
      </c>
      <c r="AU48" s="7" t="str">
        <f>IFERROR(ROUND('ENTRY DATA'!BV59,0),"-")</f>
        <v>-</v>
      </c>
      <c r="AV48" s="7" t="str">
        <f>'ENTRY DATA'!BW59</f>
        <v>-</v>
      </c>
      <c r="AW48" s="7" t="str">
        <f>IFERROR(ROUND('ENTRY DATA'!BX59,0),"-")</f>
        <v>-</v>
      </c>
      <c r="AX48" s="7" t="str">
        <f>'ENTRY DATA'!BY59</f>
        <v>-</v>
      </c>
      <c r="AY48" s="8">
        <f t="shared" si="63"/>
        <v>75</v>
      </c>
      <c r="AZ48" s="8">
        <f t="shared" si="64"/>
        <v>0</v>
      </c>
      <c r="BA48" s="8" t="str">
        <f>IFERROR(ROUND('ENTRY DATA'!CH59,0),"-")</f>
        <v>-</v>
      </c>
      <c r="BB48" s="8" t="str">
        <f>'ENTRY DATA'!CI59</f>
        <v>-</v>
      </c>
      <c r="BC48" s="8" t="str">
        <f>IFERROR(ROUND('ENTRY DATA'!CJ59,0),"-")</f>
        <v>-</v>
      </c>
      <c r="BD48" s="8" t="str">
        <f>'ENTRY DATA'!CK59</f>
        <v>-</v>
      </c>
      <c r="BE48" s="7">
        <f t="shared" si="65"/>
        <v>75</v>
      </c>
      <c r="BF48" s="7">
        <f t="shared" si="66"/>
        <v>0</v>
      </c>
      <c r="BG48" s="7" t="str">
        <f>IFERROR(ROUND('ENTRY DATA'!CT59,0),"-")</f>
        <v>-</v>
      </c>
      <c r="BH48" s="7" t="str">
        <f>'ENTRY DATA'!CU59</f>
        <v>-</v>
      </c>
      <c r="BI48" s="7" t="str">
        <f>IFERROR(ROUND('ENTRY DATA'!CV59,0),"-")</f>
        <v>-</v>
      </c>
      <c r="BJ48" s="7" t="str">
        <f>'ENTRY DATA'!CW59</f>
        <v>-</v>
      </c>
      <c r="BK48" s="8">
        <f t="shared" si="67"/>
        <v>75</v>
      </c>
      <c r="BL48" s="8">
        <f t="shared" si="68"/>
        <v>0</v>
      </c>
      <c r="BM48" s="8" t="str">
        <f>IFERROR(ROUND('ENTRY DATA'!DF59,0),"-")</f>
        <v>-</v>
      </c>
      <c r="BN48" s="8" t="str">
        <f>'ENTRY DATA'!DG59</f>
        <v>-</v>
      </c>
      <c r="BO48" s="8" t="str">
        <f>IFERROR(ROUND('ENTRY DATA'!DH59,0),"-")</f>
        <v>-</v>
      </c>
      <c r="BP48" s="8" t="str">
        <f>'ENTRY DATA'!DI59</f>
        <v>-</v>
      </c>
      <c r="BQ48" s="7">
        <f t="shared" si="69"/>
        <v>75</v>
      </c>
      <c r="BR48" s="7">
        <f t="shared" si="70"/>
        <v>0</v>
      </c>
      <c r="BS48" s="7" t="str">
        <f>IFERROR(ROUND('ENTRY DATA'!DR59,0),"-")</f>
        <v>-</v>
      </c>
      <c r="BT48" s="7" t="str">
        <f>'ENTRY DATA'!DS59</f>
        <v>-</v>
      </c>
      <c r="BU48" s="7" t="str">
        <f>IFERROR(ROUND('ENTRY DATA'!DT59,0),"-")</f>
        <v>-</v>
      </c>
      <c r="BV48" s="7" t="str">
        <f>'ENTRY DATA'!DU59</f>
        <v>-</v>
      </c>
      <c r="BW48" s="8" t="str">
        <f>'ENTRY DATA'!$DV$8</f>
        <v>Matematika</v>
      </c>
      <c r="BX48" s="8">
        <f t="shared" si="71"/>
        <v>75</v>
      </c>
      <c r="BY48" s="8">
        <f t="shared" si="72"/>
        <v>0</v>
      </c>
      <c r="BZ48" s="8" t="str">
        <f>IFERROR(ROUND('ENTRY DATA'!ED59,0),"-")</f>
        <v>-</v>
      </c>
      <c r="CA48" s="8" t="str">
        <f>'ENTRY DATA'!EE59</f>
        <v>-</v>
      </c>
      <c r="CB48" s="8" t="str">
        <f>IFERROR(ROUND('ENTRY DATA'!EF59,0),"-")</f>
        <v>-</v>
      </c>
      <c r="CC48" s="8" t="str">
        <f>'ENTRY DATA'!EG59</f>
        <v>-</v>
      </c>
      <c r="CD48" s="7" t="str">
        <f>'ENTRY DATA'!$EH$8</f>
        <v>Biologi</v>
      </c>
      <c r="CE48" s="7">
        <f t="shared" si="73"/>
        <v>75</v>
      </c>
      <c r="CF48" s="7">
        <f t="shared" si="74"/>
        <v>0</v>
      </c>
      <c r="CG48" s="7" t="str">
        <f>IFERROR(ROUND('ENTRY DATA'!EP59,0),"-")</f>
        <v>-</v>
      </c>
      <c r="CH48" s="7" t="str">
        <f>'ENTRY DATA'!EQ59</f>
        <v>-</v>
      </c>
      <c r="CI48" s="7" t="str">
        <f>IFERROR(ROUND('ENTRY DATA'!ER59,0),"-")</f>
        <v>-</v>
      </c>
      <c r="CJ48" s="7" t="str">
        <f>'ENTRY DATA'!ES59</f>
        <v>-</v>
      </c>
      <c r="CK48" s="8" t="str">
        <f>'ENTRY DATA'!$ET$8</f>
        <v>Fisika</v>
      </c>
      <c r="CL48" s="8">
        <f t="shared" si="75"/>
        <v>75</v>
      </c>
      <c r="CM48" s="8">
        <f t="shared" si="76"/>
        <v>0</v>
      </c>
      <c r="CN48" s="8" t="str">
        <f>IFERROR(ROUND('ENTRY DATA'!FB59,0),"-")</f>
        <v>-</v>
      </c>
      <c r="CO48" s="8" t="str">
        <f>'ENTRY DATA'!FC59</f>
        <v>-</v>
      </c>
      <c r="CP48" s="8" t="str">
        <f>IFERROR(ROUND('ENTRY DATA'!FD59,0),"-")</f>
        <v>-</v>
      </c>
      <c r="CQ48" s="8" t="str">
        <f>'ENTRY DATA'!FE59</f>
        <v>-</v>
      </c>
      <c r="CR48" s="7" t="str">
        <f>'ENTRY DATA'!$FF$8</f>
        <v>Kimia</v>
      </c>
      <c r="CS48" s="7">
        <f t="shared" si="77"/>
        <v>75</v>
      </c>
      <c r="CT48" s="7">
        <f t="shared" si="78"/>
        <v>0</v>
      </c>
      <c r="CU48" s="7" t="str">
        <f>IFERROR(ROUND('ENTRY DATA'!FN59,0),"-")</f>
        <v>-</v>
      </c>
      <c r="CV48" s="7" t="str">
        <f>'ENTRY DATA'!FO59</f>
        <v>-</v>
      </c>
      <c r="CW48" s="7" t="str">
        <f>IFERROR(ROUND('ENTRY DATA'!FP59,0),"-")</f>
        <v>-</v>
      </c>
      <c r="CX48" s="7" t="str">
        <f>'ENTRY DATA'!FQ59</f>
        <v>-</v>
      </c>
      <c r="CY48" s="8" t="str">
        <f>'ENTRY DATA'!$FR$8</f>
        <v>-</v>
      </c>
      <c r="CZ48" s="8">
        <f t="shared" si="79"/>
        <v>75</v>
      </c>
      <c r="DA48" s="8">
        <f t="shared" si="80"/>
        <v>0</v>
      </c>
      <c r="DB48" s="8" t="str">
        <f>IFERROR(ROUND('ENTRY DATA'!FZ59,0),"-")</f>
        <v>-</v>
      </c>
      <c r="DC48" s="8" t="str">
        <f>'ENTRY DATA'!GA59</f>
        <v>-</v>
      </c>
      <c r="DD48" s="8" t="str">
        <f>IFERROR(ROUND('ENTRY DATA'!GB59,0),"-")</f>
        <v>-</v>
      </c>
      <c r="DE48" s="8" t="str">
        <f>'ENTRY DATA'!GC59</f>
        <v>-</v>
      </c>
      <c r="DF48" s="7" t="str">
        <f>'ENTRY DATA'!$GD$8</f>
        <v>-</v>
      </c>
      <c r="DG48" s="7">
        <f t="shared" si="81"/>
        <v>75</v>
      </c>
      <c r="DH48" s="7">
        <f t="shared" si="82"/>
        <v>0</v>
      </c>
      <c r="DI48" s="7" t="str">
        <f>IFERROR(ROUND('ENTRY DATA'!GL59,0),"-")</f>
        <v>-</v>
      </c>
      <c r="DJ48" s="7" t="str">
        <f>'ENTRY DATA'!GM59</f>
        <v>-</v>
      </c>
      <c r="DK48" s="7" t="str">
        <f>IFERROR(ROUND('ENTRY DATA'!GN59,0),"-")</f>
        <v>-</v>
      </c>
      <c r="DL48" s="7" t="str">
        <f>'ENTRY DATA'!GO59</f>
        <v>-</v>
      </c>
      <c r="DM48" s="16" t="str">
        <f>'ENTRY DATA'!HJ59</f>
        <v>-</v>
      </c>
      <c r="DN48" s="16" t="str">
        <f>'ENTRY DATA'!HK59</f>
        <v>-</v>
      </c>
      <c r="DO48" s="16" t="str">
        <f>'ENTRY DATA'!IF59</f>
        <v>-</v>
      </c>
      <c r="DP48" s="16" t="str">
        <f>'ENTRY DATA'!IG59</f>
        <v>-</v>
      </c>
      <c r="DQ48" s="2" t="str">
        <f>'ENTRY DATA'!IH59</f>
        <v>Pramuka</v>
      </c>
      <c r="DR48" s="2" t="str">
        <f>'ENTRY DATA'!II59</f>
        <v>B</v>
      </c>
      <c r="DS48" s="2" t="str">
        <f>'ENTRY DATA'!IJ59</f>
        <v>Aktif dalam mengikuti kegiatan</v>
      </c>
      <c r="DT48" s="2" t="str">
        <f>'ENTRY DATA'!IK59</f>
        <v>-</v>
      </c>
      <c r="DU48" s="2" t="str">
        <f>'ENTRY DATA'!IL59</f>
        <v>-</v>
      </c>
      <c r="DV48" s="2" t="str">
        <f>'ENTRY DATA'!IM59</f>
        <v>-</v>
      </c>
      <c r="DW48" s="2" t="str">
        <f>'ENTRY DATA'!IN59</f>
        <v>-</v>
      </c>
      <c r="DX48" s="2" t="str">
        <f>'ENTRY DATA'!IO59</f>
        <v>-</v>
      </c>
      <c r="DY48" s="2" t="str">
        <f>'ENTRY DATA'!IP59</f>
        <v>-</v>
      </c>
      <c r="DZ48" s="2" t="str">
        <f>'ENTRY DATA'!IQ59</f>
        <v>-</v>
      </c>
      <c r="EA48" s="2" t="str">
        <f>'ENTRY DATA'!IR59</f>
        <v>-</v>
      </c>
      <c r="EB48" s="2" t="str">
        <f>'ENTRY DATA'!IS59</f>
        <v>-</v>
      </c>
      <c r="EC48" s="2" t="str">
        <f>'ENTRY DATA'!IT59</f>
        <v>-</v>
      </c>
      <c r="ED48" s="2" t="str">
        <f>'ENTRY DATA'!IU59</f>
        <v>-</v>
      </c>
      <c r="EE48" s="2" t="str">
        <f>'ENTRY DATA'!IV59</f>
        <v>-</v>
      </c>
      <c r="EF48" s="2" t="str">
        <f>'ENTRY DATA'!IW59</f>
        <v>-</v>
      </c>
      <c r="EG48" s="2" t="str">
        <f>'ENTRY DATA'!IX59</f>
        <v>-</v>
      </c>
      <c r="EH48" s="2" t="str">
        <f>'ENTRY DATA'!IY59</f>
        <v>-</v>
      </c>
      <c r="EI48" s="2" t="str">
        <f>'ENTRY DATA'!IZ59</f>
        <v>-</v>
      </c>
      <c r="EJ48" s="2">
        <f>'ENTRY DATA'!JA59</f>
        <v>0</v>
      </c>
      <c r="EK48" s="2">
        <f>'ENTRY DATA'!JB59</f>
        <v>1</v>
      </c>
    </row>
    <row r="49" spans="1:141" x14ac:dyDescent="0.25">
      <c r="A49" s="2" t="str">
        <f t="shared" si="42"/>
        <v>MIPA</v>
      </c>
      <c r="B49" s="2" t="str">
        <f t="shared" si="43"/>
        <v>Bandung, 10 Oktober 2022</v>
      </c>
      <c r="C49" s="2" t="str">
        <f t="shared" si="44"/>
        <v>Drs. Ahmad Fathony</v>
      </c>
      <c r="D49" s="2" t="str">
        <f t="shared" si="45"/>
        <v>12345678 123456 1 123</v>
      </c>
      <c r="E49" s="2" t="str">
        <f t="shared" si="46"/>
        <v>H. Abdul Basith, M.Pd.</v>
      </c>
      <c r="F49" s="2" t="str">
        <f t="shared" si="47"/>
        <v>12341234 123123 1 234</v>
      </c>
      <c r="G49" s="74">
        <f>'ENTRY DATA'!B60</f>
        <v>0</v>
      </c>
      <c r="H49" s="74">
        <f>'ENTRY DATA'!C60</f>
        <v>0</v>
      </c>
      <c r="I49" s="74">
        <f>'ENTRY DATA'!D60</f>
        <v>0</v>
      </c>
      <c r="J49" s="74">
        <f>'ENTRY DATA'!E60</f>
        <v>0</v>
      </c>
      <c r="K49" s="7" t="str">
        <f t="shared" si="48"/>
        <v>X MIPA-1</v>
      </c>
      <c r="L49" s="7">
        <f t="shared" si="49"/>
        <v>1</v>
      </c>
      <c r="M49" s="7" t="str">
        <f t="shared" si="41"/>
        <v>Ganjil</v>
      </c>
      <c r="N49" s="7" t="str">
        <f t="shared" si="50"/>
        <v>2022/2023</v>
      </c>
      <c r="O49" s="8">
        <f t="shared" si="51"/>
        <v>75</v>
      </c>
      <c r="P49" s="8">
        <f t="shared" si="52"/>
        <v>0</v>
      </c>
      <c r="Q49" s="8" t="str">
        <f>IFERROR(ROUND('ENTRY DATA'!N60,0),"-")</f>
        <v>-</v>
      </c>
      <c r="R49" s="8" t="str">
        <f>'ENTRY DATA'!O60</f>
        <v>-</v>
      </c>
      <c r="S49" s="8" t="str">
        <f>IFERROR(ROUND('ENTRY DATA'!P60,0),"-")</f>
        <v>-</v>
      </c>
      <c r="T49" s="8" t="str">
        <f>'ENTRY DATA'!Q60</f>
        <v>-</v>
      </c>
      <c r="U49" s="7">
        <f t="shared" si="53"/>
        <v>75</v>
      </c>
      <c r="V49" s="7">
        <f t="shared" si="54"/>
        <v>0</v>
      </c>
      <c r="W49" s="7" t="str">
        <f>IFERROR(ROUND('ENTRY DATA'!Z60,0),"-")</f>
        <v>-</v>
      </c>
      <c r="X49" s="7" t="str">
        <f>'ENTRY DATA'!AA60</f>
        <v>-</v>
      </c>
      <c r="Y49" s="7" t="str">
        <f>IFERROR(ROUND('ENTRY DATA'!AB60,0),"-")</f>
        <v>-</v>
      </c>
      <c r="Z49" s="7" t="str">
        <f>'ENTRY DATA'!AC60</f>
        <v>-</v>
      </c>
      <c r="AA49" s="8">
        <f t="shared" si="55"/>
        <v>75</v>
      </c>
      <c r="AB49" s="8">
        <f t="shared" si="56"/>
        <v>0</v>
      </c>
      <c r="AC49" s="8" t="str">
        <f>IFERROR(ROUND('ENTRY DATA'!AL60,0),"-")</f>
        <v>-</v>
      </c>
      <c r="AD49" s="8" t="str">
        <f>'ENTRY DATA'!AM60</f>
        <v>-</v>
      </c>
      <c r="AE49" s="8" t="str">
        <f>IFERROR(ROUND('ENTRY DATA'!AN60,0),"-")</f>
        <v>-</v>
      </c>
      <c r="AF49" s="8" t="str">
        <f>'ENTRY DATA'!AO60</f>
        <v>-</v>
      </c>
      <c r="AG49" s="7">
        <f t="shared" si="57"/>
        <v>75</v>
      </c>
      <c r="AH49" s="7">
        <f t="shared" si="58"/>
        <v>0</v>
      </c>
      <c r="AI49" s="7" t="str">
        <f>IFERROR(ROUND('ENTRY DATA'!AX60,0),"-")</f>
        <v>-</v>
      </c>
      <c r="AJ49" s="7" t="str">
        <f>'ENTRY DATA'!AY60</f>
        <v>-</v>
      </c>
      <c r="AK49" s="7" t="str">
        <f>IFERROR(ROUND('ENTRY DATA'!AZ60,0),"-")</f>
        <v>-</v>
      </c>
      <c r="AL49" s="7" t="str">
        <f>'ENTRY DATA'!BA60</f>
        <v>-</v>
      </c>
      <c r="AM49" s="8">
        <f t="shared" si="59"/>
        <v>75</v>
      </c>
      <c r="AN49" s="8">
        <f t="shared" si="60"/>
        <v>0</v>
      </c>
      <c r="AO49" s="8" t="str">
        <f>IFERROR(ROUND('ENTRY DATA'!BJ60,0),"-")</f>
        <v>-</v>
      </c>
      <c r="AP49" s="8" t="str">
        <f>'ENTRY DATA'!BK60</f>
        <v>-</v>
      </c>
      <c r="AQ49" s="8" t="str">
        <f>IFERROR(ROUND('ENTRY DATA'!BL60,0),"-")</f>
        <v>-</v>
      </c>
      <c r="AR49" s="8" t="str">
        <f>'ENTRY DATA'!BM60</f>
        <v>-</v>
      </c>
      <c r="AS49" s="7">
        <f t="shared" si="61"/>
        <v>75</v>
      </c>
      <c r="AT49" s="7">
        <f t="shared" si="62"/>
        <v>0</v>
      </c>
      <c r="AU49" s="7" t="str">
        <f>IFERROR(ROUND('ENTRY DATA'!BV60,0),"-")</f>
        <v>-</v>
      </c>
      <c r="AV49" s="7" t="str">
        <f>'ENTRY DATA'!BW60</f>
        <v>-</v>
      </c>
      <c r="AW49" s="7" t="str">
        <f>IFERROR(ROUND('ENTRY DATA'!BX60,0),"-")</f>
        <v>-</v>
      </c>
      <c r="AX49" s="7" t="str">
        <f>'ENTRY DATA'!BY60</f>
        <v>-</v>
      </c>
      <c r="AY49" s="8">
        <f t="shared" si="63"/>
        <v>75</v>
      </c>
      <c r="AZ49" s="8">
        <f t="shared" si="64"/>
        <v>0</v>
      </c>
      <c r="BA49" s="8" t="str">
        <f>IFERROR(ROUND('ENTRY DATA'!CH60,0),"-")</f>
        <v>-</v>
      </c>
      <c r="BB49" s="8" t="str">
        <f>'ENTRY DATA'!CI60</f>
        <v>-</v>
      </c>
      <c r="BC49" s="8" t="str">
        <f>IFERROR(ROUND('ENTRY DATA'!CJ60,0),"-")</f>
        <v>-</v>
      </c>
      <c r="BD49" s="8" t="str">
        <f>'ENTRY DATA'!CK60</f>
        <v>-</v>
      </c>
      <c r="BE49" s="7">
        <f t="shared" si="65"/>
        <v>75</v>
      </c>
      <c r="BF49" s="7">
        <f t="shared" si="66"/>
        <v>0</v>
      </c>
      <c r="BG49" s="7" t="str">
        <f>IFERROR(ROUND('ENTRY DATA'!CT60,0),"-")</f>
        <v>-</v>
      </c>
      <c r="BH49" s="7" t="str">
        <f>'ENTRY DATA'!CU60</f>
        <v>-</v>
      </c>
      <c r="BI49" s="7" t="str">
        <f>IFERROR(ROUND('ENTRY DATA'!CV60,0),"-")</f>
        <v>-</v>
      </c>
      <c r="BJ49" s="7" t="str">
        <f>'ENTRY DATA'!CW60</f>
        <v>-</v>
      </c>
      <c r="BK49" s="8">
        <f t="shared" si="67"/>
        <v>75</v>
      </c>
      <c r="BL49" s="8">
        <f t="shared" si="68"/>
        <v>0</v>
      </c>
      <c r="BM49" s="8" t="str">
        <f>IFERROR(ROUND('ENTRY DATA'!DF60,0),"-")</f>
        <v>-</v>
      </c>
      <c r="BN49" s="8" t="str">
        <f>'ENTRY DATA'!DG60</f>
        <v>-</v>
      </c>
      <c r="BO49" s="8" t="str">
        <f>IFERROR(ROUND('ENTRY DATA'!DH60,0),"-")</f>
        <v>-</v>
      </c>
      <c r="BP49" s="8" t="str">
        <f>'ENTRY DATA'!DI60</f>
        <v>-</v>
      </c>
      <c r="BQ49" s="7">
        <f t="shared" si="69"/>
        <v>75</v>
      </c>
      <c r="BR49" s="7">
        <f t="shared" si="70"/>
        <v>0</v>
      </c>
      <c r="BS49" s="7" t="str">
        <f>IFERROR(ROUND('ENTRY DATA'!DR60,0),"-")</f>
        <v>-</v>
      </c>
      <c r="BT49" s="7" t="str">
        <f>'ENTRY DATA'!DS60</f>
        <v>-</v>
      </c>
      <c r="BU49" s="7" t="str">
        <f>IFERROR(ROUND('ENTRY DATA'!DT60,0),"-")</f>
        <v>-</v>
      </c>
      <c r="BV49" s="7" t="str">
        <f>'ENTRY DATA'!DU60</f>
        <v>-</v>
      </c>
      <c r="BW49" s="8" t="str">
        <f>'ENTRY DATA'!$DV$8</f>
        <v>Matematika</v>
      </c>
      <c r="BX49" s="8">
        <f t="shared" si="71"/>
        <v>75</v>
      </c>
      <c r="BY49" s="8">
        <f t="shared" si="72"/>
        <v>0</v>
      </c>
      <c r="BZ49" s="8" t="str">
        <f>IFERROR(ROUND('ENTRY DATA'!ED60,0),"-")</f>
        <v>-</v>
      </c>
      <c r="CA49" s="8" t="str">
        <f>'ENTRY DATA'!EE60</f>
        <v>-</v>
      </c>
      <c r="CB49" s="8" t="str">
        <f>IFERROR(ROUND('ENTRY DATA'!EF60,0),"-")</f>
        <v>-</v>
      </c>
      <c r="CC49" s="8" t="str">
        <f>'ENTRY DATA'!EG60</f>
        <v>-</v>
      </c>
      <c r="CD49" s="7" t="str">
        <f>'ENTRY DATA'!$EH$8</f>
        <v>Biologi</v>
      </c>
      <c r="CE49" s="7">
        <f t="shared" si="73"/>
        <v>75</v>
      </c>
      <c r="CF49" s="7">
        <f t="shared" si="74"/>
        <v>0</v>
      </c>
      <c r="CG49" s="7" t="str">
        <f>IFERROR(ROUND('ENTRY DATA'!EP60,0),"-")</f>
        <v>-</v>
      </c>
      <c r="CH49" s="7" t="str">
        <f>'ENTRY DATA'!EQ60</f>
        <v>-</v>
      </c>
      <c r="CI49" s="7" t="str">
        <f>IFERROR(ROUND('ENTRY DATA'!ER60,0),"-")</f>
        <v>-</v>
      </c>
      <c r="CJ49" s="7" t="str">
        <f>'ENTRY DATA'!ES60</f>
        <v>-</v>
      </c>
      <c r="CK49" s="8" t="str">
        <f>'ENTRY DATA'!$ET$8</f>
        <v>Fisika</v>
      </c>
      <c r="CL49" s="8">
        <f t="shared" si="75"/>
        <v>75</v>
      </c>
      <c r="CM49" s="8">
        <f t="shared" si="76"/>
        <v>0</v>
      </c>
      <c r="CN49" s="8" t="str">
        <f>IFERROR(ROUND('ENTRY DATA'!FB60,0),"-")</f>
        <v>-</v>
      </c>
      <c r="CO49" s="8" t="str">
        <f>'ENTRY DATA'!FC60</f>
        <v>-</v>
      </c>
      <c r="CP49" s="8" t="str">
        <f>IFERROR(ROUND('ENTRY DATA'!FD60,0),"-")</f>
        <v>-</v>
      </c>
      <c r="CQ49" s="8" t="str">
        <f>'ENTRY DATA'!FE60</f>
        <v>-</v>
      </c>
      <c r="CR49" s="7" t="str">
        <f>'ENTRY DATA'!$FF$8</f>
        <v>Kimia</v>
      </c>
      <c r="CS49" s="7">
        <f t="shared" si="77"/>
        <v>75</v>
      </c>
      <c r="CT49" s="7">
        <f t="shared" si="78"/>
        <v>0</v>
      </c>
      <c r="CU49" s="7" t="str">
        <f>IFERROR(ROUND('ENTRY DATA'!FN60,0),"-")</f>
        <v>-</v>
      </c>
      <c r="CV49" s="7" t="str">
        <f>'ENTRY DATA'!FO60</f>
        <v>-</v>
      </c>
      <c r="CW49" s="7" t="str">
        <f>IFERROR(ROUND('ENTRY DATA'!FP60,0),"-")</f>
        <v>-</v>
      </c>
      <c r="CX49" s="7" t="str">
        <f>'ENTRY DATA'!FQ60</f>
        <v>-</v>
      </c>
      <c r="CY49" s="8" t="str">
        <f>'ENTRY DATA'!$FR$8</f>
        <v>-</v>
      </c>
      <c r="CZ49" s="8">
        <f t="shared" si="79"/>
        <v>75</v>
      </c>
      <c r="DA49" s="8">
        <f t="shared" si="80"/>
        <v>0</v>
      </c>
      <c r="DB49" s="8" t="str">
        <f>IFERROR(ROUND('ENTRY DATA'!FZ60,0),"-")</f>
        <v>-</v>
      </c>
      <c r="DC49" s="8" t="str">
        <f>'ENTRY DATA'!GA60</f>
        <v>-</v>
      </c>
      <c r="DD49" s="8" t="str">
        <f>IFERROR(ROUND('ENTRY DATA'!GB60,0),"-")</f>
        <v>-</v>
      </c>
      <c r="DE49" s="8" t="str">
        <f>'ENTRY DATA'!GC60</f>
        <v>-</v>
      </c>
      <c r="DF49" s="7" t="str">
        <f>'ENTRY DATA'!$GD$8</f>
        <v>-</v>
      </c>
      <c r="DG49" s="7">
        <f t="shared" si="81"/>
        <v>75</v>
      </c>
      <c r="DH49" s="7">
        <f t="shared" si="82"/>
        <v>0</v>
      </c>
      <c r="DI49" s="7" t="str">
        <f>IFERROR(ROUND('ENTRY DATA'!GL60,0),"-")</f>
        <v>-</v>
      </c>
      <c r="DJ49" s="7" t="str">
        <f>'ENTRY DATA'!GM60</f>
        <v>-</v>
      </c>
      <c r="DK49" s="7" t="str">
        <f>IFERROR(ROUND('ENTRY DATA'!GN60,0),"-")</f>
        <v>-</v>
      </c>
      <c r="DL49" s="7" t="str">
        <f>'ENTRY DATA'!GO60</f>
        <v>-</v>
      </c>
      <c r="DM49" s="16" t="str">
        <f>'ENTRY DATA'!HJ60</f>
        <v>-</v>
      </c>
      <c r="DN49" s="16" t="str">
        <f>'ENTRY DATA'!HK60</f>
        <v>-</v>
      </c>
      <c r="DO49" s="16" t="str">
        <f>'ENTRY DATA'!IF60</f>
        <v>-</v>
      </c>
      <c r="DP49" s="16" t="str">
        <f>'ENTRY DATA'!IG60</f>
        <v>-</v>
      </c>
      <c r="DQ49" s="2" t="str">
        <f>'ENTRY DATA'!IH60</f>
        <v>Pramuka</v>
      </c>
      <c r="DR49" s="2" t="str">
        <f>'ENTRY DATA'!II60</f>
        <v>B</v>
      </c>
      <c r="DS49" s="2" t="str">
        <f>'ENTRY DATA'!IJ60</f>
        <v>Aktif dalam mengikuti kegiatan</v>
      </c>
      <c r="DT49" s="2" t="str">
        <f>'ENTRY DATA'!IK60</f>
        <v>-</v>
      </c>
      <c r="DU49" s="2" t="str">
        <f>'ENTRY DATA'!IL60</f>
        <v>-</v>
      </c>
      <c r="DV49" s="2" t="str">
        <f>'ENTRY DATA'!IM60</f>
        <v>-</v>
      </c>
      <c r="DW49" s="2" t="str">
        <f>'ENTRY DATA'!IN60</f>
        <v>-</v>
      </c>
      <c r="DX49" s="2" t="str">
        <f>'ENTRY DATA'!IO60</f>
        <v>-</v>
      </c>
      <c r="DY49" s="2" t="str">
        <f>'ENTRY DATA'!IP60</f>
        <v>-</v>
      </c>
      <c r="DZ49" s="2" t="str">
        <f>'ENTRY DATA'!IQ60</f>
        <v>-</v>
      </c>
      <c r="EA49" s="2" t="str">
        <f>'ENTRY DATA'!IR60</f>
        <v>-</v>
      </c>
      <c r="EB49" s="2" t="str">
        <f>'ENTRY DATA'!IS60</f>
        <v>-</v>
      </c>
      <c r="EC49" s="2" t="str">
        <f>'ENTRY DATA'!IT60</f>
        <v>-</v>
      </c>
      <c r="ED49" s="2" t="str">
        <f>'ENTRY DATA'!IU60</f>
        <v>-</v>
      </c>
      <c r="EE49" s="2" t="str">
        <f>'ENTRY DATA'!IV60</f>
        <v>-</v>
      </c>
      <c r="EF49" s="2" t="str">
        <f>'ENTRY DATA'!IW60</f>
        <v>-</v>
      </c>
      <c r="EG49" s="2" t="str">
        <f>'ENTRY DATA'!IX60</f>
        <v>-</v>
      </c>
      <c r="EH49" s="2" t="str">
        <f>'ENTRY DATA'!IY60</f>
        <v>-</v>
      </c>
      <c r="EI49" s="2" t="str">
        <f>'ENTRY DATA'!IZ60</f>
        <v>-</v>
      </c>
      <c r="EJ49" s="2">
        <f>'ENTRY DATA'!JA60</f>
        <v>0</v>
      </c>
      <c r="EK49" s="2">
        <f>'ENTRY DATA'!JB60</f>
        <v>1</v>
      </c>
    </row>
    <row r="50" spans="1:141" x14ac:dyDescent="0.25">
      <c r="A50" s="2" t="str">
        <f t="shared" si="42"/>
        <v>MIPA</v>
      </c>
      <c r="B50" s="2" t="str">
        <f t="shared" si="43"/>
        <v>Bandung, 10 Oktober 2022</v>
      </c>
      <c r="C50" s="2" t="str">
        <f t="shared" si="44"/>
        <v>Drs. Ahmad Fathony</v>
      </c>
      <c r="D50" s="2" t="str">
        <f t="shared" si="45"/>
        <v>12345678 123456 1 123</v>
      </c>
      <c r="E50" s="2" t="str">
        <f t="shared" si="46"/>
        <v>H. Abdul Basith, M.Pd.</v>
      </c>
      <c r="F50" s="2" t="str">
        <f t="shared" si="47"/>
        <v>12341234 123123 1 234</v>
      </c>
      <c r="G50" s="74">
        <f>'ENTRY DATA'!B61</f>
        <v>0</v>
      </c>
      <c r="H50" s="74">
        <f>'ENTRY DATA'!C61</f>
        <v>0</v>
      </c>
      <c r="I50" s="74">
        <f>'ENTRY DATA'!D61</f>
        <v>0</v>
      </c>
      <c r="J50" s="74">
        <f>'ENTRY DATA'!E61</f>
        <v>0</v>
      </c>
      <c r="K50" s="7" t="str">
        <f t="shared" si="48"/>
        <v>X MIPA-1</v>
      </c>
      <c r="L50" s="7">
        <f t="shared" si="49"/>
        <v>1</v>
      </c>
      <c r="M50" s="7" t="str">
        <f t="shared" si="41"/>
        <v>Ganjil</v>
      </c>
      <c r="N50" s="7" t="str">
        <f t="shared" si="50"/>
        <v>2022/2023</v>
      </c>
      <c r="O50" s="8">
        <f t="shared" si="51"/>
        <v>75</v>
      </c>
      <c r="P50" s="8">
        <f t="shared" si="52"/>
        <v>0</v>
      </c>
      <c r="Q50" s="8" t="str">
        <f>IFERROR(ROUND('ENTRY DATA'!N61,0),"-")</f>
        <v>-</v>
      </c>
      <c r="R50" s="8" t="str">
        <f>'ENTRY DATA'!O61</f>
        <v>-</v>
      </c>
      <c r="S50" s="8" t="str">
        <f>IFERROR(ROUND('ENTRY DATA'!P61,0),"-")</f>
        <v>-</v>
      </c>
      <c r="T50" s="8" t="str">
        <f>'ENTRY DATA'!Q61</f>
        <v>-</v>
      </c>
      <c r="U50" s="7">
        <f t="shared" si="53"/>
        <v>75</v>
      </c>
      <c r="V50" s="7">
        <f t="shared" si="54"/>
        <v>0</v>
      </c>
      <c r="W50" s="7" t="str">
        <f>IFERROR(ROUND('ENTRY DATA'!Z61,0),"-")</f>
        <v>-</v>
      </c>
      <c r="X50" s="7" t="str">
        <f>'ENTRY DATA'!AA61</f>
        <v>-</v>
      </c>
      <c r="Y50" s="7" t="str">
        <f>IFERROR(ROUND('ENTRY DATA'!AB61,0),"-")</f>
        <v>-</v>
      </c>
      <c r="Z50" s="7" t="str">
        <f>'ENTRY DATA'!AC61</f>
        <v>-</v>
      </c>
      <c r="AA50" s="8">
        <f t="shared" si="55"/>
        <v>75</v>
      </c>
      <c r="AB50" s="8">
        <f t="shared" si="56"/>
        <v>0</v>
      </c>
      <c r="AC50" s="8" t="str">
        <f>IFERROR(ROUND('ENTRY DATA'!AL61,0),"-")</f>
        <v>-</v>
      </c>
      <c r="AD50" s="8" t="str">
        <f>'ENTRY DATA'!AM61</f>
        <v>-</v>
      </c>
      <c r="AE50" s="8" t="str">
        <f>IFERROR(ROUND('ENTRY DATA'!AN61,0),"-")</f>
        <v>-</v>
      </c>
      <c r="AF50" s="8" t="str">
        <f>'ENTRY DATA'!AO61</f>
        <v>-</v>
      </c>
      <c r="AG50" s="7">
        <f t="shared" si="57"/>
        <v>75</v>
      </c>
      <c r="AH50" s="7">
        <f t="shared" si="58"/>
        <v>0</v>
      </c>
      <c r="AI50" s="7" t="str">
        <f>IFERROR(ROUND('ENTRY DATA'!AX61,0),"-")</f>
        <v>-</v>
      </c>
      <c r="AJ50" s="7" t="str">
        <f>'ENTRY DATA'!AY61</f>
        <v>-</v>
      </c>
      <c r="AK50" s="7" t="str">
        <f>IFERROR(ROUND('ENTRY DATA'!AZ61,0),"-")</f>
        <v>-</v>
      </c>
      <c r="AL50" s="7" t="str">
        <f>'ENTRY DATA'!BA61</f>
        <v>-</v>
      </c>
      <c r="AM50" s="8">
        <f t="shared" si="59"/>
        <v>75</v>
      </c>
      <c r="AN50" s="8">
        <f t="shared" si="60"/>
        <v>0</v>
      </c>
      <c r="AO50" s="8" t="str">
        <f>IFERROR(ROUND('ENTRY DATA'!BJ61,0),"-")</f>
        <v>-</v>
      </c>
      <c r="AP50" s="8" t="str">
        <f>'ENTRY DATA'!BK61</f>
        <v>-</v>
      </c>
      <c r="AQ50" s="8" t="str">
        <f>IFERROR(ROUND('ENTRY DATA'!BL61,0),"-")</f>
        <v>-</v>
      </c>
      <c r="AR50" s="8" t="str">
        <f>'ENTRY DATA'!BM61</f>
        <v>-</v>
      </c>
      <c r="AS50" s="7">
        <f t="shared" si="61"/>
        <v>75</v>
      </c>
      <c r="AT50" s="7">
        <f t="shared" si="62"/>
        <v>0</v>
      </c>
      <c r="AU50" s="7" t="str">
        <f>IFERROR(ROUND('ENTRY DATA'!BV61,0),"-")</f>
        <v>-</v>
      </c>
      <c r="AV50" s="7" t="str">
        <f>'ENTRY DATA'!BW61</f>
        <v>-</v>
      </c>
      <c r="AW50" s="7" t="str">
        <f>IFERROR(ROUND('ENTRY DATA'!BX61,0),"-")</f>
        <v>-</v>
      </c>
      <c r="AX50" s="7" t="str">
        <f>'ENTRY DATA'!BY61</f>
        <v>-</v>
      </c>
      <c r="AY50" s="8">
        <f t="shared" si="63"/>
        <v>75</v>
      </c>
      <c r="AZ50" s="8">
        <f t="shared" si="64"/>
        <v>0</v>
      </c>
      <c r="BA50" s="8" t="str">
        <f>IFERROR(ROUND('ENTRY DATA'!CH61,0),"-")</f>
        <v>-</v>
      </c>
      <c r="BB50" s="8" t="str">
        <f>'ENTRY DATA'!CI61</f>
        <v>-</v>
      </c>
      <c r="BC50" s="8" t="str">
        <f>IFERROR(ROUND('ENTRY DATA'!CJ61,0),"-")</f>
        <v>-</v>
      </c>
      <c r="BD50" s="8" t="str">
        <f>'ENTRY DATA'!CK61</f>
        <v>-</v>
      </c>
      <c r="BE50" s="7">
        <f t="shared" si="65"/>
        <v>75</v>
      </c>
      <c r="BF50" s="7">
        <f t="shared" si="66"/>
        <v>0</v>
      </c>
      <c r="BG50" s="7" t="str">
        <f>IFERROR(ROUND('ENTRY DATA'!CT61,0),"-")</f>
        <v>-</v>
      </c>
      <c r="BH50" s="7" t="str">
        <f>'ENTRY DATA'!CU61</f>
        <v>-</v>
      </c>
      <c r="BI50" s="7" t="str">
        <f>IFERROR(ROUND('ENTRY DATA'!CV61,0),"-")</f>
        <v>-</v>
      </c>
      <c r="BJ50" s="7" t="str">
        <f>'ENTRY DATA'!CW61</f>
        <v>-</v>
      </c>
      <c r="BK50" s="8">
        <f t="shared" si="67"/>
        <v>75</v>
      </c>
      <c r="BL50" s="8">
        <f t="shared" si="68"/>
        <v>0</v>
      </c>
      <c r="BM50" s="8" t="str">
        <f>IFERROR(ROUND('ENTRY DATA'!DF61,0),"-")</f>
        <v>-</v>
      </c>
      <c r="BN50" s="8" t="str">
        <f>'ENTRY DATA'!DG61</f>
        <v>-</v>
      </c>
      <c r="BO50" s="8" t="str">
        <f>IFERROR(ROUND('ENTRY DATA'!DH61,0),"-")</f>
        <v>-</v>
      </c>
      <c r="BP50" s="8" t="str">
        <f>'ENTRY DATA'!DI61</f>
        <v>-</v>
      </c>
      <c r="BQ50" s="7">
        <f t="shared" si="69"/>
        <v>75</v>
      </c>
      <c r="BR50" s="7">
        <f t="shared" si="70"/>
        <v>0</v>
      </c>
      <c r="BS50" s="7" t="str">
        <f>IFERROR(ROUND('ENTRY DATA'!DR61,0),"-")</f>
        <v>-</v>
      </c>
      <c r="BT50" s="7" t="str">
        <f>'ENTRY DATA'!DS61</f>
        <v>-</v>
      </c>
      <c r="BU50" s="7" t="str">
        <f>IFERROR(ROUND('ENTRY DATA'!DT61,0),"-")</f>
        <v>-</v>
      </c>
      <c r="BV50" s="7" t="str">
        <f>'ENTRY DATA'!DU61</f>
        <v>-</v>
      </c>
      <c r="BW50" s="8" t="str">
        <f>'ENTRY DATA'!$DV$8</f>
        <v>Matematika</v>
      </c>
      <c r="BX50" s="8">
        <f t="shared" si="71"/>
        <v>75</v>
      </c>
      <c r="BY50" s="8">
        <f t="shared" si="72"/>
        <v>0</v>
      </c>
      <c r="BZ50" s="8" t="str">
        <f>IFERROR(ROUND('ENTRY DATA'!ED61,0),"-")</f>
        <v>-</v>
      </c>
      <c r="CA50" s="8" t="str">
        <f>'ENTRY DATA'!EE61</f>
        <v>-</v>
      </c>
      <c r="CB50" s="8" t="str">
        <f>IFERROR(ROUND('ENTRY DATA'!EF61,0),"-")</f>
        <v>-</v>
      </c>
      <c r="CC50" s="8" t="str">
        <f>'ENTRY DATA'!EG61</f>
        <v>-</v>
      </c>
      <c r="CD50" s="7" t="str">
        <f>'ENTRY DATA'!$EH$8</f>
        <v>Biologi</v>
      </c>
      <c r="CE50" s="7">
        <f t="shared" si="73"/>
        <v>75</v>
      </c>
      <c r="CF50" s="7">
        <f t="shared" si="74"/>
        <v>0</v>
      </c>
      <c r="CG50" s="7" t="str">
        <f>IFERROR(ROUND('ENTRY DATA'!EP61,0),"-")</f>
        <v>-</v>
      </c>
      <c r="CH50" s="7" t="str">
        <f>'ENTRY DATA'!EQ61</f>
        <v>-</v>
      </c>
      <c r="CI50" s="7" t="str">
        <f>IFERROR(ROUND('ENTRY DATA'!ER61,0),"-")</f>
        <v>-</v>
      </c>
      <c r="CJ50" s="7" t="str">
        <f>'ENTRY DATA'!ES61</f>
        <v>-</v>
      </c>
      <c r="CK50" s="8" t="str">
        <f>'ENTRY DATA'!$ET$8</f>
        <v>Fisika</v>
      </c>
      <c r="CL50" s="8">
        <f t="shared" si="75"/>
        <v>75</v>
      </c>
      <c r="CM50" s="8">
        <f t="shared" si="76"/>
        <v>0</v>
      </c>
      <c r="CN50" s="8" t="str">
        <f>IFERROR(ROUND('ENTRY DATA'!FB61,0),"-")</f>
        <v>-</v>
      </c>
      <c r="CO50" s="8" t="str">
        <f>'ENTRY DATA'!FC61</f>
        <v>-</v>
      </c>
      <c r="CP50" s="8" t="str">
        <f>IFERROR(ROUND('ENTRY DATA'!FD61,0),"-")</f>
        <v>-</v>
      </c>
      <c r="CQ50" s="8" t="str">
        <f>'ENTRY DATA'!FE61</f>
        <v>-</v>
      </c>
      <c r="CR50" s="7" t="str">
        <f>'ENTRY DATA'!$FF$8</f>
        <v>Kimia</v>
      </c>
      <c r="CS50" s="7">
        <f t="shared" si="77"/>
        <v>75</v>
      </c>
      <c r="CT50" s="7">
        <f t="shared" si="78"/>
        <v>0</v>
      </c>
      <c r="CU50" s="7" t="str">
        <f>IFERROR(ROUND('ENTRY DATA'!FN61,0),"-")</f>
        <v>-</v>
      </c>
      <c r="CV50" s="7" t="str">
        <f>'ENTRY DATA'!FO61</f>
        <v>-</v>
      </c>
      <c r="CW50" s="7" t="str">
        <f>IFERROR(ROUND('ENTRY DATA'!FP61,0),"-")</f>
        <v>-</v>
      </c>
      <c r="CX50" s="7" t="str">
        <f>'ENTRY DATA'!FQ61</f>
        <v>-</v>
      </c>
      <c r="CY50" s="8" t="str">
        <f>'ENTRY DATA'!$FR$8</f>
        <v>-</v>
      </c>
      <c r="CZ50" s="8">
        <f t="shared" si="79"/>
        <v>75</v>
      </c>
      <c r="DA50" s="8">
        <f t="shared" si="80"/>
        <v>0</v>
      </c>
      <c r="DB50" s="8" t="str">
        <f>IFERROR(ROUND('ENTRY DATA'!FZ61,0),"-")</f>
        <v>-</v>
      </c>
      <c r="DC50" s="8" t="str">
        <f>'ENTRY DATA'!GA61</f>
        <v>-</v>
      </c>
      <c r="DD50" s="8" t="str">
        <f>IFERROR(ROUND('ENTRY DATA'!GB61,0),"-")</f>
        <v>-</v>
      </c>
      <c r="DE50" s="8" t="str">
        <f>'ENTRY DATA'!GC61</f>
        <v>-</v>
      </c>
      <c r="DF50" s="7" t="str">
        <f>'ENTRY DATA'!$GD$8</f>
        <v>-</v>
      </c>
      <c r="DG50" s="7">
        <f t="shared" si="81"/>
        <v>75</v>
      </c>
      <c r="DH50" s="7">
        <f t="shared" si="82"/>
        <v>0</v>
      </c>
      <c r="DI50" s="7" t="str">
        <f>IFERROR(ROUND('ENTRY DATA'!GL61,0),"-")</f>
        <v>-</v>
      </c>
      <c r="DJ50" s="7" t="str">
        <f>'ENTRY DATA'!GM61</f>
        <v>-</v>
      </c>
      <c r="DK50" s="7" t="str">
        <f>IFERROR(ROUND('ENTRY DATA'!GN61,0),"-")</f>
        <v>-</v>
      </c>
      <c r="DL50" s="7" t="str">
        <f>'ENTRY DATA'!GO61</f>
        <v>-</v>
      </c>
      <c r="DM50" s="16" t="str">
        <f>'ENTRY DATA'!HJ61</f>
        <v>-</v>
      </c>
      <c r="DN50" s="16" t="str">
        <f>'ENTRY DATA'!HK61</f>
        <v>-</v>
      </c>
      <c r="DO50" s="16" t="str">
        <f>'ENTRY DATA'!IF61</f>
        <v>-</v>
      </c>
      <c r="DP50" s="16" t="str">
        <f>'ENTRY DATA'!IG61</f>
        <v>-</v>
      </c>
      <c r="DQ50" s="2" t="str">
        <f>'ENTRY DATA'!IH61</f>
        <v>Pramuka</v>
      </c>
      <c r="DR50" s="2" t="str">
        <f>'ENTRY DATA'!II61</f>
        <v>B</v>
      </c>
      <c r="DS50" s="2" t="str">
        <f>'ENTRY DATA'!IJ61</f>
        <v>Aktif dalam mengikuti kegiatan</v>
      </c>
      <c r="DT50" s="2" t="str">
        <f>'ENTRY DATA'!IK61</f>
        <v>-</v>
      </c>
      <c r="DU50" s="2" t="str">
        <f>'ENTRY DATA'!IL61</f>
        <v>-</v>
      </c>
      <c r="DV50" s="2" t="str">
        <f>'ENTRY DATA'!IM61</f>
        <v>-</v>
      </c>
      <c r="DW50" s="2" t="str">
        <f>'ENTRY DATA'!IN61</f>
        <v>-</v>
      </c>
      <c r="DX50" s="2" t="str">
        <f>'ENTRY DATA'!IO61</f>
        <v>-</v>
      </c>
      <c r="DY50" s="2" t="str">
        <f>'ENTRY DATA'!IP61</f>
        <v>-</v>
      </c>
      <c r="DZ50" s="2" t="str">
        <f>'ENTRY DATA'!IQ61</f>
        <v>-</v>
      </c>
      <c r="EA50" s="2" t="str">
        <f>'ENTRY DATA'!IR61</f>
        <v>-</v>
      </c>
      <c r="EB50" s="2" t="str">
        <f>'ENTRY DATA'!IS61</f>
        <v>-</v>
      </c>
      <c r="EC50" s="2" t="str">
        <f>'ENTRY DATA'!IT61</f>
        <v>-</v>
      </c>
      <c r="ED50" s="2" t="str">
        <f>'ENTRY DATA'!IU61</f>
        <v>-</v>
      </c>
      <c r="EE50" s="2" t="str">
        <f>'ENTRY DATA'!IV61</f>
        <v>-</v>
      </c>
      <c r="EF50" s="2" t="str">
        <f>'ENTRY DATA'!IW61</f>
        <v>-</v>
      </c>
      <c r="EG50" s="2" t="str">
        <f>'ENTRY DATA'!IX61</f>
        <v>-</v>
      </c>
      <c r="EH50" s="2" t="str">
        <f>'ENTRY DATA'!IY61</f>
        <v>-</v>
      </c>
      <c r="EI50" s="2" t="str">
        <f>'ENTRY DATA'!IZ61</f>
        <v>-</v>
      </c>
      <c r="EJ50" s="2">
        <f>'ENTRY DATA'!JA61</f>
        <v>0</v>
      </c>
      <c r="EK50" s="2">
        <f>'ENTRY DATA'!JB61</f>
        <v>1</v>
      </c>
    </row>
    <row r="51" spans="1:141" x14ac:dyDescent="0.25">
      <c r="A51" s="2" t="str">
        <f t="shared" si="42"/>
        <v>MIPA</v>
      </c>
      <c r="B51" s="2" t="str">
        <f t="shared" si="43"/>
        <v>Bandung, 10 Oktober 2022</v>
      </c>
      <c r="C51" s="2" t="str">
        <f t="shared" si="44"/>
        <v>Drs. Ahmad Fathony</v>
      </c>
      <c r="D51" s="2" t="str">
        <f t="shared" si="45"/>
        <v>12345678 123456 1 123</v>
      </c>
      <c r="E51" s="2" t="str">
        <f t="shared" si="46"/>
        <v>H. Abdul Basith, M.Pd.</v>
      </c>
      <c r="F51" s="2" t="str">
        <f t="shared" si="47"/>
        <v>12341234 123123 1 234</v>
      </c>
      <c r="G51" s="74">
        <f>'ENTRY DATA'!B62</f>
        <v>0</v>
      </c>
      <c r="H51" s="74">
        <f>'ENTRY DATA'!C62</f>
        <v>0</v>
      </c>
      <c r="I51" s="74">
        <f>'ENTRY DATA'!D62</f>
        <v>0</v>
      </c>
      <c r="J51" s="74">
        <f>'ENTRY DATA'!E62</f>
        <v>0</v>
      </c>
      <c r="K51" s="7" t="str">
        <f t="shared" si="48"/>
        <v>X MIPA-1</v>
      </c>
      <c r="L51" s="7">
        <f t="shared" si="49"/>
        <v>1</v>
      </c>
      <c r="M51" s="7" t="str">
        <f t="shared" si="41"/>
        <v>Ganjil</v>
      </c>
      <c r="N51" s="7" t="str">
        <f t="shared" si="50"/>
        <v>2022/2023</v>
      </c>
      <c r="O51" s="8">
        <f t="shared" si="51"/>
        <v>75</v>
      </c>
      <c r="P51" s="8">
        <f t="shared" si="52"/>
        <v>0</v>
      </c>
      <c r="Q51" s="8" t="str">
        <f>IFERROR(ROUND('ENTRY DATA'!N62,0),"-")</f>
        <v>-</v>
      </c>
      <c r="R51" s="8" t="str">
        <f>'ENTRY DATA'!O62</f>
        <v>-</v>
      </c>
      <c r="S51" s="8" t="str">
        <f>IFERROR(ROUND('ENTRY DATA'!P62,0),"-")</f>
        <v>-</v>
      </c>
      <c r="T51" s="8" t="str">
        <f>'ENTRY DATA'!Q62</f>
        <v>-</v>
      </c>
      <c r="U51" s="7">
        <f t="shared" si="53"/>
        <v>75</v>
      </c>
      <c r="V51" s="7">
        <f t="shared" si="54"/>
        <v>0</v>
      </c>
      <c r="W51" s="7" t="str">
        <f>IFERROR(ROUND('ENTRY DATA'!Z62,0),"-")</f>
        <v>-</v>
      </c>
      <c r="X51" s="7" t="str">
        <f>'ENTRY DATA'!AA62</f>
        <v>-</v>
      </c>
      <c r="Y51" s="7" t="str">
        <f>IFERROR(ROUND('ENTRY DATA'!AB62,0),"-")</f>
        <v>-</v>
      </c>
      <c r="Z51" s="7" t="str">
        <f>'ENTRY DATA'!AC62</f>
        <v>-</v>
      </c>
      <c r="AA51" s="8">
        <f t="shared" si="55"/>
        <v>75</v>
      </c>
      <c r="AB51" s="8">
        <f t="shared" si="56"/>
        <v>0</v>
      </c>
      <c r="AC51" s="8" t="str">
        <f>IFERROR(ROUND('ENTRY DATA'!AL62,0),"-")</f>
        <v>-</v>
      </c>
      <c r="AD51" s="8" t="str">
        <f>'ENTRY DATA'!AM62</f>
        <v>-</v>
      </c>
      <c r="AE51" s="8" t="str">
        <f>IFERROR(ROUND('ENTRY DATA'!AN62,0),"-")</f>
        <v>-</v>
      </c>
      <c r="AF51" s="8" t="str">
        <f>'ENTRY DATA'!AO62</f>
        <v>-</v>
      </c>
      <c r="AG51" s="7">
        <f t="shared" si="57"/>
        <v>75</v>
      </c>
      <c r="AH51" s="7">
        <f t="shared" si="58"/>
        <v>0</v>
      </c>
      <c r="AI51" s="7" t="str">
        <f>IFERROR(ROUND('ENTRY DATA'!AX62,0),"-")</f>
        <v>-</v>
      </c>
      <c r="AJ51" s="7" t="str">
        <f>'ENTRY DATA'!AY62</f>
        <v>-</v>
      </c>
      <c r="AK51" s="7" t="str">
        <f>IFERROR(ROUND('ENTRY DATA'!AZ62,0),"-")</f>
        <v>-</v>
      </c>
      <c r="AL51" s="7" t="str">
        <f>'ENTRY DATA'!BA62</f>
        <v>-</v>
      </c>
      <c r="AM51" s="8">
        <f t="shared" si="59"/>
        <v>75</v>
      </c>
      <c r="AN51" s="8">
        <f t="shared" si="60"/>
        <v>0</v>
      </c>
      <c r="AO51" s="8" t="str">
        <f>IFERROR(ROUND('ENTRY DATA'!BJ62,0),"-")</f>
        <v>-</v>
      </c>
      <c r="AP51" s="8" t="str">
        <f>'ENTRY DATA'!BK62</f>
        <v>-</v>
      </c>
      <c r="AQ51" s="8" t="str">
        <f>IFERROR(ROUND('ENTRY DATA'!BL62,0),"-")</f>
        <v>-</v>
      </c>
      <c r="AR51" s="8" t="str">
        <f>'ENTRY DATA'!BM62</f>
        <v>-</v>
      </c>
      <c r="AS51" s="7">
        <f t="shared" si="61"/>
        <v>75</v>
      </c>
      <c r="AT51" s="7">
        <f t="shared" si="62"/>
        <v>0</v>
      </c>
      <c r="AU51" s="7" t="str">
        <f>IFERROR(ROUND('ENTRY DATA'!BV62,0),"-")</f>
        <v>-</v>
      </c>
      <c r="AV51" s="7" t="str">
        <f>'ENTRY DATA'!BW62</f>
        <v>-</v>
      </c>
      <c r="AW51" s="7" t="str">
        <f>IFERROR(ROUND('ENTRY DATA'!BX62,0),"-")</f>
        <v>-</v>
      </c>
      <c r="AX51" s="7" t="str">
        <f>'ENTRY DATA'!BY62</f>
        <v>-</v>
      </c>
      <c r="AY51" s="8">
        <f t="shared" si="63"/>
        <v>75</v>
      </c>
      <c r="AZ51" s="8">
        <f t="shared" si="64"/>
        <v>0</v>
      </c>
      <c r="BA51" s="8" t="str">
        <f>IFERROR(ROUND('ENTRY DATA'!CH62,0),"-")</f>
        <v>-</v>
      </c>
      <c r="BB51" s="8" t="str">
        <f>'ENTRY DATA'!CI62</f>
        <v>-</v>
      </c>
      <c r="BC51" s="8" t="str">
        <f>IFERROR(ROUND('ENTRY DATA'!CJ62,0),"-")</f>
        <v>-</v>
      </c>
      <c r="BD51" s="8" t="str">
        <f>'ENTRY DATA'!CK62</f>
        <v>-</v>
      </c>
      <c r="BE51" s="7">
        <f t="shared" si="65"/>
        <v>75</v>
      </c>
      <c r="BF51" s="7">
        <f t="shared" si="66"/>
        <v>0</v>
      </c>
      <c r="BG51" s="7" t="str">
        <f>IFERROR(ROUND('ENTRY DATA'!CT62,0),"-")</f>
        <v>-</v>
      </c>
      <c r="BH51" s="7" t="str">
        <f>'ENTRY DATA'!CU62</f>
        <v>-</v>
      </c>
      <c r="BI51" s="7" t="str">
        <f>IFERROR(ROUND('ENTRY DATA'!CV62,0),"-")</f>
        <v>-</v>
      </c>
      <c r="BJ51" s="7" t="str">
        <f>'ENTRY DATA'!CW62</f>
        <v>-</v>
      </c>
      <c r="BK51" s="8">
        <f t="shared" si="67"/>
        <v>75</v>
      </c>
      <c r="BL51" s="8">
        <f t="shared" si="68"/>
        <v>0</v>
      </c>
      <c r="BM51" s="8" t="str">
        <f>IFERROR(ROUND('ENTRY DATA'!DF62,0),"-")</f>
        <v>-</v>
      </c>
      <c r="BN51" s="8" t="str">
        <f>'ENTRY DATA'!DG62</f>
        <v>-</v>
      </c>
      <c r="BO51" s="8" t="str">
        <f>IFERROR(ROUND('ENTRY DATA'!DH62,0),"-")</f>
        <v>-</v>
      </c>
      <c r="BP51" s="8" t="str">
        <f>'ENTRY DATA'!DI62</f>
        <v>-</v>
      </c>
      <c r="BQ51" s="7">
        <f t="shared" si="69"/>
        <v>75</v>
      </c>
      <c r="BR51" s="7">
        <f t="shared" si="70"/>
        <v>0</v>
      </c>
      <c r="BS51" s="7" t="str">
        <f>IFERROR(ROUND('ENTRY DATA'!DR62,0),"-")</f>
        <v>-</v>
      </c>
      <c r="BT51" s="7" t="str">
        <f>'ENTRY DATA'!DS62</f>
        <v>-</v>
      </c>
      <c r="BU51" s="7" t="str">
        <f>IFERROR(ROUND('ENTRY DATA'!DT62,0),"-")</f>
        <v>-</v>
      </c>
      <c r="BV51" s="7" t="str">
        <f>'ENTRY DATA'!DU62</f>
        <v>-</v>
      </c>
      <c r="BW51" s="8" t="str">
        <f>'ENTRY DATA'!$DV$8</f>
        <v>Matematika</v>
      </c>
      <c r="BX51" s="8">
        <f t="shared" si="71"/>
        <v>75</v>
      </c>
      <c r="BY51" s="8">
        <f t="shared" si="72"/>
        <v>0</v>
      </c>
      <c r="BZ51" s="8" t="str">
        <f>IFERROR(ROUND('ENTRY DATA'!ED62,0),"-")</f>
        <v>-</v>
      </c>
      <c r="CA51" s="8" t="str">
        <f>'ENTRY DATA'!EE62</f>
        <v>-</v>
      </c>
      <c r="CB51" s="8" t="str">
        <f>IFERROR(ROUND('ENTRY DATA'!EF62,0),"-")</f>
        <v>-</v>
      </c>
      <c r="CC51" s="8" t="str">
        <f>'ENTRY DATA'!EG62</f>
        <v>-</v>
      </c>
      <c r="CD51" s="7" t="str">
        <f>'ENTRY DATA'!$EH$8</f>
        <v>Biologi</v>
      </c>
      <c r="CE51" s="7">
        <f t="shared" si="73"/>
        <v>75</v>
      </c>
      <c r="CF51" s="7">
        <f t="shared" si="74"/>
        <v>0</v>
      </c>
      <c r="CG51" s="7" t="str">
        <f>IFERROR(ROUND('ENTRY DATA'!EP62,0),"-")</f>
        <v>-</v>
      </c>
      <c r="CH51" s="7" t="str">
        <f>'ENTRY DATA'!EQ62</f>
        <v>-</v>
      </c>
      <c r="CI51" s="7" t="str">
        <f>IFERROR(ROUND('ENTRY DATA'!ER62,0),"-")</f>
        <v>-</v>
      </c>
      <c r="CJ51" s="7" t="str">
        <f>'ENTRY DATA'!ES62</f>
        <v>-</v>
      </c>
      <c r="CK51" s="8" t="str">
        <f>'ENTRY DATA'!$ET$8</f>
        <v>Fisika</v>
      </c>
      <c r="CL51" s="8">
        <f t="shared" si="75"/>
        <v>75</v>
      </c>
      <c r="CM51" s="8">
        <f t="shared" si="76"/>
        <v>0</v>
      </c>
      <c r="CN51" s="8" t="str">
        <f>IFERROR(ROUND('ENTRY DATA'!FB62,0),"-")</f>
        <v>-</v>
      </c>
      <c r="CO51" s="8" t="str">
        <f>'ENTRY DATA'!FC62</f>
        <v>-</v>
      </c>
      <c r="CP51" s="8" t="str">
        <f>IFERROR(ROUND('ENTRY DATA'!FD62,0),"-")</f>
        <v>-</v>
      </c>
      <c r="CQ51" s="8" t="str">
        <f>'ENTRY DATA'!FE62</f>
        <v>-</v>
      </c>
      <c r="CR51" s="7" t="str">
        <f>'ENTRY DATA'!$FF$8</f>
        <v>Kimia</v>
      </c>
      <c r="CS51" s="7">
        <f t="shared" si="77"/>
        <v>75</v>
      </c>
      <c r="CT51" s="7">
        <f t="shared" si="78"/>
        <v>0</v>
      </c>
      <c r="CU51" s="7" t="str">
        <f>IFERROR(ROUND('ENTRY DATA'!FN62,0),"-")</f>
        <v>-</v>
      </c>
      <c r="CV51" s="7" t="str">
        <f>'ENTRY DATA'!FO62</f>
        <v>-</v>
      </c>
      <c r="CW51" s="7" t="str">
        <f>IFERROR(ROUND('ENTRY DATA'!FP62,0),"-")</f>
        <v>-</v>
      </c>
      <c r="CX51" s="7" t="str">
        <f>'ENTRY DATA'!FQ62</f>
        <v>-</v>
      </c>
      <c r="CY51" s="8" t="str">
        <f>'ENTRY DATA'!$FR$8</f>
        <v>-</v>
      </c>
      <c r="CZ51" s="8">
        <f t="shared" si="79"/>
        <v>75</v>
      </c>
      <c r="DA51" s="8">
        <f t="shared" si="80"/>
        <v>0</v>
      </c>
      <c r="DB51" s="8" t="str">
        <f>IFERROR(ROUND('ENTRY DATA'!FZ62,0),"-")</f>
        <v>-</v>
      </c>
      <c r="DC51" s="8" t="str">
        <f>'ENTRY DATA'!GA62</f>
        <v>-</v>
      </c>
      <c r="DD51" s="8" t="str">
        <f>IFERROR(ROUND('ENTRY DATA'!GB62,0),"-")</f>
        <v>-</v>
      </c>
      <c r="DE51" s="8" t="str">
        <f>'ENTRY DATA'!GC62</f>
        <v>-</v>
      </c>
      <c r="DF51" s="7" t="str">
        <f>'ENTRY DATA'!$GD$8</f>
        <v>-</v>
      </c>
      <c r="DG51" s="7">
        <f t="shared" si="81"/>
        <v>75</v>
      </c>
      <c r="DH51" s="7">
        <f t="shared" si="82"/>
        <v>0</v>
      </c>
      <c r="DI51" s="7" t="str">
        <f>IFERROR(ROUND('ENTRY DATA'!GL62,0),"-")</f>
        <v>-</v>
      </c>
      <c r="DJ51" s="7" t="str">
        <f>'ENTRY DATA'!GM62</f>
        <v>-</v>
      </c>
      <c r="DK51" s="7" t="str">
        <f>IFERROR(ROUND('ENTRY DATA'!GN62,0),"-")</f>
        <v>-</v>
      </c>
      <c r="DL51" s="7" t="str">
        <f>'ENTRY DATA'!GO62</f>
        <v>-</v>
      </c>
      <c r="DM51" s="16" t="str">
        <f>'ENTRY DATA'!HJ62</f>
        <v>-</v>
      </c>
      <c r="DN51" s="16" t="str">
        <f>'ENTRY DATA'!HK62</f>
        <v>-</v>
      </c>
      <c r="DO51" s="16" t="str">
        <f>'ENTRY DATA'!IF62</f>
        <v>-</v>
      </c>
      <c r="DP51" s="16" t="str">
        <f>'ENTRY DATA'!IG62</f>
        <v>-</v>
      </c>
      <c r="DQ51" s="2" t="str">
        <f>'ENTRY DATA'!IH62</f>
        <v>Pramuka</v>
      </c>
      <c r="DR51" s="2" t="str">
        <f>'ENTRY DATA'!II62</f>
        <v>B</v>
      </c>
      <c r="DS51" s="2" t="str">
        <f>'ENTRY DATA'!IJ62</f>
        <v>Aktif dalam mengikuti kegiatan</v>
      </c>
      <c r="DT51" s="2" t="str">
        <f>'ENTRY DATA'!IK62</f>
        <v>-</v>
      </c>
      <c r="DU51" s="2" t="str">
        <f>'ENTRY DATA'!IL62</f>
        <v>-</v>
      </c>
      <c r="DV51" s="2" t="str">
        <f>'ENTRY DATA'!IM62</f>
        <v>-</v>
      </c>
      <c r="DW51" s="2" t="str">
        <f>'ENTRY DATA'!IN62</f>
        <v>-</v>
      </c>
      <c r="DX51" s="2" t="str">
        <f>'ENTRY DATA'!IO62</f>
        <v>-</v>
      </c>
      <c r="DY51" s="2" t="str">
        <f>'ENTRY DATA'!IP62</f>
        <v>-</v>
      </c>
      <c r="DZ51" s="2" t="str">
        <f>'ENTRY DATA'!IQ62</f>
        <v>-</v>
      </c>
      <c r="EA51" s="2" t="str">
        <f>'ENTRY DATA'!IR62</f>
        <v>-</v>
      </c>
      <c r="EB51" s="2" t="str">
        <f>'ENTRY DATA'!IS62</f>
        <v>-</v>
      </c>
      <c r="EC51" s="2" t="str">
        <f>'ENTRY DATA'!IT62</f>
        <v>-</v>
      </c>
      <c r="ED51" s="2" t="str">
        <f>'ENTRY DATA'!IU62</f>
        <v>-</v>
      </c>
      <c r="EE51" s="2" t="str">
        <f>'ENTRY DATA'!IV62</f>
        <v>-</v>
      </c>
      <c r="EF51" s="2" t="str">
        <f>'ENTRY DATA'!IW62</f>
        <v>-</v>
      </c>
      <c r="EG51" s="2" t="str">
        <f>'ENTRY DATA'!IX62</f>
        <v>-</v>
      </c>
      <c r="EH51" s="2" t="str">
        <f>'ENTRY DATA'!IY62</f>
        <v>-</v>
      </c>
      <c r="EI51" s="2" t="str">
        <f>'ENTRY DATA'!IZ62</f>
        <v>-</v>
      </c>
      <c r="EJ51" s="2">
        <f>'ENTRY DATA'!JA62</f>
        <v>0</v>
      </c>
      <c r="EK51" s="2">
        <f>'ENTRY DATA'!JB62</f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C15" sqref="C15"/>
    </sheetView>
  </sheetViews>
  <sheetFormatPr defaultRowHeight="15" x14ac:dyDescent="0.25"/>
  <cols>
    <col min="1" max="1" width="4.5703125" customWidth="1"/>
    <col min="2" max="4" width="13.42578125" customWidth="1"/>
  </cols>
  <sheetData>
    <row r="1" spans="1:4" x14ac:dyDescent="0.25">
      <c r="A1" s="128" t="s">
        <v>0</v>
      </c>
      <c r="B1" s="128" t="s">
        <v>101</v>
      </c>
      <c r="C1" s="128"/>
      <c r="D1" s="128"/>
    </row>
    <row r="2" spans="1:4" x14ac:dyDescent="0.25">
      <c r="A2" s="128"/>
      <c r="B2" s="3" t="s">
        <v>102</v>
      </c>
      <c r="C2" s="3" t="s">
        <v>103</v>
      </c>
      <c r="D2" s="3" t="s">
        <v>104</v>
      </c>
    </row>
    <row r="3" spans="1:4" x14ac:dyDescent="0.25">
      <c r="A3" s="1">
        <v>1</v>
      </c>
      <c r="B3" s="9">
        <v>90</v>
      </c>
      <c r="C3" s="9">
        <v>100</v>
      </c>
      <c r="D3" s="9" t="s">
        <v>105</v>
      </c>
    </row>
    <row r="4" spans="1:4" x14ac:dyDescent="0.25">
      <c r="A4" s="1">
        <v>2</v>
      </c>
      <c r="B4" s="9">
        <v>80</v>
      </c>
      <c r="C4" s="9">
        <v>89</v>
      </c>
      <c r="D4" s="9" t="s">
        <v>106</v>
      </c>
    </row>
    <row r="5" spans="1:4" x14ac:dyDescent="0.25">
      <c r="A5" s="1">
        <v>3</v>
      </c>
      <c r="B5" s="9">
        <v>75</v>
      </c>
      <c r="C5" s="9">
        <v>79</v>
      </c>
      <c r="D5" s="9" t="s">
        <v>107</v>
      </c>
    </row>
    <row r="6" spans="1:4" x14ac:dyDescent="0.25">
      <c r="A6" s="1">
        <v>4</v>
      </c>
      <c r="B6" s="9">
        <v>0</v>
      </c>
      <c r="C6" s="9">
        <v>74</v>
      </c>
      <c r="D6" s="9" t="s">
        <v>108</v>
      </c>
    </row>
    <row r="7" spans="1:4" x14ac:dyDescent="0.25">
      <c r="A7" s="12" t="s">
        <v>58</v>
      </c>
      <c r="B7" s="12" t="s">
        <v>58</v>
      </c>
      <c r="C7" s="12" t="s">
        <v>58</v>
      </c>
      <c r="D7" s="12" t="s">
        <v>58</v>
      </c>
    </row>
    <row r="9" spans="1:4" x14ac:dyDescent="0.25">
      <c r="A9" s="10" t="s">
        <v>114</v>
      </c>
      <c r="B9" s="10"/>
      <c r="C9" s="10"/>
    </row>
    <row r="10" spans="1:4" x14ac:dyDescent="0.25">
      <c r="A10" s="3" t="s">
        <v>0</v>
      </c>
      <c r="B10" s="3" t="s">
        <v>115</v>
      </c>
      <c r="C10" s="14" t="s">
        <v>215</v>
      </c>
      <c r="D10" s="14" t="s">
        <v>216</v>
      </c>
    </row>
    <row r="11" spans="1:4" x14ac:dyDescent="0.25">
      <c r="A11" s="9">
        <v>1</v>
      </c>
      <c r="B11" s="9" t="s">
        <v>105</v>
      </c>
      <c r="C11" s="2" t="s">
        <v>272</v>
      </c>
      <c r="D11" s="2" t="s">
        <v>273</v>
      </c>
    </row>
    <row r="12" spans="1:4" x14ac:dyDescent="0.25">
      <c r="A12" s="9">
        <v>2</v>
      </c>
      <c r="B12" s="9" t="s">
        <v>106</v>
      </c>
      <c r="C12" s="2" t="s">
        <v>270</v>
      </c>
      <c r="D12" s="2" t="s">
        <v>271</v>
      </c>
    </row>
    <row r="13" spans="1:4" x14ac:dyDescent="0.25">
      <c r="A13" s="9">
        <v>3</v>
      </c>
      <c r="B13" s="9" t="s">
        <v>107</v>
      </c>
      <c r="C13" s="2" t="s">
        <v>268</v>
      </c>
      <c r="D13" s="2" t="s">
        <v>269</v>
      </c>
    </row>
    <row r="14" spans="1:4" x14ac:dyDescent="0.25">
      <c r="A14" s="9">
        <v>4</v>
      </c>
      <c r="B14" s="9" t="s">
        <v>108</v>
      </c>
      <c r="C14" s="2" t="s">
        <v>266</v>
      </c>
      <c r="D14" s="2" t="s">
        <v>267</v>
      </c>
    </row>
    <row r="15" spans="1:4" x14ac:dyDescent="0.25">
      <c r="A15" s="12">
        <v>5</v>
      </c>
      <c r="B15" s="12" t="s">
        <v>58</v>
      </c>
      <c r="C15" s="12" t="s">
        <v>58</v>
      </c>
      <c r="D15" s="12" t="s">
        <v>58</v>
      </c>
    </row>
    <row r="18" spans="1:2" x14ac:dyDescent="0.25">
      <c r="A18" s="10" t="s">
        <v>38</v>
      </c>
    </row>
    <row r="19" spans="1:2" x14ac:dyDescent="0.25">
      <c r="A19" s="2" t="s">
        <v>105</v>
      </c>
      <c r="B19" s="2" t="s">
        <v>111</v>
      </c>
    </row>
    <row r="20" spans="1:2" x14ac:dyDescent="0.25">
      <c r="A20" s="2" t="s">
        <v>106</v>
      </c>
      <c r="B20" s="2" t="s">
        <v>112</v>
      </c>
    </row>
    <row r="21" spans="1:2" x14ac:dyDescent="0.25">
      <c r="A21" s="2" t="s">
        <v>107</v>
      </c>
      <c r="B21" s="2" t="s">
        <v>113</v>
      </c>
    </row>
    <row r="22" spans="1:2" x14ac:dyDescent="0.25">
      <c r="A22" s="2" t="s">
        <v>108</v>
      </c>
      <c r="B22" s="2" t="s">
        <v>116</v>
      </c>
    </row>
    <row r="23" spans="1:2" x14ac:dyDescent="0.25">
      <c r="A23" s="13" t="s">
        <v>58</v>
      </c>
      <c r="B23" s="11" t="s">
        <v>58</v>
      </c>
    </row>
    <row r="25" spans="1:2" x14ac:dyDescent="0.25">
      <c r="B25" s="10" t="s">
        <v>54</v>
      </c>
    </row>
    <row r="26" spans="1:2" x14ac:dyDescent="0.25">
      <c r="B26" s="2" t="s">
        <v>222</v>
      </c>
    </row>
    <row r="27" spans="1:2" x14ac:dyDescent="0.25">
      <c r="B27" s="2" t="s">
        <v>224</v>
      </c>
    </row>
    <row r="28" spans="1:2" x14ac:dyDescent="0.25">
      <c r="B28" s="2" t="s">
        <v>225</v>
      </c>
    </row>
    <row r="29" spans="1:2" x14ac:dyDescent="0.25">
      <c r="B29" s="2" t="s">
        <v>226</v>
      </c>
    </row>
    <row r="30" spans="1:2" x14ac:dyDescent="0.25">
      <c r="B30" s="2" t="s">
        <v>227</v>
      </c>
    </row>
    <row r="31" spans="1:2" x14ac:dyDescent="0.25">
      <c r="B31" s="2" t="s">
        <v>228</v>
      </c>
    </row>
    <row r="32" spans="1:2" x14ac:dyDescent="0.25">
      <c r="B32" s="2" t="s">
        <v>229</v>
      </c>
    </row>
    <row r="33" spans="2:2" x14ac:dyDescent="0.25">
      <c r="B33" s="2" t="s">
        <v>230</v>
      </c>
    </row>
    <row r="34" spans="2:2" x14ac:dyDescent="0.25">
      <c r="B34" s="2" t="s">
        <v>231</v>
      </c>
    </row>
    <row r="35" spans="2:2" x14ac:dyDescent="0.25">
      <c r="B35" s="2" t="s">
        <v>232</v>
      </c>
    </row>
    <row r="36" spans="2:2" x14ac:dyDescent="0.25">
      <c r="B36" s="2" t="s">
        <v>233</v>
      </c>
    </row>
    <row r="37" spans="2:2" x14ac:dyDescent="0.25">
      <c r="B37" s="2" t="s">
        <v>254</v>
      </c>
    </row>
    <row r="38" spans="2:2" x14ac:dyDescent="0.25">
      <c r="B38" s="2" t="s">
        <v>234</v>
      </c>
    </row>
    <row r="39" spans="2:2" x14ac:dyDescent="0.25">
      <c r="B39" s="2" t="s">
        <v>235</v>
      </c>
    </row>
    <row r="40" spans="2:2" x14ac:dyDescent="0.25">
      <c r="B40" s="2" t="s">
        <v>236</v>
      </c>
    </row>
    <row r="41" spans="2:2" x14ac:dyDescent="0.25">
      <c r="B41" s="2" t="s">
        <v>237</v>
      </c>
    </row>
    <row r="42" spans="2:2" x14ac:dyDescent="0.25">
      <c r="B42" s="2" t="s">
        <v>238</v>
      </c>
    </row>
    <row r="43" spans="2:2" x14ac:dyDescent="0.25">
      <c r="B43" s="2" t="s">
        <v>259</v>
      </c>
    </row>
    <row r="44" spans="2:2" x14ac:dyDescent="0.25">
      <c r="B44" s="2" t="s">
        <v>239</v>
      </c>
    </row>
    <row r="45" spans="2:2" x14ac:dyDescent="0.25">
      <c r="B45" s="2" t="s">
        <v>240</v>
      </c>
    </row>
    <row r="46" spans="2:2" x14ac:dyDescent="0.25">
      <c r="B46" s="2" t="s">
        <v>241</v>
      </c>
    </row>
    <row r="47" spans="2:2" x14ac:dyDescent="0.25">
      <c r="B47" s="2" t="s">
        <v>242</v>
      </c>
    </row>
    <row r="48" spans="2:2" x14ac:dyDescent="0.25">
      <c r="B48" s="2" t="s">
        <v>243</v>
      </c>
    </row>
    <row r="49" spans="2:2" x14ac:dyDescent="0.25">
      <c r="B49" s="2" t="s">
        <v>258</v>
      </c>
    </row>
    <row r="50" spans="2:2" x14ac:dyDescent="0.25">
      <c r="B50" s="2" t="s">
        <v>244</v>
      </c>
    </row>
    <row r="51" spans="2:2" x14ac:dyDescent="0.25">
      <c r="B51" s="2" t="s">
        <v>245</v>
      </c>
    </row>
    <row r="52" spans="2:2" x14ac:dyDescent="0.25">
      <c r="B52" s="2" t="s">
        <v>246</v>
      </c>
    </row>
    <row r="53" spans="2:2" x14ac:dyDescent="0.25">
      <c r="B53" s="2" t="s">
        <v>247</v>
      </c>
    </row>
    <row r="54" spans="2:2" x14ac:dyDescent="0.25">
      <c r="B54" s="2" t="s">
        <v>248</v>
      </c>
    </row>
    <row r="55" spans="2:2" x14ac:dyDescent="0.25">
      <c r="B55" s="2" t="s">
        <v>255</v>
      </c>
    </row>
    <row r="56" spans="2:2" x14ac:dyDescent="0.25">
      <c r="B56" s="2" t="s">
        <v>249</v>
      </c>
    </row>
    <row r="57" spans="2:2" x14ac:dyDescent="0.25">
      <c r="B57" s="2" t="s">
        <v>250</v>
      </c>
    </row>
    <row r="58" spans="2:2" x14ac:dyDescent="0.25">
      <c r="B58" s="2" t="s">
        <v>251</v>
      </c>
    </row>
    <row r="59" spans="2:2" x14ac:dyDescent="0.25">
      <c r="B59" s="2" t="s">
        <v>252</v>
      </c>
    </row>
    <row r="60" spans="2:2" x14ac:dyDescent="0.25">
      <c r="B60" s="2" t="s">
        <v>253</v>
      </c>
    </row>
    <row r="61" spans="2:2" x14ac:dyDescent="0.25">
      <c r="B61" s="2" t="s">
        <v>260</v>
      </c>
    </row>
  </sheetData>
  <mergeCells count="2">
    <mergeCell ref="A1:A2"/>
    <mergeCell ref="B1:D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2" sqref="A2:C2"/>
    </sheetView>
  </sheetViews>
  <sheetFormatPr defaultRowHeight="15" x14ac:dyDescent="0.25"/>
  <cols>
    <col min="2" max="2" width="31" bestFit="1" customWidth="1"/>
    <col min="3" max="3" width="13.42578125" bestFit="1" customWidth="1"/>
  </cols>
  <sheetData>
    <row r="1" spans="1:3" x14ac:dyDescent="0.25">
      <c r="A1" s="129" t="s">
        <v>220</v>
      </c>
      <c r="B1" s="129"/>
      <c r="C1" s="129"/>
    </row>
    <row r="2" spans="1:3" x14ac:dyDescent="0.25">
      <c r="A2" s="129" t="str">
        <f>"KELAS "&amp;KELAS</f>
        <v>KELAS X MIPA-1</v>
      </c>
      <c r="B2" s="129"/>
      <c r="C2" s="129"/>
    </row>
    <row r="4" spans="1:3" x14ac:dyDescent="0.25">
      <c r="A4" s="35" t="s">
        <v>46</v>
      </c>
      <c r="B4" s="35" t="s">
        <v>221</v>
      </c>
      <c r="C4" s="35" t="s">
        <v>45</v>
      </c>
    </row>
    <row r="5" spans="1:3" x14ac:dyDescent="0.25">
      <c r="A5" s="1">
        <f>'ENTRY DATA'!JB13</f>
        <v>1</v>
      </c>
      <c r="B5" s="2">
        <f>'ENTRY DATA'!D13</f>
        <v>0</v>
      </c>
      <c r="C5" s="36">
        <f>'ENTRY DATA'!JA13</f>
        <v>0</v>
      </c>
    </row>
    <row r="6" spans="1:3" x14ac:dyDescent="0.25">
      <c r="A6" s="1">
        <f>'ENTRY DATA'!JB14</f>
        <v>1</v>
      </c>
      <c r="B6" s="2">
        <f>'ENTRY DATA'!D14</f>
        <v>0</v>
      </c>
      <c r="C6" s="36">
        <f>'ENTRY DATA'!JA14</f>
        <v>0</v>
      </c>
    </row>
    <row r="7" spans="1:3" x14ac:dyDescent="0.25">
      <c r="A7" s="1">
        <f>'ENTRY DATA'!JB15</f>
        <v>1</v>
      </c>
      <c r="B7" s="2">
        <f>'ENTRY DATA'!D15</f>
        <v>0</v>
      </c>
      <c r="C7" s="36">
        <f>'ENTRY DATA'!JA15</f>
        <v>0</v>
      </c>
    </row>
    <row r="8" spans="1:3" x14ac:dyDescent="0.25">
      <c r="A8" s="1">
        <f>'ENTRY DATA'!JB16</f>
        <v>1</v>
      </c>
      <c r="B8" s="2">
        <f>'ENTRY DATA'!D16</f>
        <v>0</v>
      </c>
      <c r="C8" s="36">
        <f>'ENTRY DATA'!JA16</f>
        <v>0</v>
      </c>
    </row>
    <row r="9" spans="1:3" x14ac:dyDescent="0.25">
      <c r="A9" s="1">
        <f>'ENTRY DATA'!JB17</f>
        <v>1</v>
      </c>
      <c r="B9" s="2">
        <f>'ENTRY DATA'!D17</f>
        <v>0</v>
      </c>
      <c r="C9" s="36">
        <f>'ENTRY DATA'!JA17</f>
        <v>0</v>
      </c>
    </row>
    <row r="10" spans="1:3" x14ac:dyDescent="0.25">
      <c r="A10" s="1">
        <f>'ENTRY DATA'!JB18</f>
        <v>1</v>
      </c>
      <c r="B10" s="2">
        <f>'ENTRY DATA'!D18</f>
        <v>0</v>
      </c>
      <c r="C10" s="36">
        <f>'ENTRY DATA'!JA18</f>
        <v>0</v>
      </c>
    </row>
    <row r="11" spans="1:3" x14ac:dyDescent="0.25">
      <c r="A11" s="1">
        <f>'ENTRY DATA'!JB19</f>
        <v>1</v>
      </c>
      <c r="B11" s="2">
        <f>'ENTRY DATA'!D19</f>
        <v>0</v>
      </c>
      <c r="C11" s="36">
        <f>'ENTRY DATA'!JA19</f>
        <v>0</v>
      </c>
    </row>
    <row r="12" spans="1:3" x14ac:dyDescent="0.25">
      <c r="A12" s="1">
        <f>'ENTRY DATA'!JB20</f>
        <v>1</v>
      </c>
      <c r="B12" s="2">
        <f>'ENTRY DATA'!D20</f>
        <v>0</v>
      </c>
      <c r="C12" s="36">
        <f>'ENTRY DATA'!JA20</f>
        <v>0</v>
      </c>
    </row>
    <row r="13" spans="1:3" x14ac:dyDescent="0.25">
      <c r="A13" s="1">
        <f>'ENTRY DATA'!JB21</f>
        <v>1</v>
      </c>
      <c r="B13" s="2">
        <f>'ENTRY DATA'!D21</f>
        <v>0</v>
      </c>
      <c r="C13" s="36">
        <f>'ENTRY DATA'!JA21</f>
        <v>0</v>
      </c>
    </row>
    <row r="14" spans="1:3" x14ac:dyDescent="0.25">
      <c r="A14" s="1">
        <f>'ENTRY DATA'!JB22</f>
        <v>1</v>
      </c>
      <c r="B14" s="2">
        <f>'ENTRY DATA'!D22</f>
        <v>0</v>
      </c>
      <c r="C14" s="36">
        <f>'ENTRY DATA'!JA22</f>
        <v>0</v>
      </c>
    </row>
    <row r="15" spans="1:3" x14ac:dyDescent="0.25">
      <c r="A15" s="1">
        <f>'ENTRY DATA'!JB23</f>
        <v>1</v>
      </c>
      <c r="B15" s="2">
        <f>'ENTRY DATA'!D23</f>
        <v>0</v>
      </c>
      <c r="C15" s="36">
        <f>'ENTRY DATA'!JA23</f>
        <v>0</v>
      </c>
    </row>
    <row r="16" spans="1:3" x14ac:dyDescent="0.25">
      <c r="A16" s="1">
        <f>'ENTRY DATA'!JB24</f>
        <v>1</v>
      </c>
      <c r="B16" s="2">
        <f>'ENTRY DATA'!D24</f>
        <v>0</v>
      </c>
      <c r="C16" s="36">
        <f>'ENTRY DATA'!JA24</f>
        <v>0</v>
      </c>
    </row>
    <row r="17" spans="1:3" x14ac:dyDescent="0.25">
      <c r="A17" s="1">
        <f>'ENTRY DATA'!JB25</f>
        <v>1</v>
      </c>
      <c r="B17" s="2">
        <f>'ENTRY DATA'!D25</f>
        <v>0</v>
      </c>
      <c r="C17" s="36">
        <f>'ENTRY DATA'!JA25</f>
        <v>0</v>
      </c>
    </row>
    <row r="18" spans="1:3" x14ac:dyDescent="0.25">
      <c r="A18" s="1">
        <f>'ENTRY DATA'!JB26</f>
        <v>1</v>
      </c>
      <c r="B18" s="2">
        <f>'ENTRY DATA'!D26</f>
        <v>0</v>
      </c>
      <c r="C18" s="36">
        <f>'ENTRY DATA'!JA26</f>
        <v>0</v>
      </c>
    </row>
    <row r="19" spans="1:3" x14ac:dyDescent="0.25">
      <c r="A19" s="1">
        <f>'ENTRY DATA'!JB27</f>
        <v>1</v>
      </c>
      <c r="B19" s="2">
        <f>'ENTRY DATA'!D27</f>
        <v>0</v>
      </c>
      <c r="C19" s="36">
        <f>'ENTRY DATA'!JA27</f>
        <v>0</v>
      </c>
    </row>
    <row r="20" spans="1:3" x14ac:dyDescent="0.25">
      <c r="A20" s="1">
        <f>'ENTRY DATA'!JB28</f>
        <v>1</v>
      </c>
      <c r="B20" s="2">
        <f>'ENTRY DATA'!D28</f>
        <v>0</v>
      </c>
      <c r="C20" s="36">
        <f>'ENTRY DATA'!JA28</f>
        <v>0</v>
      </c>
    </row>
    <row r="21" spans="1:3" x14ac:dyDescent="0.25">
      <c r="A21" s="1">
        <f>'ENTRY DATA'!JB29</f>
        <v>1</v>
      </c>
      <c r="B21" s="2">
        <f>'ENTRY DATA'!D29</f>
        <v>0</v>
      </c>
      <c r="C21" s="36">
        <f>'ENTRY DATA'!JA29</f>
        <v>0</v>
      </c>
    </row>
    <row r="22" spans="1:3" x14ac:dyDescent="0.25">
      <c r="A22" s="1">
        <f>'ENTRY DATA'!JB30</f>
        <v>1</v>
      </c>
      <c r="B22" s="2">
        <f>'ENTRY DATA'!D30</f>
        <v>0</v>
      </c>
      <c r="C22" s="36">
        <f>'ENTRY DATA'!JA30</f>
        <v>0</v>
      </c>
    </row>
    <row r="23" spans="1:3" x14ac:dyDescent="0.25">
      <c r="A23" s="1">
        <f>'ENTRY DATA'!JB31</f>
        <v>1</v>
      </c>
      <c r="B23" s="2">
        <f>'ENTRY DATA'!D31</f>
        <v>0</v>
      </c>
      <c r="C23" s="36">
        <f>'ENTRY DATA'!JA31</f>
        <v>0</v>
      </c>
    </row>
    <row r="24" spans="1:3" x14ac:dyDescent="0.25">
      <c r="A24" s="1">
        <f>'ENTRY DATA'!JB32</f>
        <v>1</v>
      </c>
      <c r="B24" s="2">
        <f>'ENTRY DATA'!D32</f>
        <v>0</v>
      </c>
      <c r="C24" s="36">
        <f>'ENTRY DATA'!JA32</f>
        <v>0</v>
      </c>
    </row>
    <row r="25" spans="1:3" x14ac:dyDescent="0.25">
      <c r="A25" s="1">
        <f>'ENTRY DATA'!JB33</f>
        <v>1</v>
      </c>
      <c r="B25" s="2">
        <f>'ENTRY DATA'!D33</f>
        <v>0</v>
      </c>
      <c r="C25" s="36">
        <f>'ENTRY DATA'!JA33</f>
        <v>0</v>
      </c>
    </row>
    <row r="26" spans="1:3" x14ac:dyDescent="0.25">
      <c r="A26" s="1">
        <f>'ENTRY DATA'!JB34</f>
        <v>1</v>
      </c>
      <c r="B26" s="2">
        <f>'ENTRY DATA'!D34</f>
        <v>0</v>
      </c>
      <c r="C26" s="36">
        <f>'ENTRY DATA'!JA34</f>
        <v>0</v>
      </c>
    </row>
    <row r="27" spans="1:3" x14ac:dyDescent="0.25">
      <c r="A27" s="1">
        <f>'ENTRY DATA'!JB35</f>
        <v>1</v>
      </c>
      <c r="B27" s="2">
        <f>'ENTRY DATA'!D35</f>
        <v>0</v>
      </c>
      <c r="C27" s="36">
        <f>'ENTRY DATA'!JA35</f>
        <v>0</v>
      </c>
    </row>
    <row r="28" spans="1:3" x14ac:dyDescent="0.25">
      <c r="A28" s="1">
        <f>'ENTRY DATA'!JB36</f>
        <v>1</v>
      </c>
      <c r="B28" s="2">
        <f>'ENTRY DATA'!D36</f>
        <v>0</v>
      </c>
      <c r="C28" s="36">
        <f>'ENTRY DATA'!JA36</f>
        <v>0</v>
      </c>
    </row>
    <row r="29" spans="1:3" x14ac:dyDescent="0.25">
      <c r="A29" s="1">
        <f>'ENTRY DATA'!JB37</f>
        <v>1</v>
      </c>
      <c r="B29" s="2">
        <f>'ENTRY DATA'!D37</f>
        <v>0</v>
      </c>
      <c r="C29" s="36">
        <f>'ENTRY DATA'!JA37</f>
        <v>0</v>
      </c>
    </row>
    <row r="30" spans="1:3" x14ac:dyDescent="0.25">
      <c r="A30" s="1">
        <f>'ENTRY DATA'!JB38</f>
        <v>1</v>
      </c>
      <c r="B30" s="2">
        <f>'ENTRY DATA'!D38</f>
        <v>0</v>
      </c>
      <c r="C30" s="36">
        <f>'ENTRY DATA'!JA38</f>
        <v>0</v>
      </c>
    </row>
    <row r="31" spans="1:3" x14ac:dyDescent="0.25">
      <c r="A31" s="1">
        <f>'ENTRY DATA'!JB39</f>
        <v>1</v>
      </c>
      <c r="B31" s="2">
        <f>'ENTRY DATA'!D39</f>
        <v>0</v>
      </c>
      <c r="C31" s="36">
        <f>'ENTRY DATA'!JA39</f>
        <v>0</v>
      </c>
    </row>
    <row r="32" spans="1:3" x14ac:dyDescent="0.25">
      <c r="A32" s="1">
        <f>'ENTRY DATA'!JB40</f>
        <v>1</v>
      </c>
      <c r="B32" s="2">
        <f>'ENTRY DATA'!D40</f>
        <v>0</v>
      </c>
      <c r="C32" s="36">
        <f>'ENTRY DATA'!JA40</f>
        <v>0</v>
      </c>
    </row>
    <row r="33" spans="1:3" x14ac:dyDescent="0.25">
      <c r="A33" s="1">
        <f>'ENTRY DATA'!JB41</f>
        <v>1</v>
      </c>
      <c r="B33" s="2">
        <f>'ENTRY DATA'!D41</f>
        <v>0</v>
      </c>
      <c r="C33" s="36">
        <f>'ENTRY DATA'!JA41</f>
        <v>0</v>
      </c>
    </row>
    <row r="34" spans="1:3" x14ac:dyDescent="0.25">
      <c r="A34" s="1">
        <f>'ENTRY DATA'!JB42</f>
        <v>1</v>
      </c>
      <c r="B34" s="2">
        <f>'ENTRY DATA'!D42</f>
        <v>0</v>
      </c>
      <c r="C34" s="36">
        <f>'ENTRY DATA'!JA42</f>
        <v>0</v>
      </c>
    </row>
    <row r="35" spans="1:3" x14ac:dyDescent="0.25">
      <c r="A35" s="1">
        <f>'ENTRY DATA'!JB43</f>
        <v>1</v>
      </c>
      <c r="B35" s="2">
        <f>'ENTRY DATA'!D43</f>
        <v>0</v>
      </c>
      <c r="C35" s="36">
        <f>'ENTRY DATA'!JA43</f>
        <v>0</v>
      </c>
    </row>
    <row r="36" spans="1:3" x14ac:dyDescent="0.25">
      <c r="A36" s="1">
        <f>'ENTRY DATA'!JB44</f>
        <v>1</v>
      </c>
      <c r="B36" s="2">
        <f>'ENTRY DATA'!D44</f>
        <v>0</v>
      </c>
      <c r="C36" s="36">
        <f>'ENTRY DATA'!JA44</f>
        <v>0</v>
      </c>
    </row>
    <row r="37" spans="1:3" x14ac:dyDescent="0.25">
      <c r="A37" s="1">
        <f>'ENTRY DATA'!JB45</f>
        <v>1</v>
      </c>
      <c r="B37" s="2">
        <f>'ENTRY DATA'!D45</f>
        <v>0</v>
      </c>
      <c r="C37" s="36">
        <f>'ENTRY DATA'!JA45</f>
        <v>0</v>
      </c>
    </row>
    <row r="38" spans="1:3" x14ac:dyDescent="0.25">
      <c r="A38" s="1">
        <f>'ENTRY DATA'!JB46</f>
        <v>1</v>
      </c>
      <c r="B38" s="2">
        <f>'ENTRY DATA'!D46</f>
        <v>0</v>
      </c>
      <c r="C38" s="36">
        <f>'ENTRY DATA'!JA46</f>
        <v>0</v>
      </c>
    </row>
    <row r="39" spans="1:3" x14ac:dyDescent="0.25">
      <c r="A39" s="1">
        <f>'ENTRY DATA'!JB47</f>
        <v>1</v>
      </c>
      <c r="B39" s="2">
        <f>'ENTRY DATA'!D47</f>
        <v>0</v>
      </c>
      <c r="C39" s="36">
        <f>'ENTRY DATA'!JA47</f>
        <v>0</v>
      </c>
    </row>
    <row r="40" spans="1:3" x14ac:dyDescent="0.25">
      <c r="A40" s="1">
        <f>'ENTRY DATA'!JB48</f>
        <v>1</v>
      </c>
      <c r="B40" s="2">
        <f>'ENTRY DATA'!D48</f>
        <v>0</v>
      </c>
      <c r="C40" s="36">
        <f>'ENTRY DATA'!JA48</f>
        <v>0</v>
      </c>
    </row>
    <row r="41" spans="1:3" x14ac:dyDescent="0.25">
      <c r="A41" s="1">
        <f>'ENTRY DATA'!JB49</f>
        <v>1</v>
      </c>
      <c r="B41" s="2">
        <f>'ENTRY DATA'!D49</f>
        <v>0</v>
      </c>
      <c r="C41" s="36">
        <f>'ENTRY DATA'!JA49</f>
        <v>0</v>
      </c>
    </row>
    <row r="42" spans="1:3" x14ac:dyDescent="0.25">
      <c r="A42" s="1">
        <f>'ENTRY DATA'!JB50</f>
        <v>1</v>
      </c>
      <c r="B42" s="2">
        <f>'ENTRY DATA'!D50</f>
        <v>0</v>
      </c>
      <c r="C42" s="36">
        <f>'ENTRY DATA'!JA50</f>
        <v>0</v>
      </c>
    </row>
    <row r="43" spans="1:3" x14ac:dyDescent="0.25">
      <c r="A43" s="1">
        <f>'ENTRY DATA'!JB51</f>
        <v>1</v>
      </c>
      <c r="B43" s="2">
        <f>'ENTRY DATA'!D51</f>
        <v>0</v>
      </c>
      <c r="C43" s="36">
        <f>'ENTRY DATA'!JA51</f>
        <v>0</v>
      </c>
    </row>
    <row r="44" spans="1:3" x14ac:dyDescent="0.25">
      <c r="A44" s="1">
        <f>'ENTRY DATA'!JB52</f>
        <v>1</v>
      </c>
      <c r="B44" s="2">
        <f>'ENTRY DATA'!D52</f>
        <v>0</v>
      </c>
      <c r="C44" s="36">
        <f>'ENTRY DATA'!JA52</f>
        <v>0</v>
      </c>
    </row>
    <row r="45" spans="1:3" x14ac:dyDescent="0.25">
      <c r="A45" s="1">
        <f>'ENTRY DATA'!JB53</f>
        <v>1</v>
      </c>
      <c r="B45" s="2">
        <f>'ENTRY DATA'!D53</f>
        <v>0</v>
      </c>
      <c r="C45" s="36">
        <f>'ENTRY DATA'!JA53</f>
        <v>0</v>
      </c>
    </row>
    <row r="46" spans="1:3" x14ac:dyDescent="0.25">
      <c r="A46" s="1">
        <f>'ENTRY DATA'!JB54</f>
        <v>1</v>
      </c>
      <c r="B46" s="2">
        <f>'ENTRY DATA'!D54</f>
        <v>0</v>
      </c>
      <c r="C46" s="36">
        <f>'ENTRY DATA'!JA54</f>
        <v>0</v>
      </c>
    </row>
    <row r="47" spans="1:3" x14ac:dyDescent="0.25">
      <c r="A47" s="1">
        <f>'ENTRY DATA'!JB55</f>
        <v>1</v>
      </c>
      <c r="B47" s="2">
        <f>'ENTRY DATA'!D55</f>
        <v>0</v>
      </c>
      <c r="C47" s="36">
        <f>'ENTRY DATA'!JA55</f>
        <v>0</v>
      </c>
    </row>
    <row r="48" spans="1:3" x14ac:dyDescent="0.25">
      <c r="A48" s="1">
        <f>'ENTRY DATA'!JB56</f>
        <v>1</v>
      </c>
      <c r="B48" s="2">
        <f>'ENTRY DATA'!D56</f>
        <v>0</v>
      </c>
      <c r="C48" s="36">
        <f>'ENTRY DATA'!JA56</f>
        <v>0</v>
      </c>
    </row>
    <row r="49" spans="1:3" x14ac:dyDescent="0.25">
      <c r="A49" s="1">
        <f>'ENTRY DATA'!JB57</f>
        <v>1</v>
      </c>
      <c r="B49" s="2">
        <f>'ENTRY DATA'!D57</f>
        <v>0</v>
      </c>
      <c r="C49" s="36">
        <f>'ENTRY DATA'!JA57</f>
        <v>0</v>
      </c>
    </row>
  </sheetData>
  <sortState ref="A5:C36">
    <sortCondition descending="1" ref="C5:C36"/>
  </sortState>
  <mergeCells count="2">
    <mergeCell ref="A1:C1"/>
    <mergeCell ref="A2:C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42</vt:i4>
      </vt:variant>
    </vt:vector>
  </HeadingPairs>
  <TitlesOfParts>
    <vt:vector size="46" baseType="lpstr">
      <vt:lpstr>ENTRY DATA</vt:lpstr>
      <vt:lpstr>NILAI</vt:lpstr>
      <vt:lpstr>TABEL KONVERSI</vt:lpstr>
      <vt:lpstr>RANKING</vt:lpstr>
      <vt:lpstr>DAFTAR_KELAS</vt:lpstr>
      <vt:lpstr>GURU_1</vt:lpstr>
      <vt:lpstr>GURU_10</vt:lpstr>
      <vt:lpstr>GURU_11</vt:lpstr>
      <vt:lpstr>GURU_12</vt:lpstr>
      <vt:lpstr>GURU_13</vt:lpstr>
      <vt:lpstr>GURU_14</vt:lpstr>
      <vt:lpstr>GURU_15</vt:lpstr>
      <vt:lpstr>GURU_16</vt:lpstr>
      <vt:lpstr>GURU_2</vt:lpstr>
      <vt:lpstr>GURU_3</vt:lpstr>
      <vt:lpstr>GURU_4</vt:lpstr>
      <vt:lpstr>GURU_5</vt:lpstr>
      <vt:lpstr>GURU_6</vt:lpstr>
      <vt:lpstr>GURU_7</vt:lpstr>
      <vt:lpstr>GURU_8</vt:lpstr>
      <vt:lpstr>GURU_9</vt:lpstr>
      <vt:lpstr>JURUSAN</vt:lpstr>
      <vt:lpstr>KELAS</vt:lpstr>
      <vt:lpstr>KKM_1</vt:lpstr>
      <vt:lpstr>KKM_10</vt:lpstr>
      <vt:lpstr>KKM_11</vt:lpstr>
      <vt:lpstr>KKM_12</vt:lpstr>
      <vt:lpstr>KKM_13</vt:lpstr>
      <vt:lpstr>KKM_14</vt:lpstr>
      <vt:lpstr>KKM_15</vt:lpstr>
      <vt:lpstr>KKM_16</vt:lpstr>
      <vt:lpstr>KKM_2</vt:lpstr>
      <vt:lpstr>KKM_3</vt:lpstr>
      <vt:lpstr>KKM_4</vt:lpstr>
      <vt:lpstr>KKM_5</vt:lpstr>
      <vt:lpstr>KKM_6</vt:lpstr>
      <vt:lpstr>KKM_7</vt:lpstr>
      <vt:lpstr>KKM_8</vt:lpstr>
      <vt:lpstr>KKM_9</vt:lpstr>
      <vt:lpstr>NIP_KEPSEK</vt:lpstr>
      <vt:lpstr>NIP_WALIKELAS</vt:lpstr>
      <vt:lpstr>NM_KEPSEK</vt:lpstr>
      <vt:lpstr>NM_WALIKELAS</vt:lpstr>
      <vt:lpstr>SEMESTER</vt:lpstr>
      <vt:lpstr>TH_PELAJARAN</vt:lpstr>
      <vt:lpstr>TITIMANGSA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azzaury</cp:lastModifiedBy>
  <dcterms:created xsi:type="dcterms:W3CDTF">2016-02-21T06:14:54Z</dcterms:created>
  <dcterms:modified xsi:type="dcterms:W3CDTF">2022-10-02T09:34:47Z</dcterms:modified>
</cp:coreProperties>
</file>